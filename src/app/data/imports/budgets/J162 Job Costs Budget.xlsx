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CO1" sheetId="2" r:id="rId6"/>
    <sheet state="visible" name="CO2" sheetId="3" r:id="rId7"/>
    <sheet state="visible" name="CO3" sheetId="4" r:id="rId8"/>
    <sheet state="visible" name="Updated Budget" sheetId="5" r:id="rId9"/>
  </sheets>
  <definedNames/>
  <calcPr/>
</workbook>
</file>

<file path=xl/sharedStrings.xml><?xml version="1.0" encoding="utf-8"?>
<sst xmlns="http://schemas.openxmlformats.org/spreadsheetml/2006/main" count="380" uniqueCount="74">
  <si>
    <t>Job Cost Budget</t>
  </si>
  <si>
    <t>Project Name:</t>
  </si>
  <si>
    <t>TUKHS GME Clinic @ Olathe Med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</si>
  <si>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</si>
  <si>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</si>
  <si>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</si>
  <si>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</si>
  <si>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</si>
  <si>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</si>
  <si>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</si>
  <si>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</si>
  <si>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</si>
  <si>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</si>
  <si>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</si>
  <si>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</si>
  <si>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</si>
  <si>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</si>
  <si>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</si>
  <si>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</si>
  <si>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</si>
  <si>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</si>
  <si>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</si>
  <si>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</si>
  <si>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</si>
  <si>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</si>
  <si>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>Finish Carpentry</t>
  </si>
  <si>
    <t>Doors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</si>
  <si>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</si>
  <si>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</si>
  <si>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</si>
  <si>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</si>
  <si>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</si>
  <si>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</si>
  <si>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</si>
  <si>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Ceiling Tile</t>
  </si>
  <si>
    <t>Specialties</t>
  </si>
  <si>
    <t>Other</t>
  </si>
  <si>
    <t>Overtime</t>
  </si>
  <si>
    <t>Allowance Hrs</t>
  </si>
  <si>
    <t>WO#</t>
  </si>
  <si>
    <t>Labor Sub Totals</t>
  </si>
  <si>
    <t>Material</t>
  </si>
  <si>
    <t>Rough Carp</t>
  </si>
  <si>
    <t>Finish Carp</t>
  </si>
  <si>
    <t>Ceiling</t>
  </si>
  <si>
    <t>WO #</t>
  </si>
  <si>
    <t>Material Sub Totals</t>
  </si>
  <si>
    <t>Subcontractors</t>
  </si>
  <si>
    <t>Acoustical Ceilings</t>
  </si>
  <si>
    <t>Subcontractor Totals</t>
  </si>
  <si>
    <t>Equipment Rental</t>
  </si>
  <si>
    <t>Engineering</t>
  </si>
  <si>
    <t>Mileage</t>
  </si>
  <si>
    <t>Tool Rental</t>
  </si>
  <si>
    <t>Bonding</t>
  </si>
  <si>
    <t>Allowance</t>
  </si>
  <si>
    <t>Contingency (from ceiling options)</t>
  </si>
  <si>
    <t>Dumpster</t>
  </si>
  <si>
    <t>Other Sub Totals</t>
  </si>
  <si>
    <t>Budget</t>
  </si>
  <si>
    <t>Contract Amount</t>
  </si>
  <si>
    <t>Estimated Profit</t>
  </si>
  <si>
    <t>Percent</t>
  </si>
  <si>
    <t>Overall Job Totals</t>
  </si>
  <si>
    <t>CO Budget Update</t>
  </si>
  <si>
    <t>Change Amount:</t>
  </si>
  <si>
    <t>CO #</t>
  </si>
  <si>
    <t>Contingency</t>
  </si>
  <si>
    <t>Actual</t>
  </si>
  <si>
    <t>Difference</t>
  </si>
  <si>
    <t>Budget Update</t>
  </si>
  <si>
    <t>Updated Contract :</t>
  </si>
  <si>
    <t>Untion Dues</t>
  </si>
  <si>
    <t>Total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</si>
</sst>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</numFmts>
  <fonts count="24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</font>
    <font>
      <b/>
      <sz val="12.0"/>
      <color theme="1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Alignment="1" applyFont="1" applyNumberFormat="1">
      <alignment readingOrder="0"/>
    </xf>
    <xf borderId="0" fillId="0" fontId="17" numFmtId="3" xfId="0" applyFont="1" applyNumberFormat="1"/>
    <xf borderId="0" fillId="0" fontId="17" numFmtId="167" xfId="0" applyFont="1" applyNumberFormat="1"/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0" fontId="17" numFmtId="0" xfId="0" applyAlignment="1" applyFont="1">
      <alignment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0" xfId="0" applyAlignment="1" applyFont="1">
      <alignment readingOrder="0"/>
    </xf>
    <xf borderId="0" fillId="2" fontId="17" numFmtId="4" xfId="0" applyAlignment="1" applyFont="1" applyNumberFormat="1">
      <alignment readingOrder="0"/>
    </xf>
    <xf borderId="14" fillId="2" fontId="17" numFmtId="4" xfId="0" applyBorder="1" applyFont="1" applyNumberFormat="1"/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5" fillId="0" fontId="18" numFmtId="0" xfId="0" applyBorder="1" applyFont="1"/>
    <xf borderId="15" fillId="0" fontId="21" numFmtId="0" xfId="0" applyAlignment="1" applyBorder="1" applyFont="1">
      <alignment horizontal="right" readingOrder="0"/>
    </xf>
    <xf borderId="15" fillId="0" fontId="4" numFmtId="0" xfId="0" applyBorder="1" applyFont="1"/>
    <xf borderId="15" fillId="0" fontId="20" numFmtId="4" xfId="0" applyAlignment="1" applyBorder="1" applyFont="1" applyNumberFormat="1">
      <alignment horizontal="right" readingOrder="0"/>
    </xf>
    <xf borderId="15" fillId="0" fontId="20" numFmtId="0" xfId="0" applyAlignment="1" applyBorder="1" applyFont="1">
      <alignment horizontal="right" readingOrder="0"/>
    </xf>
    <xf borderId="15" fillId="0" fontId="20" numFmtId="10" xfId="0" applyAlignment="1" applyBorder="1" applyFont="1" applyNumberFormat="1">
      <alignment horizontal="right" readingOrder="0"/>
    </xf>
    <xf borderId="1" fillId="2" fontId="2" numFmtId="10" xfId="0" applyAlignment="1" applyBorder="1" applyFont="1" applyNumberFormat="1">
      <alignment horizontal="left" readingOrder="0" shrinkToFit="0" vertical="top" wrapText="1"/>
    </xf>
    <xf borderId="5" fillId="2" fontId="5" numFmtId="10" xfId="0" applyAlignment="1" applyBorder="1" applyFont="1" applyNumberFormat="1">
      <alignment horizontal="right" readingOrder="0" shrinkToFit="0" vertical="center" wrapText="1"/>
    </xf>
    <xf borderId="5" fillId="2" fontId="5" numFmtId="168" xfId="0" applyAlignment="1" applyBorder="1" applyFont="1" applyNumberFormat="1">
      <alignment horizontal="right" readingOrder="0" shrinkToFit="0" vertical="center" wrapText="1"/>
    </xf>
    <xf borderId="0" fillId="2" fontId="5" numFmtId="10" xfId="0" applyAlignment="1" applyFont="1" applyNumberFormat="1">
      <alignment horizontal="right" readingOrder="0" shrinkToFit="0" vertical="center" wrapText="1"/>
    </xf>
    <xf borderId="10" fillId="2" fontId="14" numFmtId="10" xfId="0" applyAlignment="1" applyBorder="1" applyFont="1" applyNumberFormat="1">
      <alignment horizontal="center" readingOrder="0" shrinkToFit="0" vertical="center" wrapText="1"/>
    </xf>
    <xf borderId="13" fillId="0" fontId="16" numFmtId="10" xfId="0" applyAlignment="1" applyBorder="1" applyFont="1" applyNumberFormat="1">
      <alignment horizontal="right" readingOrder="0"/>
    </xf>
    <xf borderId="0" fillId="3" fontId="17" numFmtId="10" xfId="0" applyFont="1" applyNumberFormat="1"/>
    <xf borderId="0" fillId="0" fontId="17" numFmtId="10" xfId="0" applyFont="1" applyNumberFormat="1"/>
    <xf borderId="0" fillId="2" fontId="17" numFmtId="3" xfId="0" applyAlignment="1" applyFont="1" applyNumberFormat="1">
      <alignment horizontal="right" vertical="bottom"/>
    </xf>
    <xf borderId="0" fillId="4" fontId="17" numFmtId="3" xfId="0" applyAlignment="1" applyFill="1" applyFont="1" applyNumberFormat="1">
      <alignment horizontal="right" vertical="bottom"/>
    </xf>
    <xf borderId="0" fillId="4" fontId="22" numFmtId="3" xfId="0" applyAlignment="1" applyFont="1" applyNumberFormat="1">
      <alignment vertical="bottom"/>
    </xf>
    <xf borderId="0" fillId="2" fontId="22" numFmtId="3" xfId="0" applyAlignment="1" applyFont="1" applyNumberFormat="1">
      <alignment vertical="bottom"/>
    </xf>
    <xf borderId="10" fillId="0" fontId="23" numFmtId="4" xfId="0" applyBorder="1" applyFont="1" applyNumberFormat="1"/>
    <xf borderId="13" fillId="0" fontId="20" numFmtId="10" xfId="0" applyAlignment="1" applyBorder="1" applyFont="1" applyNumberFormat="1">
      <alignment horizontal="right" readingOrder="0"/>
    </xf>
    <xf borderId="13" fillId="0" fontId="20" numFmtId="10" xfId="0" applyAlignment="1" applyBorder="1" applyFont="1" applyNumberFormat="1">
      <alignment horizontal="right" readingOrder="0"/>
    </xf>
    <xf borderId="0" fillId="2" fontId="17" numFmtId="10" xfId="0" applyFont="1" applyNumberFormat="1"/>
    <xf borderId="10" fillId="2" fontId="17" numFmtId="10" xfId="0" applyBorder="1" applyFont="1" applyNumberFormat="1"/>
    <xf borderId="0" fillId="2" fontId="17" numFmtId="10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L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8:L53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5:L6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4:L46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8:L5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L64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3.13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167020.0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2000.0</v>
      </c>
      <c r="E9" s="46"/>
      <c r="F9" s="46">
        <f t="shared" ref="F9:F31" si="1">E9-D9</f>
        <v>-2000</v>
      </c>
      <c r="G9" s="46"/>
      <c r="H9" s="46"/>
      <c r="I9" s="46">
        <f t="shared" ref="I9:I22" si="2">D9/75</f>
        <v>26.66666667</v>
      </c>
      <c r="J9" s="47"/>
      <c r="K9" s="48"/>
      <c r="L9" s="49"/>
    </row>
    <row r="10">
      <c r="A10" s="42"/>
      <c r="B10" s="43"/>
      <c r="C10" s="44" t="s">
        <v>19</v>
      </c>
      <c r="D10" s="45">
        <v>2500.0</v>
      </c>
      <c r="E10" s="46"/>
      <c r="F10" s="46">
        <f t="shared" si="1"/>
        <v>-2500</v>
      </c>
      <c r="G10" s="46"/>
      <c r="H10" s="46"/>
      <c r="I10" s="46">
        <f t="shared" si="2"/>
        <v>33.33333333</v>
      </c>
      <c r="J10" s="47"/>
      <c r="K10" s="48"/>
      <c r="L10" s="49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46"/>
      <c r="H11" s="46"/>
      <c r="I11" s="46">
        <f t="shared" si="2"/>
        <v>13.33333333</v>
      </c>
      <c r="J11" s="47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8"/>
      <c r="L13" s="49"/>
    </row>
    <row r="14">
      <c r="A14" s="42"/>
      <c r="B14" s="42"/>
      <c r="C14" s="44" t="s">
        <v>23</v>
      </c>
      <c r="D14" s="45">
        <v>1170.0</v>
      </c>
      <c r="E14" s="46"/>
      <c r="F14" s="46">
        <f t="shared" si="1"/>
        <v>-1170</v>
      </c>
      <c r="G14" s="46"/>
      <c r="H14" s="46"/>
      <c r="I14" s="46">
        <f t="shared" si="2"/>
        <v>15.6</v>
      </c>
      <c r="J14" s="48"/>
      <c r="K14" s="48"/>
      <c r="L14" s="49"/>
    </row>
    <row r="15">
      <c r="A15" s="42"/>
      <c r="B15" s="42"/>
      <c r="C15" s="44" t="s">
        <v>24</v>
      </c>
      <c r="D15" s="45">
        <v>3451.0</v>
      </c>
      <c r="E15" s="46"/>
      <c r="F15" s="46">
        <f t="shared" si="1"/>
        <v>-3451</v>
      </c>
      <c r="G15" s="46"/>
      <c r="H15" s="46"/>
      <c r="I15" s="46">
        <f t="shared" si="2"/>
        <v>46.01333333</v>
      </c>
      <c r="J15" s="47"/>
      <c r="K15" s="48"/>
      <c r="L15" s="49"/>
    </row>
    <row r="16">
      <c r="A16" s="42"/>
      <c r="B16" s="42"/>
      <c r="C16" s="44" t="s">
        <v>25</v>
      </c>
      <c r="D16" s="45">
        <v>12075.0</v>
      </c>
      <c r="E16" s="46"/>
      <c r="F16" s="46">
        <f t="shared" si="1"/>
        <v>-12075</v>
      </c>
      <c r="G16" s="46"/>
      <c r="H16" s="46"/>
      <c r="I16" s="46">
        <f t="shared" si="2"/>
        <v>161</v>
      </c>
      <c r="J16" s="47"/>
      <c r="K16" s="48"/>
      <c r="L16" s="49"/>
    </row>
    <row r="17">
      <c r="A17" s="42"/>
      <c r="B17" s="42"/>
      <c r="C17" s="44" t="s">
        <v>26</v>
      </c>
      <c r="D17" s="45">
        <v>4200.0</v>
      </c>
      <c r="E17" s="46"/>
      <c r="F17" s="46">
        <f t="shared" si="1"/>
        <v>-4200</v>
      </c>
      <c r="G17" s="46"/>
      <c r="H17" s="46"/>
      <c r="I17" s="46">
        <f t="shared" si="2"/>
        <v>56</v>
      </c>
      <c r="J17" s="47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5">
        <v>7493.0</v>
      </c>
      <c r="E20" s="46"/>
      <c r="F20" s="46">
        <f t="shared" si="1"/>
        <v>-7493</v>
      </c>
      <c r="G20" s="46"/>
      <c r="H20" s="46"/>
      <c r="I20" s="46">
        <f t="shared" si="2"/>
        <v>99.90666667</v>
      </c>
      <c r="J20" s="47"/>
      <c r="K20" s="48"/>
      <c r="L20" s="49"/>
    </row>
    <row r="21">
      <c r="A21" s="42"/>
      <c r="B21" s="42"/>
      <c r="C21" s="44" t="s">
        <v>30</v>
      </c>
      <c r="D21" s="45">
        <v>974.0</v>
      </c>
      <c r="E21" s="46"/>
      <c r="F21" s="46">
        <f t="shared" si="1"/>
        <v>-974</v>
      </c>
      <c r="G21" s="46"/>
      <c r="H21" s="46"/>
      <c r="I21" s="46">
        <f t="shared" si="2"/>
        <v>12.98666667</v>
      </c>
      <c r="J21" s="47"/>
      <c r="K21" s="48"/>
      <c r="L21" s="49"/>
    </row>
    <row r="22">
      <c r="A22" s="42"/>
      <c r="B22" s="42"/>
      <c r="C22" s="44" t="s">
        <v>31</v>
      </c>
      <c r="D22" s="46">
        <f>1197+17013</f>
        <v>18210</v>
      </c>
      <c r="E22" s="46"/>
      <c r="F22" s="46">
        <f t="shared" si="1"/>
        <v>-18210</v>
      </c>
      <c r="G22" s="46"/>
      <c r="H22" s="46"/>
      <c r="I22" s="46">
        <f t="shared" si="2"/>
        <v>242.8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f>2150+300</f>
        <v>2450</v>
      </c>
      <c r="E26" s="46"/>
      <c r="F26" s="46">
        <f t="shared" si="1"/>
        <v>-2450</v>
      </c>
      <c r="G26" s="46"/>
      <c r="H26" s="46"/>
      <c r="I26" s="46">
        <f t="shared" si="3"/>
        <v>32.66666667</v>
      </c>
      <c r="J26" s="48"/>
      <c r="K26" s="48"/>
      <c r="L26" s="49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0"/>
      <c r="B32" s="50"/>
      <c r="C32" s="51" t="s">
        <v>40</v>
      </c>
      <c r="D32" s="52">
        <f t="shared" ref="D32:F32" si="5">SUM(D9:D31)</f>
        <v>55523</v>
      </c>
      <c r="E32" s="52">
        <f t="shared" si="5"/>
        <v>0</v>
      </c>
      <c r="F32" s="52">
        <f t="shared" si="5"/>
        <v>-55523</v>
      </c>
      <c r="G32" s="52"/>
      <c r="H32" s="52"/>
      <c r="I32" s="52">
        <f t="shared" ref="I32:J32" si="6">SUM(I9:I31)</f>
        <v>740.3066667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5">
        <v>21290.0</v>
      </c>
      <c r="E40" s="46"/>
      <c r="F40" s="46">
        <f t="shared" si="7"/>
        <v>-21290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0"/>
      <c r="B46" s="50"/>
      <c r="C46" s="51" t="s">
        <v>46</v>
      </c>
      <c r="D46" s="52">
        <f t="shared" ref="D46:F46" si="8">SUM(D36:D43)</f>
        <v>21290</v>
      </c>
      <c r="E46" s="52">
        <f t="shared" si="8"/>
        <v>0</v>
      </c>
      <c r="F46" s="52">
        <f t="shared" si="8"/>
        <v>-21290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48</v>
      </c>
      <c r="D49" s="45">
        <v>53969.0</v>
      </c>
      <c r="E49" s="46"/>
      <c r="F49" s="46">
        <f t="shared" ref="F49:F52" si="9">E49-D49</f>
        <v>-53969</v>
      </c>
      <c r="G49" s="46"/>
      <c r="H49" s="46"/>
      <c r="I49" s="46"/>
      <c r="J49" s="48"/>
      <c r="K49" s="48"/>
      <c r="L49" s="49"/>
    </row>
    <row r="50">
      <c r="A50" s="42"/>
      <c r="B50" s="43"/>
      <c r="C50" s="69" t="s">
        <v>32</v>
      </c>
      <c r="D50" s="45">
        <v>12780.0</v>
      </c>
      <c r="E50" s="46"/>
      <c r="F50" s="46">
        <f t="shared" si="9"/>
        <v>-12780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0"/>
      <c r="B53" s="50"/>
      <c r="C53" s="51" t="s">
        <v>49</v>
      </c>
      <c r="D53" s="52">
        <f>SUM(D49:D52)</f>
        <v>66749</v>
      </c>
      <c r="E53" s="52">
        <f t="shared" ref="E53:F53" si="10">SUM(E50:E52)</f>
        <v>0</v>
      </c>
      <c r="F53" s="52">
        <f t="shared" si="10"/>
        <v>-12780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50</v>
      </c>
      <c r="D56" s="72"/>
      <c r="E56" s="72"/>
      <c r="F56" s="72">
        <f t="shared" ref="F56:F64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51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52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53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55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5" t="s">
        <v>56</v>
      </c>
      <c r="D62" s="76">
        <v>0.0</v>
      </c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57</v>
      </c>
      <c r="D63" s="72"/>
      <c r="E63" s="72"/>
      <c r="F63" s="77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>SUM(D56:D63)</f>
        <v>0</v>
      </c>
      <c r="E64" s="80">
        <f>SUM(E57:E59)</f>
        <v>0</v>
      </c>
      <c r="F64" s="72">
        <f t="shared" si="11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3" t="s">
        <v>60</v>
      </c>
      <c r="F66" s="83" t="s">
        <v>61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88">
        <f>D64+D53+D46+D32</f>
        <v>143562</v>
      </c>
      <c r="E67" s="88">
        <f>C4</f>
        <v>167020</v>
      </c>
      <c r="F67" s="88">
        <f>E67-D67</f>
        <v>23458</v>
      </c>
      <c r="G67" s="89">
        <f>F67/E67</f>
        <v>0.1404502455</v>
      </c>
      <c r="H67" s="89"/>
      <c r="I67" s="89"/>
      <c r="J67" s="89"/>
      <c r="K67" s="89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64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65</v>
      </c>
      <c r="C4" s="17">
        <v>15430.0</v>
      </c>
      <c r="D4" s="13"/>
      <c r="E4" s="18" t="s">
        <v>66</v>
      </c>
      <c r="F4" s="19">
        <v>1.0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25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5">
        <v>660.0</v>
      </c>
      <c r="E26" s="46"/>
      <c r="F26" s="46">
        <f t="shared" si="1"/>
        <v>-660</v>
      </c>
      <c r="G26" s="46"/>
      <c r="H26" s="46"/>
      <c r="I26" s="46">
        <f t="shared" si="3"/>
        <v>8.8</v>
      </c>
      <c r="J26" s="48"/>
      <c r="K26" s="48"/>
      <c r="L26" s="49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0"/>
      <c r="B32" s="50"/>
      <c r="C32" s="51" t="s">
        <v>40</v>
      </c>
      <c r="D32" s="52">
        <f t="shared" ref="D32:F32" si="5">SUM(D9:D31)</f>
        <v>660</v>
      </c>
      <c r="E32" s="52">
        <f t="shared" si="5"/>
        <v>0</v>
      </c>
      <c r="F32" s="52">
        <f t="shared" si="5"/>
        <v>-660</v>
      </c>
      <c r="G32" s="52"/>
      <c r="H32" s="52"/>
      <c r="I32" s="52">
        <f t="shared" ref="I32:J32" si="6">SUM(I9:I31)</f>
        <v>8.8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5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0"/>
      <c r="B46" s="50"/>
      <c r="C46" s="51" t="s">
        <v>46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48</v>
      </c>
      <c r="D49" s="45">
        <v>9250.0</v>
      </c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69" t="s">
        <v>32</v>
      </c>
      <c r="D50" s="45">
        <v>1721.0</v>
      </c>
      <c r="E50" s="46"/>
      <c r="F50" s="46">
        <f t="shared" ref="F50:F52" si="9">E50-D50</f>
        <v>-1721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0"/>
      <c r="B53" s="50"/>
      <c r="C53" s="51" t="s">
        <v>49</v>
      </c>
      <c r="D53" s="52">
        <f>SUM(D49:D52)</f>
        <v>10971</v>
      </c>
      <c r="E53" s="52">
        <f t="shared" ref="E53:F53" si="10">SUM(E50:E52)</f>
        <v>0</v>
      </c>
      <c r="F53" s="52">
        <f t="shared" si="10"/>
        <v>-1721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50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51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52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53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55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67</v>
      </c>
      <c r="D62" s="76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57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68</v>
      </c>
      <c r="F66" s="82" t="s">
        <v>69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88">
        <f>D64+D53+D46+D32</f>
        <v>11631</v>
      </c>
      <c r="E67" s="88">
        <v>15430.0</v>
      </c>
      <c r="F67" s="88">
        <f>E67-D67</f>
        <v>3799</v>
      </c>
      <c r="G67" s="90">
        <f>F67/E67</f>
        <v>0.2462086844</v>
      </c>
      <c r="H67" s="89"/>
      <c r="I67" s="89"/>
      <c r="J67" s="89"/>
      <c r="K67" s="89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64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161.0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65</v>
      </c>
      <c r="C4" s="17">
        <v>930.0</v>
      </c>
      <c r="D4" s="13"/>
      <c r="E4" s="18" t="s">
        <v>66</v>
      </c>
      <c r="F4" s="19">
        <v>2.0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0"/>
      <c r="B46" s="50"/>
      <c r="C46" s="51" t="s">
        <v>46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48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0"/>
      <c r="B53" s="50"/>
      <c r="C53" s="51" t="s">
        <v>49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50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51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52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53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55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67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57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68</v>
      </c>
      <c r="F66" s="83" t="s">
        <v>61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88">
        <f>D64+D53+D46+D32</f>
        <v>0</v>
      </c>
      <c r="E67" s="88">
        <v>930.0</v>
      </c>
      <c r="F67" s="88">
        <f>E67-D67</f>
        <v>930</v>
      </c>
      <c r="G67" s="90">
        <f>F67/E67</f>
        <v>1</v>
      </c>
      <c r="H67" s="89"/>
      <c r="I67" s="89"/>
      <c r="J67" s="89"/>
      <c r="K67" s="89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64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65</v>
      </c>
      <c r="C4" s="17">
        <v>360.0</v>
      </c>
      <c r="D4" s="13"/>
      <c r="E4" s="18" t="s">
        <v>66</v>
      </c>
      <c r="F4" s="19">
        <v>3.0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25</v>
      </c>
      <c r="D16" s="45">
        <v>313.0</v>
      </c>
      <c r="E16" s="46"/>
      <c r="F16" s="46">
        <f t="shared" si="1"/>
        <v>-313</v>
      </c>
      <c r="G16" s="46"/>
      <c r="H16" s="46"/>
      <c r="I16" s="46">
        <f t="shared" si="2"/>
        <v>4.173333333</v>
      </c>
      <c r="J16" s="48"/>
      <c r="K16" s="48"/>
      <c r="L16" s="49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0"/>
      <c r="B32" s="50"/>
      <c r="C32" s="51" t="s">
        <v>40</v>
      </c>
      <c r="D32" s="52">
        <f t="shared" ref="D32:F32" si="5">SUM(D9:D31)</f>
        <v>313</v>
      </c>
      <c r="E32" s="52">
        <f t="shared" si="5"/>
        <v>0</v>
      </c>
      <c r="F32" s="52">
        <f t="shared" si="5"/>
        <v>-313</v>
      </c>
      <c r="G32" s="52"/>
      <c r="H32" s="52"/>
      <c r="I32" s="52">
        <f t="shared" ref="I32:J32" si="6">SUM(I9:I31)</f>
        <v>4.173333333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0"/>
      <c r="B46" s="50"/>
      <c r="C46" s="51" t="s">
        <v>46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48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0"/>
      <c r="B53" s="50"/>
      <c r="C53" s="51" t="s">
        <v>49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50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51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52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53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55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67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57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68</v>
      </c>
      <c r="F66" s="83" t="s">
        <v>61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88">
        <f>D64+D53+D46+D32</f>
        <v>313</v>
      </c>
      <c r="E67" s="88">
        <v>360.0</v>
      </c>
      <c r="F67" s="88">
        <f>E67-D67</f>
        <v>47</v>
      </c>
      <c r="G67" s="90">
        <f>F67/E67</f>
        <v>0.1305555556</v>
      </c>
      <c r="H67" s="89"/>
      <c r="I67" s="89"/>
      <c r="J67" s="89"/>
      <c r="K67" s="89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91"/>
      <c r="H1" s="2"/>
      <c r="I1" s="2"/>
      <c r="J1" s="3"/>
      <c r="K1" s="3"/>
      <c r="L1" s="2"/>
    </row>
    <row r="2" ht="44.25" customHeight="1">
      <c r="A2" s="1"/>
      <c r="B2" s="4" t="s">
        <v>70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162.0</v>
      </c>
      <c r="G3" s="92"/>
      <c r="H3" s="15"/>
      <c r="I3" s="15"/>
      <c r="J3" s="15"/>
      <c r="K3" s="15"/>
      <c r="L3" s="16"/>
    </row>
    <row r="4" ht="27.0" customHeight="1">
      <c r="A4" s="9"/>
      <c r="B4" s="10" t="s">
        <v>71</v>
      </c>
      <c r="C4" s="17">
        <v>183740.0</v>
      </c>
      <c r="D4" s="13"/>
      <c r="E4" s="18" t="s">
        <v>66</v>
      </c>
      <c r="F4" s="19">
        <v>3.0</v>
      </c>
      <c r="G4" s="92"/>
      <c r="H4" s="15"/>
      <c r="I4" s="93">
        <v>45812.0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94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95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9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97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2000.0</v>
      </c>
      <c r="E9" s="46"/>
      <c r="F9" s="46">
        <f t="shared" ref="F9:F31" si="1">E9-D9</f>
        <v>-2000</v>
      </c>
      <c r="G9" s="98"/>
      <c r="H9" s="46"/>
      <c r="I9" s="46">
        <f t="shared" ref="I9:I22" si="2">D9/75</f>
        <v>26.66666667</v>
      </c>
      <c r="J9" s="99">
        <v>91.0</v>
      </c>
      <c r="K9" s="48"/>
      <c r="L9" s="49"/>
    </row>
    <row r="10">
      <c r="A10" s="42"/>
      <c r="B10" s="43"/>
      <c r="C10" s="44" t="s">
        <v>19</v>
      </c>
      <c r="D10" s="45">
        <v>2500.0</v>
      </c>
      <c r="E10" s="46"/>
      <c r="F10" s="46">
        <f t="shared" si="1"/>
        <v>-2500</v>
      </c>
      <c r="G10" s="98"/>
      <c r="H10" s="46"/>
      <c r="I10" s="46">
        <f t="shared" si="2"/>
        <v>33.33333333</v>
      </c>
      <c r="J10" s="100">
        <v>125.0</v>
      </c>
      <c r="K10" s="48"/>
      <c r="L10" s="49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98"/>
      <c r="H11" s="46"/>
      <c r="I11" s="46">
        <f t="shared" si="2"/>
        <v>13.33333333</v>
      </c>
      <c r="J11" s="99">
        <v>13.0</v>
      </c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98"/>
      <c r="H12" s="46"/>
      <c r="I12" s="46">
        <f t="shared" si="2"/>
        <v>0</v>
      </c>
      <c r="J12" s="101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98"/>
      <c r="H13" s="46"/>
      <c r="I13" s="46">
        <f t="shared" si="2"/>
        <v>0</v>
      </c>
      <c r="J13" s="99">
        <v>16.0</v>
      </c>
      <c r="K13" s="48"/>
      <c r="L13" s="49"/>
    </row>
    <row r="14">
      <c r="A14" s="42"/>
      <c r="B14" s="42"/>
      <c r="C14" s="44" t="s">
        <v>23</v>
      </c>
      <c r="D14" s="45">
        <v>1170.0</v>
      </c>
      <c r="E14" s="46"/>
      <c r="F14" s="46">
        <f t="shared" si="1"/>
        <v>-1170</v>
      </c>
      <c r="G14" s="98"/>
      <c r="H14" s="46"/>
      <c r="I14" s="46">
        <f t="shared" si="2"/>
        <v>15.6</v>
      </c>
      <c r="J14" s="101"/>
      <c r="K14" s="48"/>
      <c r="L14" s="49"/>
    </row>
    <row r="15">
      <c r="A15" s="42"/>
      <c r="B15" s="42"/>
      <c r="C15" s="44" t="s">
        <v>24</v>
      </c>
      <c r="D15" s="45">
        <v>3451.0</v>
      </c>
      <c r="E15" s="46"/>
      <c r="F15" s="46">
        <f t="shared" si="1"/>
        <v>-3451</v>
      </c>
      <c r="G15" s="98"/>
      <c r="H15" s="46"/>
      <c r="I15" s="46">
        <f t="shared" si="2"/>
        <v>46.01333333</v>
      </c>
      <c r="J15" s="99">
        <v>48.0</v>
      </c>
      <c r="K15" s="48"/>
      <c r="L15" s="49"/>
    </row>
    <row r="16">
      <c r="A16" s="42"/>
      <c r="B16" s="42"/>
      <c r="C16" s="44" t="s">
        <v>25</v>
      </c>
      <c r="D16" s="45">
        <f>12075+313</f>
        <v>12388</v>
      </c>
      <c r="E16" s="46"/>
      <c r="F16" s="46">
        <f t="shared" si="1"/>
        <v>-12388</v>
      </c>
      <c r="G16" s="98"/>
      <c r="H16" s="46"/>
      <c r="I16" s="46">
        <f t="shared" si="2"/>
        <v>165.1733333</v>
      </c>
      <c r="J16" s="100">
        <v>309.0</v>
      </c>
      <c r="K16" s="48"/>
      <c r="L16" s="49"/>
    </row>
    <row r="17">
      <c r="A17" s="42"/>
      <c r="B17" s="42"/>
      <c r="C17" s="44" t="s">
        <v>26</v>
      </c>
      <c r="D17" s="45">
        <v>4200.0</v>
      </c>
      <c r="E17" s="46"/>
      <c r="F17" s="46">
        <f t="shared" si="1"/>
        <v>-4200</v>
      </c>
      <c r="G17" s="98"/>
      <c r="H17" s="46"/>
      <c r="I17" s="46">
        <f t="shared" si="2"/>
        <v>56</v>
      </c>
      <c r="J17" s="99">
        <v>34.5</v>
      </c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98"/>
      <c r="H18" s="46"/>
      <c r="I18" s="46">
        <f t="shared" si="2"/>
        <v>0</v>
      </c>
      <c r="J18" s="101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98"/>
      <c r="H19" s="46"/>
      <c r="I19" s="46">
        <f t="shared" si="2"/>
        <v>0</v>
      </c>
      <c r="J19" s="102"/>
      <c r="K19" s="48"/>
      <c r="L19" s="49"/>
    </row>
    <row r="20">
      <c r="A20" s="42"/>
      <c r="B20" s="42"/>
      <c r="C20" s="44" t="s">
        <v>29</v>
      </c>
      <c r="D20" s="45">
        <v>7493.0</v>
      </c>
      <c r="E20" s="46"/>
      <c r="F20" s="46">
        <f t="shared" si="1"/>
        <v>-7493</v>
      </c>
      <c r="G20" s="98"/>
      <c r="H20" s="46"/>
      <c r="I20" s="46">
        <f t="shared" si="2"/>
        <v>99.90666667</v>
      </c>
      <c r="J20" s="100">
        <v>38.0</v>
      </c>
      <c r="K20" s="48"/>
      <c r="L20" s="49"/>
    </row>
    <row r="21">
      <c r="A21" s="42"/>
      <c r="B21" s="42"/>
      <c r="C21" s="44" t="s">
        <v>30</v>
      </c>
      <c r="D21" s="45">
        <v>974.0</v>
      </c>
      <c r="E21" s="46"/>
      <c r="F21" s="46">
        <f t="shared" si="1"/>
        <v>-974</v>
      </c>
      <c r="G21" s="98"/>
      <c r="H21" s="46"/>
      <c r="I21" s="46">
        <f t="shared" si="2"/>
        <v>12.98666667</v>
      </c>
      <c r="J21" s="99">
        <v>104.0</v>
      </c>
      <c r="K21" s="48"/>
      <c r="L21" s="49"/>
    </row>
    <row r="22">
      <c r="A22" s="42"/>
      <c r="B22" s="42"/>
      <c r="C22" s="44" t="s">
        <v>31</v>
      </c>
      <c r="D22" s="46">
        <f>1197+17013</f>
        <v>18210</v>
      </c>
      <c r="E22" s="46"/>
      <c r="F22" s="46">
        <f t="shared" si="1"/>
        <v>-18210</v>
      </c>
      <c r="G22" s="98"/>
      <c r="H22" s="46"/>
      <c r="I22" s="46">
        <f t="shared" si="2"/>
        <v>242.8</v>
      </c>
      <c r="J22" s="101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98"/>
      <c r="H23" s="46"/>
      <c r="I23" s="46">
        <f>D23/65</f>
        <v>0</v>
      </c>
      <c r="J23" s="102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98"/>
      <c r="H24" s="46"/>
      <c r="I24" s="46">
        <f t="shared" ref="I24:I28" si="3">D24/75</f>
        <v>0</v>
      </c>
      <c r="J24" s="101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98"/>
      <c r="H25" s="46"/>
      <c r="I25" s="46">
        <f t="shared" si="3"/>
        <v>0</v>
      </c>
      <c r="J25" s="102"/>
      <c r="K25" s="48"/>
      <c r="L25" s="49"/>
    </row>
    <row r="26">
      <c r="A26" s="42"/>
      <c r="B26" s="42"/>
      <c r="C26" s="44" t="s">
        <v>35</v>
      </c>
      <c r="D26" s="46">
        <f>2150+300+660</f>
        <v>3110</v>
      </c>
      <c r="E26" s="46"/>
      <c r="F26" s="46">
        <f t="shared" si="1"/>
        <v>-3110</v>
      </c>
      <c r="G26" s="98"/>
      <c r="H26" s="46"/>
      <c r="I26" s="46">
        <f t="shared" si="3"/>
        <v>41.46666667</v>
      </c>
      <c r="J26" s="101"/>
      <c r="K26" s="48"/>
      <c r="L26" s="49"/>
    </row>
    <row r="27">
      <c r="A27" s="42"/>
      <c r="B27" s="42"/>
      <c r="C27" s="69" t="s">
        <v>72</v>
      </c>
      <c r="D27" s="46">
        <v>0.0</v>
      </c>
      <c r="E27" s="45">
        <v>9320.83</v>
      </c>
      <c r="F27" s="46">
        <f t="shared" si="1"/>
        <v>9320.83</v>
      </c>
      <c r="G27" s="98"/>
      <c r="H27" s="46"/>
      <c r="I27" s="46">
        <f t="shared" si="3"/>
        <v>0</v>
      </c>
      <c r="J27" s="102"/>
      <c r="K27" s="48"/>
      <c r="L27" s="42"/>
    </row>
    <row r="28">
      <c r="A28" s="42"/>
      <c r="B28" s="42"/>
      <c r="C28" s="44" t="s">
        <v>37</v>
      </c>
      <c r="D28" s="46">
        <v>0.0</v>
      </c>
      <c r="E28" s="45">
        <v>28605.71</v>
      </c>
      <c r="F28" s="46">
        <f t="shared" si="1"/>
        <v>28605.71</v>
      </c>
      <c r="G28" s="98"/>
      <c r="H28" s="46"/>
      <c r="I28" s="46">
        <f t="shared" si="3"/>
        <v>0</v>
      </c>
      <c r="J28" s="101"/>
      <c r="K28" s="48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98"/>
      <c r="H29" s="46"/>
      <c r="I29" s="46"/>
      <c r="J29" s="102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98"/>
      <c r="H30" s="46"/>
      <c r="I30" s="46">
        <f t="shared" ref="I30:I31" si="4">D30/75</f>
        <v>0</v>
      </c>
      <c r="J30" s="100">
        <v>4.0</v>
      </c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98"/>
      <c r="H31" s="46"/>
      <c r="I31" s="46">
        <f t="shared" si="4"/>
        <v>0</v>
      </c>
      <c r="J31" s="102"/>
      <c r="K31" s="48"/>
      <c r="L31" s="42"/>
    </row>
    <row r="32">
      <c r="A32" s="50"/>
      <c r="B32" s="50"/>
      <c r="C32" s="51" t="s">
        <v>40</v>
      </c>
      <c r="D32" s="52">
        <f t="shared" ref="D32:F32" si="5">SUM(D9:D31)</f>
        <v>56496</v>
      </c>
      <c r="E32" s="103">
        <f t="shared" si="5"/>
        <v>37926.54</v>
      </c>
      <c r="F32" s="52">
        <f t="shared" si="5"/>
        <v>-18569.46</v>
      </c>
      <c r="G32" s="61">
        <f>E32/D32</f>
        <v>0.6713137213</v>
      </c>
      <c r="H32" s="52"/>
      <c r="I32" s="52">
        <f t="shared" ref="I32:J32" si="6">SUM(I9:I31)</f>
        <v>753.28</v>
      </c>
      <c r="J32" s="52">
        <f t="shared" si="6"/>
        <v>782.5</v>
      </c>
      <c r="K32" s="52">
        <f>I32-J32</f>
        <v>-29.22</v>
      </c>
      <c r="L32" s="50"/>
    </row>
    <row r="33" ht="20.25" customHeight="1">
      <c r="A33" s="54"/>
      <c r="B33" s="55"/>
      <c r="C33" s="56"/>
      <c r="D33" s="57"/>
      <c r="E33" s="58"/>
      <c r="F33" s="58"/>
      <c r="G33" s="104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98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98"/>
      <c r="H35" s="46"/>
      <c r="I35" s="46"/>
      <c r="J35" s="48"/>
      <c r="K35" s="48"/>
      <c r="L35" s="49"/>
    </row>
    <row r="36" hidden="1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98"/>
      <c r="H36" s="46"/>
      <c r="I36" s="46"/>
      <c r="J36" s="48"/>
      <c r="K36" s="48"/>
      <c r="L36" s="49"/>
    </row>
    <row r="37" hidden="1">
      <c r="A37" s="42"/>
      <c r="B37" s="43"/>
      <c r="C37" s="44" t="s">
        <v>42</v>
      </c>
      <c r="D37" s="46"/>
      <c r="E37" s="46"/>
      <c r="F37" s="46">
        <f t="shared" si="7"/>
        <v>0</v>
      </c>
      <c r="G37" s="98"/>
      <c r="H37" s="46"/>
      <c r="I37" s="46"/>
      <c r="J37" s="48"/>
      <c r="K37" s="48"/>
      <c r="L37" s="49"/>
    </row>
    <row r="38" hidden="1">
      <c r="A38" s="42"/>
      <c r="B38" s="43"/>
      <c r="C38" s="44" t="s">
        <v>43</v>
      </c>
      <c r="D38" s="46"/>
      <c r="E38" s="46"/>
      <c r="F38" s="46">
        <f t="shared" si="7"/>
        <v>0</v>
      </c>
      <c r="G38" s="98"/>
      <c r="H38" s="46"/>
      <c r="I38" s="46"/>
      <c r="J38" s="48"/>
      <c r="K38" s="48"/>
      <c r="L38" s="49"/>
    </row>
    <row r="39" hidden="1">
      <c r="A39" s="42"/>
      <c r="B39" s="43"/>
      <c r="C39" s="44" t="s">
        <v>26</v>
      </c>
      <c r="D39" s="46"/>
      <c r="E39" s="46"/>
      <c r="F39" s="46">
        <f t="shared" si="7"/>
        <v>0</v>
      </c>
      <c r="G39" s="98"/>
      <c r="H39" s="46"/>
      <c r="I39" s="46"/>
      <c r="J39" s="48"/>
      <c r="K39" s="48"/>
      <c r="L39" s="49"/>
    </row>
    <row r="40" hidden="1">
      <c r="A40" s="42"/>
      <c r="B40" s="43"/>
      <c r="C40" s="44" t="s">
        <v>31</v>
      </c>
      <c r="D40" s="45">
        <v>21290.0</v>
      </c>
      <c r="E40" s="46"/>
      <c r="F40" s="46">
        <f t="shared" si="7"/>
        <v>-21290</v>
      </c>
      <c r="G40" s="98"/>
      <c r="H40" s="46"/>
      <c r="I40" s="46"/>
      <c r="J40" s="48"/>
      <c r="K40" s="48"/>
      <c r="L40" s="49"/>
    </row>
    <row r="41" hidden="1">
      <c r="A41" s="42"/>
      <c r="B41" s="42"/>
      <c r="C41" s="44" t="s">
        <v>44</v>
      </c>
      <c r="D41" s="46"/>
      <c r="E41" s="46"/>
      <c r="F41" s="46">
        <f t="shared" si="7"/>
        <v>0</v>
      </c>
      <c r="G41" s="98"/>
      <c r="H41" s="46"/>
      <c r="I41" s="46"/>
      <c r="J41" s="48"/>
      <c r="K41" s="48"/>
      <c r="L41" s="49"/>
    </row>
    <row r="42" hidden="1">
      <c r="A42" s="42"/>
      <c r="B42" s="42"/>
      <c r="C42" s="44" t="s">
        <v>35</v>
      </c>
      <c r="D42" s="46"/>
      <c r="E42" s="46"/>
      <c r="F42" s="46">
        <f t="shared" si="7"/>
        <v>0</v>
      </c>
      <c r="G42" s="98"/>
      <c r="H42" s="46"/>
      <c r="I42" s="46"/>
      <c r="J42" s="48"/>
      <c r="K42" s="48"/>
      <c r="L42" s="49"/>
    </row>
    <row r="43" hidden="1">
      <c r="A43" s="42"/>
      <c r="B43" s="42"/>
      <c r="C43" s="44" t="s">
        <v>36</v>
      </c>
      <c r="D43" s="46"/>
      <c r="E43" s="45">
        <v>12623.32</v>
      </c>
      <c r="F43" s="46">
        <f t="shared" si="7"/>
        <v>12623.32</v>
      </c>
      <c r="G43" s="98"/>
      <c r="H43" s="46"/>
      <c r="I43" s="46"/>
      <c r="J43" s="48"/>
      <c r="K43" s="48"/>
      <c r="L43" s="49"/>
    </row>
    <row r="44" hidden="1">
      <c r="A44" s="42"/>
      <c r="B44" s="42"/>
      <c r="C44" s="44" t="s">
        <v>45</v>
      </c>
      <c r="D44" s="46"/>
      <c r="E44" s="46"/>
      <c r="F44" s="46">
        <f t="shared" si="7"/>
        <v>0</v>
      </c>
      <c r="G44" s="98"/>
      <c r="H44" s="46"/>
      <c r="I44" s="46"/>
      <c r="J44" s="48"/>
      <c r="K44" s="48"/>
      <c r="L44" s="49"/>
    </row>
    <row r="45" hidden="1">
      <c r="A45" s="42"/>
      <c r="B45" s="42"/>
      <c r="C45" s="44" t="s">
        <v>45</v>
      </c>
      <c r="D45" s="46"/>
      <c r="E45" s="46"/>
      <c r="F45" s="46">
        <f t="shared" si="7"/>
        <v>0</v>
      </c>
      <c r="G45" s="98"/>
      <c r="H45" s="46"/>
      <c r="I45" s="46"/>
      <c r="J45" s="48"/>
      <c r="K45" s="48"/>
      <c r="L45" s="49"/>
    </row>
    <row r="46">
      <c r="A46" s="50"/>
      <c r="B46" s="50"/>
      <c r="C46" s="51" t="s">
        <v>46</v>
      </c>
      <c r="D46" s="52">
        <f t="shared" ref="D46:F46" si="8">SUM(D36:D43)</f>
        <v>21290</v>
      </c>
      <c r="E46" s="103">
        <f t="shared" si="8"/>
        <v>12623.32</v>
      </c>
      <c r="F46" s="52">
        <f t="shared" si="8"/>
        <v>-8666.68</v>
      </c>
      <c r="G46" s="61">
        <f>E46/D46</f>
        <v>0.5929224988</v>
      </c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105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98"/>
      <c r="H48" s="46"/>
      <c r="I48" s="46"/>
      <c r="J48" s="48"/>
      <c r="K48" s="48"/>
      <c r="L48" s="49"/>
    </row>
    <row r="49" hidden="1">
      <c r="A49" s="42"/>
      <c r="B49" s="43"/>
      <c r="C49" s="44" t="s">
        <v>48</v>
      </c>
      <c r="D49" s="45">
        <f>9250+53969</f>
        <v>63219</v>
      </c>
      <c r="E49" s="45"/>
      <c r="F49" s="46"/>
      <c r="G49" s="98"/>
      <c r="H49" s="46"/>
      <c r="I49" s="46"/>
      <c r="J49" s="48"/>
      <c r="K49" s="48"/>
      <c r="L49" s="49"/>
    </row>
    <row r="50" hidden="1">
      <c r="A50" s="42"/>
      <c r="B50" s="43"/>
      <c r="C50" s="69" t="s">
        <v>32</v>
      </c>
      <c r="D50" s="45">
        <f>1721+12780</f>
        <v>14501</v>
      </c>
      <c r="E50" s="45">
        <v>70696.1</v>
      </c>
      <c r="F50" s="46">
        <f t="shared" ref="F50:F52" si="9">E50-D50</f>
        <v>56195.1</v>
      </c>
      <c r="G50" s="98"/>
      <c r="H50" s="46"/>
      <c r="I50" s="46"/>
      <c r="J50" s="48"/>
      <c r="K50" s="48"/>
      <c r="L50" s="49"/>
    </row>
    <row r="51" hidden="1">
      <c r="A51" s="42"/>
      <c r="B51" s="43"/>
      <c r="C51" s="44" t="s">
        <v>36</v>
      </c>
      <c r="D51" s="46"/>
      <c r="E51" s="46"/>
      <c r="F51" s="46">
        <f t="shared" si="9"/>
        <v>0</v>
      </c>
      <c r="G51" s="98"/>
      <c r="H51" s="46"/>
      <c r="I51" s="46"/>
      <c r="J51" s="48"/>
      <c r="K51" s="48"/>
      <c r="L51" s="49"/>
    </row>
    <row r="52" hidden="1">
      <c r="A52" s="42"/>
      <c r="B52" s="43"/>
      <c r="C52" s="44" t="s">
        <v>36</v>
      </c>
      <c r="D52" s="46"/>
      <c r="E52" s="46"/>
      <c r="F52" s="46">
        <f t="shared" si="9"/>
        <v>0</v>
      </c>
      <c r="G52" s="98"/>
      <c r="H52" s="46"/>
      <c r="I52" s="46"/>
      <c r="J52" s="48"/>
      <c r="K52" s="48"/>
      <c r="L52" s="49"/>
    </row>
    <row r="53">
      <c r="A53" s="50"/>
      <c r="B53" s="50"/>
      <c r="C53" s="51" t="s">
        <v>49</v>
      </c>
      <c r="D53" s="52">
        <f>SUM(D49:D52)</f>
        <v>77720</v>
      </c>
      <c r="E53" s="103">
        <f t="shared" ref="E53:F53" si="10">SUM(E50:E52)</f>
        <v>70696.1</v>
      </c>
      <c r="F53" s="52">
        <f t="shared" si="10"/>
        <v>56195.1</v>
      </c>
      <c r="G53" s="61">
        <f>E53/D53</f>
        <v>0.909625579</v>
      </c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106"/>
      <c r="H55" s="73"/>
      <c r="I55" s="73"/>
      <c r="J55" s="73"/>
      <c r="K55" s="73"/>
      <c r="L55" s="73"/>
    </row>
    <row r="56" hidden="1">
      <c r="A56" s="73"/>
      <c r="B56" s="74"/>
      <c r="C56" s="71" t="s">
        <v>50</v>
      </c>
      <c r="D56" s="72"/>
      <c r="E56" s="72"/>
      <c r="F56" s="72">
        <f t="shared" ref="F56:F63" si="11">E56-D56</f>
        <v>0</v>
      </c>
      <c r="G56" s="106"/>
      <c r="H56" s="73"/>
      <c r="I56" s="73"/>
      <c r="J56" s="73"/>
      <c r="K56" s="73"/>
      <c r="L56" s="73"/>
    </row>
    <row r="57" hidden="1">
      <c r="A57" s="73"/>
      <c r="B57" s="74"/>
      <c r="C57" s="71" t="s">
        <v>51</v>
      </c>
      <c r="D57" s="72"/>
      <c r="E57" s="72"/>
      <c r="F57" s="72">
        <f t="shared" si="11"/>
        <v>0</v>
      </c>
      <c r="G57" s="106"/>
      <c r="H57" s="73"/>
      <c r="I57" s="73"/>
      <c r="J57" s="73"/>
      <c r="K57" s="73"/>
      <c r="L57" s="73"/>
    </row>
    <row r="58" hidden="1">
      <c r="A58" s="73"/>
      <c r="B58" s="74"/>
      <c r="C58" s="71" t="s">
        <v>52</v>
      </c>
      <c r="D58" s="72"/>
      <c r="E58" s="72"/>
      <c r="F58" s="72">
        <f t="shared" si="11"/>
        <v>0</v>
      </c>
      <c r="G58" s="106"/>
      <c r="H58" s="73"/>
      <c r="I58" s="73"/>
      <c r="J58" s="73"/>
      <c r="K58" s="73"/>
      <c r="L58" s="73"/>
    </row>
    <row r="59" hidden="1">
      <c r="A59" s="73"/>
      <c r="B59" s="74"/>
      <c r="C59" s="71" t="s">
        <v>53</v>
      </c>
      <c r="D59" s="72"/>
      <c r="E59" s="72"/>
      <c r="F59" s="72">
        <f t="shared" si="11"/>
        <v>0</v>
      </c>
      <c r="G59" s="106"/>
      <c r="H59" s="73"/>
      <c r="I59" s="73"/>
      <c r="J59" s="73"/>
      <c r="K59" s="73"/>
      <c r="L59" s="73"/>
    </row>
    <row r="60" hidden="1">
      <c r="A60" s="73"/>
      <c r="B60" s="74"/>
      <c r="C60" s="71" t="s">
        <v>54</v>
      </c>
      <c r="D60" s="72"/>
      <c r="E60" s="72"/>
      <c r="F60" s="72">
        <f t="shared" si="11"/>
        <v>0</v>
      </c>
      <c r="G60" s="106"/>
      <c r="H60" s="73"/>
      <c r="I60" s="73"/>
      <c r="J60" s="73"/>
      <c r="K60" s="73"/>
      <c r="L60" s="73"/>
    </row>
    <row r="61" hidden="1">
      <c r="A61" s="73"/>
      <c r="B61" s="74"/>
      <c r="C61" s="71" t="s">
        <v>55</v>
      </c>
      <c r="D61" s="72"/>
      <c r="E61" s="72"/>
      <c r="F61" s="72">
        <f t="shared" si="11"/>
        <v>0</v>
      </c>
      <c r="G61" s="106"/>
      <c r="H61" s="73"/>
      <c r="I61" s="73"/>
      <c r="J61" s="73"/>
      <c r="K61" s="73"/>
      <c r="L61" s="73"/>
    </row>
    <row r="62" hidden="1">
      <c r="A62" s="73"/>
      <c r="B62" s="74"/>
      <c r="C62" s="71" t="s">
        <v>67</v>
      </c>
      <c r="D62" s="72"/>
      <c r="E62" s="72"/>
      <c r="F62" s="72">
        <f t="shared" si="11"/>
        <v>0</v>
      </c>
      <c r="G62" s="106"/>
      <c r="H62" s="73"/>
      <c r="I62" s="73"/>
      <c r="J62" s="73"/>
      <c r="K62" s="73"/>
      <c r="L62" s="73"/>
    </row>
    <row r="63" hidden="1">
      <c r="A63" s="73"/>
      <c r="B63" s="74"/>
      <c r="C63" s="71" t="s">
        <v>57</v>
      </c>
      <c r="D63" s="72"/>
      <c r="E63" s="72"/>
      <c r="F63" s="72">
        <f t="shared" si="11"/>
        <v>0</v>
      </c>
      <c r="G63" s="106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107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3" t="s">
        <v>60</v>
      </c>
      <c r="F66" s="83" t="s">
        <v>61</v>
      </c>
      <c r="G66" s="108" t="s">
        <v>62</v>
      </c>
      <c r="H66" s="84" t="s">
        <v>73</v>
      </c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88">
        <f>D64+D53+D46+D32</f>
        <v>155506</v>
      </c>
      <c r="E67" s="88">
        <f>C4</f>
        <v>183740</v>
      </c>
      <c r="F67" s="88">
        <f>E67-D67</f>
        <v>28234</v>
      </c>
      <c r="G67" s="90">
        <f>F67/E67</f>
        <v>0.1536627844</v>
      </c>
      <c r="H67" s="88">
        <f>SUM(E32, E46,E53,E64)</f>
        <v>121245.96</v>
      </c>
      <c r="I67" s="90">
        <f>H67/D67</f>
        <v>0.7796867002</v>
      </c>
      <c r="J67" s="89"/>
      <c r="K67" s="89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C67 D5:D8 E5:L67 D32:D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