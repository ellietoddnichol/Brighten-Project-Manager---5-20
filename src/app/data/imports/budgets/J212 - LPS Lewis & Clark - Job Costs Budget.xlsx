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SOV" sheetId="2" r:id="rId6"/>
    <sheet state="visible" name="CO1" sheetId="3" r:id="rId7"/>
    <sheet state="visible" name="CO2" sheetId="4" r:id="rId8"/>
    <sheet state="visible" name="CO3" sheetId="5" r:id="rId9"/>
    <sheet state="visible" name="Updated Budget" sheetId="6" r:id="rId10"/>
  </sheets>
  <definedNames/>
  <calcPr/>
</workbook>
</file>

<file path=xl/sharedStrings.xml><?xml version="1.0" encoding="utf-8"?>
<sst xmlns="http://schemas.openxmlformats.org/spreadsheetml/2006/main" count="421" uniqueCount="106">
  <si>
    <t>Job Cost Budget</t>
  </si>
  <si>
    <t>Project Name:</t>
  </si>
  <si>
    <t>LPS Lewis &amp; Clark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</si>
  <si>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</si>
  <si>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</si>
  <si>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</si>
  <si>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</si>
  <si>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</si>
  <si>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</si>
  <si>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</si>
  <si>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</si>
  <si>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</si>
  <si>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</si>
  <si>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</si>
  <si>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</si>
  <si>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</si>
  <si>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</si>
  <si>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</si>
  <si>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</si>
  <si>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</si>
  <si>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</si>
  <si>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</si>
  <si>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</si>
  <si>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</si>
  <si>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</si>
  <si>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 xml:space="preserve">Finish Carpentry </t>
  </si>
  <si>
    <t xml:space="preserve">Doors 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</si>
  <si>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</si>
  <si>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</si>
  <si>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</si>
  <si>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</si>
  <si>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</si>
  <si>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</si>
  <si>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</si>
  <si>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</si>
  <si>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Specialties</t>
  </si>
  <si>
    <t>Caulking</t>
  </si>
  <si>
    <t>Overtime Hrs</t>
  </si>
  <si>
    <t>Patching</t>
  </si>
  <si>
    <t>WO#</t>
  </si>
  <si>
    <t>Labor Sub Totals</t>
  </si>
  <si>
    <t>Material</t>
  </si>
  <si>
    <t>Rough Carp</t>
  </si>
  <si>
    <t>Finish Carp</t>
  </si>
  <si>
    <t>Doors</t>
  </si>
  <si>
    <t>Ceiling</t>
  </si>
  <si>
    <t>Other</t>
  </si>
  <si>
    <t>WO #</t>
  </si>
  <si>
    <t>Material Sub Totals</t>
  </si>
  <si>
    <t>Subcontractors</t>
  </si>
  <si>
    <t>K Buildings</t>
  </si>
  <si>
    <t>Taping C4</t>
  </si>
  <si>
    <t>Subcontractor Totals</t>
  </si>
  <si>
    <t>Equipment Rental</t>
  </si>
  <si>
    <t>Bonding</t>
  </si>
  <si>
    <t>Allowance</t>
  </si>
  <si>
    <t xml:space="preserve">Contingency </t>
  </si>
  <si>
    <t>Other Sub Totals</t>
  </si>
  <si>
    <t>Budget</t>
  </si>
  <si>
    <t>Contract Amount</t>
  </si>
  <si>
    <t>Estimated Profit</t>
  </si>
  <si>
    <t>Percent</t>
  </si>
  <si>
    <t>Overall Job Totals</t>
  </si>
  <si>
    <t>Brighten SOV</t>
  </si>
  <si>
    <t>PHSD 2026</t>
  </si>
  <si>
    <t>Pre-Con</t>
  </si>
  <si>
    <t>Congress MS Phase 1</t>
  </si>
  <si>
    <t>Framing Labor</t>
  </si>
  <si>
    <t>Framing Material</t>
  </si>
  <si>
    <t>Drywall Labor</t>
  </si>
  <si>
    <t>Drywall Material</t>
  </si>
  <si>
    <t>Tectum Labor</t>
  </si>
  <si>
    <t>Tectum Material</t>
  </si>
  <si>
    <t>Taping/Finishing Sub</t>
  </si>
  <si>
    <t>Equipment</t>
  </si>
  <si>
    <t>Congress MS Phase 2</t>
  </si>
  <si>
    <t>Congress Spray Applied Insualtion Subcontractor</t>
  </si>
  <si>
    <t>Hawthorn ES</t>
  </si>
  <si>
    <t xml:space="preserve">Hawthorn ES </t>
  </si>
  <si>
    <t>Framing/Drywall Labor</t>
  </si>
  <si>
    <t>Framing/Drywall Material</t>
  </si>
  <si>
    <t>Gerner EEC</t>
  </si>
  <si>
    <t>Lump Sum Allowance</t>
  </si>
  <si>
    <t>Allowance Insualtion</t>
  </si>
  <si>
    <t>Allowance Patches</t>
  </si>
  <si>
    <t>Alt 1 Congress HVAC</t>
  </si>
  <si>
    <t>Alt 2 Congress SPED &amp; RR</t>
  </si>
  <si>
    <t>CO Budget Update</t>
  </si>
  <si>
    <t>TUKHS GME Clinic @ Olathe Med</t>
  </si>
  <si>
    <t>Change Amount:</t>
  </si>
  <si>
    <t>CO #</t>
  </si>
  <si>
    <t>Finish Carpentry</t>
  </si>
  <si>
    <t>Overtime</t>
  </si>
  <si>
    <t>Allowance Hrs</t>
  </si>
  <si>
    <t>Acoustical Ceilings</t>
  </si>
  <si>
    <t>Engineering</t>
  </si>
  <si>
    <t>Mileage</t>
  </si>
  <si>
    <t>Tool Rental</t>
  </si>
  <si>
    <t>Contingency</t>
  </si>
  <si>
    <t>Dumpster</t>
  </si>
  <si>
    <t>Actual</t>
  </si>
  <si>
    <t>Difference</t>
  </si>
  <si>
    <t>Budget Update</t>
  </si>
  <si>
    <t>Updated Contract :</t>
  </si>
  <si>
    <t>Untion Dues</t>
  </si>
  <si>
    <t>Total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</si>
</sst>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  <numFmt numFmtId="169" formatCode="&quot;$&quot;#,##0"/>
  </numFmts>
  <fonts count="27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b/>
      <sz val="12.0"/>
      <color theme="1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Alignment="1" applyFont="1" applyNumberFormat="1">
      <alignment readingOrder="0"/>
    </xf>
    <xf borderId="0" fillId="0" fontId="17" numFmtId="3" xfId="0" applyFont="1" applyNumberFormat="1"/>
    <xf borderId="0" fillId="0" fontId="17" numFmtId="167" xfId="0" applyFont="1" applyNumberFormat="1"/>
    <xf borderId="0" fillId="0" fontId="17" numFmtId="0" xfId="0" applyAlignment="1" applyFon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4" fillId="2" fontId="17" numFmtId="4" xfId="0" applyBorder="1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5" fillId="0" fontId="18" numFmtId="0" xfId="0" applyBorder="1" applyFont="1"/>
    <xf borderId="15" fillId="0" fontId="21" numFmtId="0" xfId="0" applyAlignment="1" applyBorder="1" applyFont="1">
      <alignment horizontal="right" readingOrder="0"/>
    </xf>
    <xf borderId="15" fillId="0" fontId="4" numFmtId="0" xfId="0" applyBorder="1" applyFont="1"/>
    <xf borderId="15" fillId="0" fontId="16" numFmtId="4" xfId="0" applyAlignment="1" applyBorder="1" applyFont="1" applyNumberFormat="1">
      <alignment horizontal="right" readingOrder="0"/>
    </xf>
    <xf borderId="15" fillId="0" fontId="16" numFmtId="10" xfId="0" applyAlignment="1" applyBorder="1" applyFont="1" applyNumberFormat="1">
      <alignment horizontal="right" readingOrder="0"/>
    </xf>
    <xf borderId="15" fillId="0" fontId="20" numFmtId="0" xfId="0" applyAlignment="1" applyBorder="1" applyFont="1">
      <alignment horizontal="right" readingOrder="0"/>
    </xf>
    <xf borderId="0" fillId="0" fontId="22" numFmtId="0" xfId="0" applyAlignment="1" applyFont="1">
      <alignment readingOrder="0"/>
    </xf>
    <xf borderId="0" fillId="0" fontId="22" numFmtId="169" xfId="0" applyFont="1" applyNumberFormat="1"/>
    <xf borderId="0" fillId="0" fontId="23" numFmtId="0" xfId="0" applyFont="1"/>
    <xf borderId="0" fillId="0" fontId="22" numFmtId="169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3" numFmtId="169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23" numFmtId="169" xfId="0" applyFont="1" applyNumberFormat="1"/>
    <xf borderId="15" fillId="0" fontId="20" numFmtId="4" xfId="0" applyAlignment="1" applyBorder="1" applyFont="1" applyNumberFormat="1">
      <alignment horizontal="right" readingOrder="0"/>
    </xf>
    <xf borderId="15" fillId="0" fontId="20" numFmtId="10" xfId="0" applyAlignment="1" applyBorder="1" applyFont="1" applyNumberFormat="1">
      <alignment horizontal="right" readingOrder="0"/>
    </xf>
    <xf borderId="1" fillId="2" fontId="2" numFmtId="10" xfId="0" applyAlignment="1" applyBorder="1" applyFont="1" applyNumberFormat="1">
      <alignment horizontal="left" readingOrder="0" shrinkToFit="0" vertical="top" wrapText="1"/>
    </xf>
    <xf borderId="5" fillId="2" fontId="5" numFmtId="10" xfId="0" applyAlignment="1" applyBorder="1" applyFont="1" applyNumberFormat="1">
      <alignment horizontal="right" readingOrder="0" shrinkToFit="0" vertical="center" wrapText="1"/>
    </xf>
    <xf borderId="5" fillId="2" fontId="5" numFmtId="168" xfId="0" applyAlignment="1" applyBorder="1" applyFont="1" applyNumberFormat="1">
      <alignment horizontal="right" readingOrder="0" shrinkToFit="0" vertical="center" wrapText="1"/>
    </xf>
    <xf borderId="0" fillId="2" fontId="5" numFmtId="10" xfId="0" applyAlignment="1" applyFont="1" applyNumberFormat="1">
      <alignment horizontal="right" readingOrder="0" shrinkToFit="0" vertical="center" wrapText="1"/>
    </xf>
    <xf borderId="10" fillId="2" fontId="14" numFmtId="10" xfId="0" applyAlignment="1" applyBorder="1" applyFont="1" applyNumberFormat="1">
      <alignment horizontal="center" readingOrder="0" shrinkToFit="0" vertical="center" wrapText="1"/>
    </xf>
    <xf borderId="13" fillId="0" fontId="16" numFmtId="10" xfId="0" applyAlignment="1" applyBorder="1" applyFont="1" applyNumberFormat="1">
      <alignment horizontal="right" readingOrder="0"/>
    </xf>
    <xf borderId="0" fillId="3" fontId="17" numFmtId="10" xfId="0" applyFont="1" applyNumberFormat="1"/>
    <xf borderId="0" fillId="0" fontId="17" numFmtId="10" xfId="0" applyFont="1" applyNumberFormat="1"/>
    <xf borderId="0" fillId="2" fontId="17" numFmtId="3" xfId="0" applyAlignment="1" applyFont="1" applyNumberFormat="1">
      <alignment horizontal="right" vertical="bottom"/>
    </xf>
    <xf borderId="0" fillId="4" fontId="17" numFmtId="3" xfId="0" applyAlignment="1" applyFill="1" applyFont="1" applyNumberFormat="1">
      <alignment horizontal="right" vertical="bottom"/>
    </xf>
    <xf borderId="0" fillId="4" fontId="25" numFmtId="3" xfId="0" applyAlignment="1" applyFont="1" applyNumberFormat="1">
      <alignment vertical="bottom"/>
    </xf>
    <xf borderId="0" fillId="2" fontId="25" numFmtId="3" xfId="0" applyAlignment="1" applyFont="1" applyNumberFormat="1">
      <alignment vertical="bottom"/>
    </xf>
    <xf borderId="10" fillId="0" fontId="26" numFmtId="4" xfId="0" applyBorder="1" applyFont="1" applyNumberFormat="1"/>
    <xf borderId="13" fillId="0" fontId="20" numFmtId="10" xfId="0" applyAlignment="1" applyBorder="1" applyFont="1" applyNumberFormat="1">
      <alignment horizontal="right" readingOrder="0"/>
    </xf>
    <xf borderId="13" fillId="0" fontId="20" numFmtId="10" xfId="0" applyAlignment="1" applyBorder="1" applyFont="1" applyNumberFormat="1">
      <alignment horizontal="right" readingOrder="0"/>
    </xf>
    <xf borderId="0" fillId="2" fontId="17" numFmtId="10" xfId="0" applyFont="1" applyNumberFormat="1"/>
    <xf borderId="10" fillId="2" fontId="17" numFmtId="10" xfId="0" applyBorder="1" applyFont="1" applyNumberFormat="1"/>
    <xf borderId="0" fillId="2" fontId="17" numFmtId="10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2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4:L60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3.13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212.0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91775.0</v>
      </c>
      <c r="D4" s="13"/>
      <c r="E4" s="18" t="s">
        <v>5</v>
      </c>
      <c r="F4" s="19">
        <v>1.0</v>
      </c>
      <c r="G4" s="15"/>
      <c r="H4" s="15"/>
      <c r="I4" s="15" t="s">
        <v>6</v>
      </c>
      <c r="J4" s="20">
        <v>46132.0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8"/>
      <c r="L9" s="49"/>
    </row>
    <row r="10">
      <c r="A10" s="42"/>
      <c r="B10" s="43"/>
      <c r="C10" s="44" t="s">
        <v>19</v>
      </c>
      <c r="D10" s="45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8"/>
      <c r="L10" s="49"/>
    </row>
    <row r="11">
      <c r="A11" s="42"/>
      <c r="B11" s="43"/>
      <c r="C11" s="44" t="s">
        <v>20</v>
      </c>
      <c r="D11" s="45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8"/>
      <c r="L11" s="49"/>
    </row>
    <row r="12">
      <c r="A12" s="42"/>
      <c r="B12" s="42"/>
      <c r="C12" s="44" t="s">
        <v>21</v>
      </c>
      <c r="D12" s="45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8"/>
      <c r="L12" s="49"/>
    </row>
    <row r="13">
      <c r="A13" s="42"/>
      <c r="B13" s="42"/>
      <c r="C13" s="44" t="s">
        <v>22</v>
      </c>
      <c r="D13" s="45">
        <f>78+234</f>
        <v>312</v>
      </c>
      <c r="E13" s="45"/>
      <c r="F13" s="46">
        <f t="shared" si="1"/>
        <v>-312</v>
      </c>
      <c r="G13" s="46"/>
      <c r="H13" s="46"/>
      <c r="I13" s="46">
        <f t="shared" si="2"/>
        <v>4.16</v>
      </c>
      <c r="J13" s="47"/>
      <c r="K13" s="48"/>
      <c r="L13" s="49"/>
    </row>
    <row r="14">
      <c r="A14" s="42"/>
      <c r="B14" s="42"/>
      <c r="C14" s="44" t="s">
        <v>23</v>
      </c>
      <c r="D14" s="45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5">
        <v>936.0</v>
      </c>
      <c r="E15" s="46"/>
      <c r="F15" s="46">
        <f t="shared" si="1"/>
        <v>-936</v>
      </c>
      <c r="G15" s="46"/>
      <c r="H15" s="46"/>
      <c r="I15" s="46">
        <f t="shared" si="2"/>
        <v>12.48</v>
      </c>
      <c r="J15" s="47"/>
      <c r="K15" s="48"/>
      <c r="L15" s="49"/>
    </row>
    <row r="16">
      <c r="A16" s="42"/>
      <c r="B16" s="42"/>
      <c r="C16" s="50" t="s">
        <v>25</v>
      </c>
      <c r="D16" s="45">
        <v>624.0</v>
      </c>
      <c r="E16" s="46"/>
      <c r="F16" s="46">
        <f t="shared" si="1"/>
        <v>-624</v>
      </c>
      <c r="G16" s="46"/>
      <c r="H16" s="46"/>
      <c r="I16" s="46">
        <f t="shared" si="2"/>
        <v>8.32</v>
      </c>
      <c r="J16" s="47"/>
      <c r="K16" s="48"/>
      <c r="L16" s="49"/>
    </row>
    <row r="17">
      <c r="A17" s="42"/>
      <c r="B17" s="42"/>
      <c r="C17" s="50" t="s">
        <v>26</v>
      </c>
      <c r="D17" s="45">
        <v>1200.0</v>
      </c>
      <c r="E17" s="46"/>
      <c r="F17" s="46">
        <f t="shared" si="1"/>
        <v>-1200</v>
      </c>
      <c r="G17" s="46"/>
      <c r="H17" s="46"/>
      <c r="I17" s="46">
        <f t="shared" si="2"/>
        <v>16</v>
      </c>
      <c r="J17" s="47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5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8"/>
      <c r="L20" s="49"/>
    </row>
    <row r="21">
      <c r="A21" s="42"/>
      <c r="B21" s="42"/>
      <c r="C21" s="44" t="s">
        <v>30</v>
      </c>
      <c r="D21" s="45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8"/>
      <c r="L21" s="49"/>
    </row>
    <row r="22">
      <c r="A22" s="42"/>
      <c r="B22" s="42"/>
      <c r="C22" s="44" t="s">
        <v>31</v>
      </c>
      <c r="D22" s="45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5">
        <v>0.0</v>
      </c>
      <c r="E24" s="46"/>
      <c r="F24" s="46">
        <f t="shared" si="1"/>
        <v>0</v>
      </c>
      <c r="G24" s="46"/>
      <c r="H24" s="46"/>
      <c r="I24" s="46">
        <f t="shared" ref="I24:I31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5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50" t="s">
        <v>35</v>
      </c>
      <c r="D26" s="45">
        <f>10322+1810</f>
        <v>12132</v>
      </c>
      <c r="E26" s="46"/>
      <c r="F26" s="46">
        <f t="shared" si="1"/>
        <v>-12132</v>
      </c>
      <c r="G26" s="46"/>
      <c r="H26" s="46"/>
      <c r="I26" s="46">
        <f t="shared" si="3"/>
        <v>161.76</v>
      </c>
      <c r="J26" s="48"/>
      <c r="K26" s="48"/>
      <c r="L26" s="49"/>
    </row>
    <row r="27">
      <c r="A27" s="42"/>
      <c r="B27" s="42"/>
      <c r="C27" s="50" t="s">
        <v>36</v>
      </c>
      <c r="D27" s="45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50" t="s">
        <v>37</v>
      </c>
      <c r="D28" s="45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50" t="s">
        <v>38</v>
      </c>
      <c r="D29" s="45">
        <v>0.0</v>
      </c>
      <c r="E29" s="46"/>
      <c r="F29" s="46">
        <f t="shared" si="1"/>
        <v>0</v>
      </c>
      <c r="G29" s="46"/>
      <c r="H29" s="46"/>
      <c r="I29" s="46">
        <f t="shared" si="3"/>
        <v>0</v>
      </c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si="3"/>
        <v>0</v>
      </c>
      <c r="J30" s="47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3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4">SUM(D9:D31)</f>
        <v>15204</v>
      </c>
      <c r="E32" s="53">
        <f t="shared" si="4"/>
        <v>0</v>
      </c>
      <c r="F32" s="53">
        <f t="shared" si="4"/>
        <v>-15204</v>
      </c>
      <c r="G32" s="53"/>
      <c r="H32" s="53"/>
      <c r="I32" s="53">
        <f t="shared" ref="I32:J32" si="5">SUM(I9:I31)</f>
        <v>202.72</v>
      </c>
      <c r="J32" s="53">
        <f t="shared" si="5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6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6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6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6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5"/>
      <c r="E40" s="46"/>
      <c r="F40" s="46">
        <f t="shared" si="6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6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>
        <f>6393.83+40673+7148.17</f>
        <v>54215</v>
      </c>
      <c r="E42" s="46"/>
      <c r="F42" s="46">
        <f t="shared" si="6"/>
        <v>-54215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6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6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6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7">SUM(D36:D43)</f>
        <v>54215</v>
      </c>
      <c r="E46" s="53">
        <f t="shared" si="7"/>
        <v>0</v>
      </c>
      <c r="F46" s="53">
        <f t="shared" si="7"/>
        <v>-54215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50" t="s">
        <v>50</v>
      </c>
      <c r="D49" s="45"/>
      <c r="E49" s="46"/>
      <c r="F49" s="46">
        <f t="shared" ref="F49:F51" si="8">E49-D49</f>
        <v>0</v>
      </c>
      <c r="G49" s="46"/>
      <c r="H49" s="46"/>
      <c r="I49" s="46"/>
      <c r="J49" s="48"/>
      <c r="K49" s="48"/>
      <c r="L49" s="49"/>
    </row>
    <row r="50">
      <c r="A50" s="42"/>
      <c r="B50" s="43"/>
      <c r="C50" s="50" t="s">
        <v>51</v>
      </c>
      <c r="D50" s="45"/>
      <c r="E50" s="46"/>
      <c r="F50" s="46">
        <f t="shared" si="8"/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50"/>
      <c r="D51" s="45"/>
      <c r="E51" s="46"/>
      <c r="F51" s="46">
        <f t="shared" si="8"/>
        <v>0</v>
      </c>
      <c r="G51" s="46"/>
      <c r="H51" s="46"/>
      <c r="I51" s="46"/>
      <c r="J51" s="48"/>
      <c r="K51" s="48"/>
      <c r="L51" s="49"/>
    </row>
    <row r="52">
      <c r="A52" s="51"/>
      <c r="B52" s="51"/>
      <c r="C52" s="52" t="s">
        <v>52</v>
      </c>
      <c r="D52" s="53">
        <f>SUM(D49:D51)</f>
        <v>0</v>
      </c>
      <c r="E52" s="53">
        <f t="shared" ref="E52:F52" si="9">SUM(E50:E51)</f>
        <v>0</v>
      </c>
      <c r="F52" s="53">
        <f t="shared" si="9"/>
        <v>0</v>
      </c>
      <c r="G52" s="62"/>
      <c r="H52" s="53"/>
      <c r="I52" s="53"/>
      <c r="J52" s="53"/>
      <c r="K52" s="54"/>
      <c r="L52" s="51"/>
    </row>
    <row r="53">
      <c r="A53" s="70"/>
    </row>
    <row r="54" ht="23.25" customHeight="1">
      <c r="A54" s="71">
        <v>4.0</v>
      </c>
      <c r="B54" s="71" t="s">
        <v>46</v>
      </c>
      <c r="C54" s="71"/>
      <c r="D54" s="72"/>
      <c r="E54" s="72"/>
      <c r="F54" s="72"/>
      <c r="G54" s="73"/>
      <c r="H54" s="73"/>
      <c r="I54" s="73"/>
      <c r="J54" s="73"/>
      <c r="K54" s="73"/>
      <c r="L54" s="73"/>
    </row>
    <row r="55">
      <c r="A55" s="73"/>
      <c r="B55" s="74"/>
      <c r="C55" s="71" t="s">
        <v>53</v>
      </c>
      <c r="D55" s="75"/>
      <c r="E55" s="72"/>
      <c r="F55" s="72">
        <f t="shared" ref="F55:F60" si="10">E55-D55</f>
        <v>0</v>
      </c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5">
        <f>2081.25+313.13</f>
        <v>2394.38</v>
      </c>
      <c r="E56" s="72"/>
      <c r="F56" s="72">
        <f t="shared" si="10"/>
        <v>-2394.38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55</v>
      </c>
      <c r="D57" s="75">
        <v>5000.0</v>
      </c>
      <c r="E57" s="72"/>
      <c r="F57" s="72">
        <f t="shared" si="10"/>
        <v>-5000</v>
      </c>
      <c r="G57" s="73"/>
      <c r="H57" s="73"/>
      <c r="I57" s="73"/>
      <c r="J57" s="73"/>
      <c r="K57" s="73"/>
      <c r="L57" s="73"/>
    </row>
    <row r="58">
      <c r="A58" s="73"/>
      <c r="B58" s="74"/>
      <c r="C58" s="76" t="s">
        <v>56</v>
      </c>
      <c r="D58" s="75"/>
      <c r="E58" s="72"/>
      <c r="F58" s="72">
        <f t="shared" si="10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/>
      <c r="D59" s="72"/>
      <c r="E59" s="72"/>
      <c r="F59" s="77">
        <f t="shared" si="10"/>
        <v>0</v>
      </c>
      <c r="G59" s="73"/>
      <c r="H59" s="73"/>
      <c r="I59" s="73"/>
      <c r="J59" s="73"/>
      <c r="K59" s="73"/>
      <c r="L59" s="73"/>
    </row>
    <row r="60">
      <c r="A60" s="78"/>
      <c r="B60" s="78"/>
      <c r="C60" s="79" t="s">
        <v>57</v>
      </c>
      <c r="D60" s="80">
        <f>SUM(D55:D59)</f>
        <v>7394.38</v>
      </c>
      <c r="E60" s="80"/>
      <c r="F60" s="72">
        <f t="shared" si="10"/>
        <v>-7394.38</v>
      </c>
      <c r="G60" s="78"/>
      <c r="H60" s="78"/>
      <c r="I60" s="78"/>
      <c r="J60" s="78"/>
      <c r="K60" s="78"/>
      <c r="L60" s="78"/>
    </row>
    <row r="61">
      <c r="A61" s="70"/>
    </row>
    <row r="62">
      <c r="A62" s="70"/>
      <c r="B62" s="70"/>
      <c r="C62" s="81"/>
      <c r="D62" s="82" t="s">
        <v>58</v>
      </c>
      <c r="E62" s="83" t="s">
        <v>59</v>
      </c>
      <c r="F62" s="83" t="s">
        <v>60</v>
      </c>
      <c r="G62" s="84" t="s">
        <v>61</v>
      </c>
      <c r="H62" s="70"/>
      <c r="I62" s="70"/>
      <c r="J62" s="70"/>
      <c r="K62" s="70"/>
      <c r="L62" s="70"/>
    </row>
    <row r="63" ht="42.0" customHeight="1">
      <c r="A63" s="85"/>
      <c r="B63" s="86" t="s">
        <v>62</v>
      </c>
      <c r="C63" s="87"/>
      <c r="D63" s="88">
        <f>D60+D52+D46+D32</f>
        <v>76813.38</v>
      </c>
      <c r="E63" s="88">
        <f>C4</f>
        <v>91775</v>
      </c>
      <c r="F63" s="88">
        <f>E63-D63</f>
        <v>14961.62</v>
      </c>
      <c r="G63" s="89">
        <f>F63/E63</f>
        <v>0.1630250068</v>
      </c>
      <c r="H63" s="90"/>
      <c r="I63" s="90"/>
      <c r="J63" s="90"/>
      <c r="K63" s="90"/>
      <c r="L63" s="85"/>
    </row>
  </sheetData>
  <mergeCells count="6">
    <mergeCell ref="B2:C2"/>
    <mergeCell ref="D2:K2"/>
    <mergeCell ref="C3:D3"/>
    <mergeCell ref="A53:L53"/>
    <mergeCell ref="A61:L61"/>
    <mergeCell ref="B63:C63"/>
  </mergeCells>
  <conditionalFormatting sqref="J7:K7 J33:K33 J47:K47 J63:K63">
    <cfRule type="expression" dxfId="4" priority="1">
      <formula>AND(OR($D7="In progress",$D7="Not started" ),OR($J7=today(), $J7=today()+1))</formula>
    </cfRule>
  </conditionalFormatting>
  <conditionalFormatting sqref="D7 D33 D47 D63:F63">
    <cfRule type="cellIs" dxfId="5" priority="2" operator="equal">
      <formula>"Not started"</formula>
    </cfRule>
  </conditionalFormatting>
  <conditionalFormatting sqref="D7 D33 D47 D63:F63">
    <cfRule type="cellIs" dxfId="6" priority="3" operator="equal">
      <formula>"In progress"</formula>
    </cfRule>
  </conditionalFormatting>
  <conditionalFormatting sqref="A7:L7 A33:L33 A47:L47 A63:L63">
    <cfRule type="expression" dxfId="7" priority="4">
      <formula>RegExMatch(($D7),"Done")</formula>
    </cfRule>
  </conditionalFormatting>
  <conditionalFormatting sqref="E7:I7 E33:I33 D47:J47 D63:J63">
    <cfRule type="timePeriod" dxfId="8" priority="5" timePeriod="today"/>
  </conditionalFormatting>
  <conditionalFormatting sqref="E7:I7 E33:I33 D47:J47 D63:J63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4" max="4" width="37.38"/>
  </cols>
  <sheetData>
    <row r="1">
      <c r="A1" s="91" t="s">
        <v>63</v>
      </c>
      <c r="B1" s="92"/>
      <c r="D1" s="91" t="s">
        <v>63</v>
      </c>
      <c r="E1" s="93"/>
    </row>
    <row r="2">
      <c r="A2" s="91" t="s">
        <v>64</v>
      </c>
      <c r="B2" s="92"/>
      <c r="D2" s="91" t="s">
        <v>64</v>
      </c>
      <c r="E2" s="93"/>
    </row>
    <row r="3">
      <c r="A3" s="91"/>
      <c r="B3" s="94"/>
      <c r="E3" s="93"/>
    </row>
    <row r="4">
      <c r="A4" s="91" t="s">
        <v>65</v>
      </c>
      <c r="B4" s="94">
        <v>15300.0</v>
      </c>
      <c r="D4" s="95" t="s">
        <v>65</v>
      </c>
      <c r="E4" s="96">
        <v>15300.0</v>
      </c>
    </row>
    <row r="5">
      <c r="A5" s="91" t="s">
        <v>66</v>
      </c>
      <c r="B5" s="94">
        <v>116270.0</v>
      </c>
      <c r="D5" s="95" t="s">
        <v>66</v>
      </c>
      <c r="E5" s="96"/>
      <c r="F5" s="96"/>
    </row>
    <row r="6">
      <c r="A6" s="91"/>
      <c r="B6" s="94"/>
      <c r="D6" s="97" t="s">
        <v>67</v>
      </c>
      <c r="E6" s="96">
        <v>15700.0</v>
      </c>
    </row>
    <row r="7">
      <c r="A7" s="91"/>
      <c r="B7" s="94"/>
      <c r="D7" s="97" t="s">
        <v>68</v>
      </c>
      <c r="E7" s="96">
        <v>4855.0</v>
      </c>
    </row>
    <row r="8">
      <c r="A8" s="91"/>
      <c r="B8" s="94"/>
      <c r="D8" s="97" t="s">
        <v>69</v>
      </c>
      <c r="E8" s="96">
        <v>40670.0</v>
      </c>
    </row>
    <row r="9">
      <c r="A9" s="91"/>
      <c r="B9" s="94"/>
      <c r="D9" s="97" t="s">
        <v>70</v>
      </c>
      <c r="E9" s="96">
        <v>12000.0</v>
      </c>
    </row>
    <row r="10">
      <c r="A10" s="91"/>
      <c r="B10" s="94"/>
      <c r="D10" s="97" t="s">
        <v>71</v>
      </c>
      <c r="E10" s="96">
        <v>6000.0</v>
      </c>
    </row>
    <row r="11">
      <c r="A11" s="91"/>
      <c r="B11" s="94"/>
      <c r="D11" s="97" t="s">
        <v>72</v>
      </c>
      <c r="E11" s="96">
        <v>14000.0</v>
      </c>
    </row>
    <row r="12">
      <c r="A12" s="91"/>
      <c r="B12" s="94"/>
      <c r="D12" s="97" t="s">
        <v>73</v>
      </c>
      <c r="E12" s="96">
        <v>21045.0</v>
      </c>
    </row>
    <row r="13">
      <c r="A13" s="91"/>
      <c r="B13" s="94"/>
      <c r="D13" s="97" t="s">
        <v>74</v>
      </c>
      <c r="E13" s="96">
        <v>2000.0</v>
      </c>
    </row>
    <row r="14">
      <c r="A14" s="91" t="s">
        <v>75</v>
      </c>
      <c r="B14" s="94">
        <v>113300.0</v>
      </c>
      <c r="D14" s="95" t="s">
        <v>75</v>
      </c>
      <c r="E14" s="96"/>
      <c r="F14" s="96"/>
    </row>
    <row r="15">
      <c r="A15" s="91"/>
      <c r="B15" s="94"/>
      <c r="D15" s="97" t="s">
        <v>67</v>
      </c>
      <c r="E15" s="96">
        <v>21500.0</v>
      </c>
    </row>
    <row r="16">
      <c r="A16" s="91"/>
      <c r="B16" s="94"/>
      <c r="D16" s="97" t="s">
        <v>68</v>
      </c>
      <c r="E16" s="96">
        <v>5800.0</v>
      </c>
    </row>
    <row r="17">
      <c r="A17" s="91"/>
      <c r="B17" s="94"/>
      <c r="D17" s="97" t="s">
        <v>69</v>
      </c>
      <c r="E17" s="96">
        <v>47000.0</v>
      </c>
    </row>
    <row r="18">
      <c r="A18" s="91"/>
      <c r="B18" s="94"/>
      <c r="D18" s="97" t="s">
        <v>70</v>
      </c>
      <c r="E18" s="96">
        <v>14000.0</v>
      </c>
    </row>
    <row r="19">
      <c r="A19" s="91"/>
      <c r="B19" s="94"/>
      <c r="D19" s="97" t="s">
        <v>73</v>
      </c>
      <c r="E19" s="96">
        <v>24000.0</v>
      </c>
    </row>
    <row r="20">
      <c r="A20" s="91" t="s">
        <v>76</v>
      </c>
      <c r="B20" s="94">
        <v>26000.0</v>
      </c>
      <c r="D20" s="97" t="s">
        <v>76</v>
      </c>
      <c r="E20" s="96">
        <v>26000.0</v>
      </c>
      <c r="F20" s="96"/>
    </row>
    <row r="21">
      <c r="A21" s="91"/>
      <c r="B21" s="94"/>
      <c r="D21" s="97" t="s">
        <v>74</v>
      </c>
      <c r="E21" s="96">
        <v>1000.0</v>
      </c>
    </row>
    <row r="22">
      <c r="A22" s="91" t="s">
        <v>77</v>
      </c>
      <c r="B22" s="94">
        <v>5030.0</v>
      </c>
      <c r="D22" s="95" t="s">
        <v>78</v>
      </c>
      <c r="E22" s="96"/>
      <c r="F22" s="96"/>
    </row>
    <row r="23">
      <c r="A23" s="91"/>
      <c r="B23" s="94"/>
      <c r="D23" s="97" t="s">
        <v>79</v>
      </c>
      <c r="E23" s="96">
        <v>1200.0</v>
      </c>
    </row>
    <row r="24">
      <c r="A24" s="91"/>
      <c r="B24" s="94"/>
      <c r="D24" s="97" t="s">
        <v>80</v>
      </c>
      <c r="E24" s="96">
        <v>830.0</v>
      </c>
    </row>
    <row r="25">
      <c r="A25" s="91"/>
      <c r="B25" s="94"/>
      <c r="D25" s="97" t="s">
        <v>73</v>
      </c>
      <c r="E25" s="96">
        <v>3000.0</v>
      </c>
    </row>
    <row r="26">
      <c r="A26" s="91" t="s">
        <v>81</v>
      </c>
      <c r="B26" s="94">
        <v>15620.0</v>
      </c>
      <c r="D26" s="95" t="s">
        <v>81</v>
      </c>
      <c r="E26" s="96"/>
    </row>
    <row r="27">
      <c r="A27" s="91"/>
      <c r="B27" s="94"/>
      <c r="D27" s="97" t="s">
        <v>79</v>
      </c>
      <c r="E27" s="96">
        <v>5620.0</v>
      </c>
    </row>
    <row r="28">
      <c r="A28" s="91"/>
      <c r="B28" s="94"/>
      <c r="D28" s="97" t="s">
        <v>80</v>
      </c>
      <c r="E28" s="96">
        <v>3000.0</v>
      </c>
    </row>
    <row r="29">
      <c r="A29" s="91"/>
      <c r="B29" s="94"/>
      <c r="D29" s="97" t="s">
        <v>73</v>
      </c>
      <c r="E29" s="96">
        <v>7000.0</v>
      </c>
    </row>
    <row r="30">
      <c r="A30" s="91" t="s">
        <v>82</v>
      </c>
      <c r="B30" s="94">
        <v>40000.0</v>
      </c>
      <c r="D30" s="95" t="s">
        <v>82</v>
      </c>
      <c r="E30" s="96">
        <v>40000.0</v>
      </c>
    </row>
    <row r="31">
      <c r="A31" s="91" t="s">
        <v>83</v>
      </c>
      <c r="B31" s="94">
        <v>8000.0</v>
      </c>
      <c r="D31" s="95" t="s">
        <v>83</v>
      </c>
      <c r="E31" s="96">
        <v>8000.0</v>
      </c>
    </row>
    <row r="32">
      <c r="A32" s="91" t="s">
        <v>84</v>
      </c>
      <c r="B32" s="94">
        <v>8000.0</v>
      </c>
      <c r="D32" s="95" t="s">
        <v>84</v>
      </c>
      <c r="E32" s="96">
        <v>8000.0</v>
      </c>
    </row>
    <row r="33">
      <c r="A33" s="91" t="s">
        <v>85</v>
      </c>
      <c r="B33" s="94">
        <v>4200.0</v>
      </c>
      <c r="D33" s="95" t="s">
        <v>85</v>
      </c>
      <c r="E33" s="96">
        <v>4200.0</v>
      </c>
    </row>
    <row r="34">
      <c r="A34" s="91" t="s">
        <v>86</v>
      </c>
      <c r="B34" s="94">
        <v>8500.0</v>
      </c>
      <c r="D34" s="95" t="s">
        <v>86</v>
      </c>
      <c r="E34" s="96">
        <v>8500.0</v>
      </c>
    </row>
    <row r="35">
      <c r="B35" s="92"/>
      <c r="E35" s="93"/>
    </row>
    <row r="36">
      <c r="A36" s="91" t="s">
        <v>59</v>
      </c>
      <c r="B36" s="92">
        <f>SUM(B4:B34)</f>
        <v>360220</v>
      </c>
      <c r="E36" s="98">
        <f>SUM(E4:E35)</f>
        <v>360220</v>
      </c>
    </row>
    <row r="37">
      <c r="B37" s="94"/>
      <c r="E37" s="93"/>
    </row>
    <row r="38">
      <c r="B38" s="92"/>
      <c r="E38" s="93"/>
    </row>
    <row r="39">
      <c r="B39" s="92"/>
      <c r="E39" s="93"/>
    </row>
    <row r="40">
      <c r="B40" s="92"/>
      <c r="E40" s="93"/>
    </row>
    <row r="41">
      <c r="B41" s="92"/>
      <c r="E41" s="93"/>
    </row>
    <row r="42">
      <c r="B42" s="92"/>
      <c r="E42" s="93"/>
    </row>
    <row r="43">
      <c r="B43" s="92"/>
      <c r="E43" s="93"/>
    </row>
    <row r="44">
      <c r="B44" s="92"/>
      <c r="E44" s="93"/>
    </row>
    <row r="45">
      <c r="B45" s="92"/>
      <c r="E45" s="93"/>
    </row>
    <row r="46">
      <c r="B46" s="92"/>
      <c r="E46" s="93"/>
    </row>
    <row r="47">
      <c r="B47" s="92"/>
      <c r="E47" s="93"/>
    </row>
    <row r="48">
      <c r="B48" s="92"/>
      <c r="E48" s="93"/>
    </row>
    <row r="49">
      <c r="B49" s="92"/>
      <c r="E49" s="93"/>
    </row>
    <row r="50">
      <c r="B50" s="92"/>
      <c r="E50" s="93"/>
    </row>
    <row r="51">
      <c r="B51" s="92"/>
      <c r="E51" s="93"/>
    </row>
    <row r="52">
      <c r="B52" s="92"/>
      <c r="E52" s="93"/>
    </row>
    <row r="53">
      <c r="B53" s="92"/>
      <c r="E53" s="93"/>
    </row>
    <row r="54">
      <c r="B54" s="92"/>
      <c r="E54" s="93"/>
    </row>
    <row r="55">
      <c r="B55" s="92"/>
      <c r="E55" s="93"/>
    </row>
    <row r="56">
      <c r="B56" s="92"/>
      <c r="E56" s="93"/>
    </row>
    <row r="57">
      <c r="B57" s="92"/>
      <c r="E57" s="93"/>
    </row>
    <row r="58">
      <c r="B58" s="92"/>
      <c r="E58" s="93"/>
    </row>
    <row r="59">
      <c r="B59" s="92"/>
      <c r="E59" s="93"/>
    </row>
    <row r="60">
      <c r="B60" s="92"/>
      <c r="E60" s="93"/>
    </row>
    <row r="61">
      <c r="B61" s="92"/>
      <c r="E61" s="93"/>
    </row>
    <row r="62">
      <c r="B62" s="92"/>
      <c r="E62" s="93"/>
    </row>
    <row r="63">
      <c r="B63" s="92"/>
      <c r="E63" s="93"/>
    </row>
    <row r="64">
      <c r="B64" s="92"/>
      <c r="E64" s="93"/>
    </row>
    <row r="65">
      <c r="B65" s="92"/>
      <c r="E65" s="93"/>
    </row>
    <row r="66">
      <c r="B66" s="92"/>
      <c r="E66" s="93"/>
    </row>
    <row r="67">
      <c r="B67" s="92"/>
      <c r="E67" s="93"/>
    </row>
    <row r="68">
      <c r="B68" s="92"/>
      <c r="E68" s="93"/>
    </row>
    <row r="69">
      <c r="B69" s="92"/>
      <c r="E69" s="93"/>
    </row>
    <row r="70">
      <c r="B70" s="92"/>
      <c r="E70" s="93"/>
    </row>
    <row r="71">
      <c r="B71" s="92"/>
      <c r="E71" s="93"/>
    </row>
    <row r="72">
      <c r="B72" s="92"/>
      <c r="E72" s="93"/>
    </row>
    <row r="73">
      <c r="B73" s="92"/>
      <c r="E73" s="93"/>
    </row>
    <row r="74">
      <c r="B74" s="92"/>
      <c r="E74" s="93"/>
    </row>
    <row r="75">
      <c r="B75" s="92"/>
      <c r="E75" s="93"/>
    </row>
    <row r="76">
      <c r="B76" s="92"/>
      <c r="E76" s="93"/>
    </row>
    <row r="77">
      <c r="B77" s="92"/>
      <c r="E77" s="93"/>
    </row>
    <row r="78">
      <c r="B78" s="92"/>
      <c r="E78" s="93"/>
    </row>
    <row r="79">
      <c r="B79" s="92"/>
      <c r="E79" s="93"/>
    </row>
    <row r="80">
      <c r="B80" s="92"/>
      <c r="E80" s="93"/>
    </row>
    <row r="81">
      <c r="B81" s="92"/>
      <c r="E81" s="93"/>
    </row>
    <row r="82">
      <c r="B82" s="92"/>
      <c r="E82" s="93"/>
    </row>
    <row r="83">
      <c r="B83" s="92"/>
      <c r="E83" s="93"/>
    </row>
    <row r="84">
      <c r="B84" s="92"/>
      <c r="E84" s="93"/>
    </row>
    <row r="85">
      <c r="B85" s="92"/>
      <c r="E85" s="93"/>
    </row>
    <row r="86">
      <c r="B86" s="92"/>
      <c r="E86" s="93"/>
    </row>
    <row r="87">
      <c r="B87" s="92"/>
      <c r="E87" s="93"/>
    </row>
    <row r="88">
      <c r="B88" s="92"/>
      <c r="E88" s="93"/>
    </row>
    <row r="89">
      <c r="B89" s="92"/>
      <c r="E89" s="93"/>
    </row>
    <row r="90">
      <c r="B90" s="92"/>
      <c r="E90" s="93"/>
    </row>
    <row r="91">
      <c r="B91" s="92"/>
      <c r="E91" s="93"/>
    </row>
    <row r="92">
      <c r="B92" s="92"/>
      <c r="E92" s="93"/>
    </row>
    <row r="93">
      <c r="B93" s="92"/>
      <c r="E93" s="93"/>
    </row>
    <row r="94">
      <c r="B94" s="92"/>
      <c r="E94" s="93"/>
    </row>
    <row r="95">
      <c r="B95" s="92"/>
      <c r="E95" s="93"/>
    </row>
    <row r="96">
      <c r="B96" s="92"/>
      <c r="E96" s="93"/>
    </row>
    <row r="97">
      <c r="B97" s="92"/>
      <c r="E97" s="93"/>
    </row>
    <row r="98">
      <c r="B98" s="92"/>
      <c r="E98" s="93"/>
    </row>
    <row r="99">
      <c r="B99" s="92"/>
      <c r="E99" s="93"/>
    </row>
    <row r="100">
      <c r="B100" s="92"/>
      <c r="E100" s="93"/>
    </row>
    <row r="101">
      <c r="B101" s="92"/>
      <c r="E101" s="93"/>
    </row>
    <row r="102">
      <c r="B102" s="92"/>
      <c r="E102" s="93"/>
    </row>
    <row r="103">
      <c r="B103" s="92"/>
      <c r="E103" s="93"/>
    </row>
    <row r="104">
      <c r="B104" s="92"/>
      <c r="E104" s="93"/>
    </row>
    <row r="105">
      <c r="B105" s="92"/>
      <c r="E105" s="93"/>
    </row>
    <row r="106">
      <c r="B106" s="92"/>
      <c r="E106" s="93"/>
    </row>
    <row r="107">
      <c r="B107" s="92"/>
      <c r="E107" s="93"/>
    </row>
    <row r="108">
      <c r="B108" s="92"/>
      <c r="E108" s="93"/>
    </row>
    <row r="109">
      <c r="B109" s="92"/>
      <c r="E109" s="93"/>
    </row>
    <row r="110">
      <c r="B110" s="92"/>
      <c r="E110" s="93"/>
    </row>
    <row r="111">
      <c r="B111" s="92"/>
      <c r="E111" s="93"/>
    </row>
    <row r="112">
      <c r="B112" s="92"/>
      <c r="E112" s="93"/>
    </row>
    <row r="113">
      <c r="B113" s="92"/>
      <c r="E113" s="93"/>
    </row>
    <row r="114">
      <c r="B114" s="92"/>
      <c r="E114" s="93"/>
    </row>
    <row r="115">
      <c r="B115" s="92"/>
      <c r="E115" s="93"/>
    </row>
    <row r="116">
      <c r="B116" s="92"/>
      <c r="E116" s="93"/>
    </row>
    <row r="117">
      <c r="B117" s="92"/>
      <c r="E117" s="93"/>
    </row>
    <row r="118">
      <c r="B118" s="92"/>
      <c r="E118" s="93"/>
    </row>
    <row r="119">
      <c r="B119" s="92"/>
      <c r="E119" s="93"/>
    </row>
    <row r="120">
      <c r="B120" s="92"/>
      <c r="E120" s="93"/>
    </row>
    <row r="121">
      <c r="B121" s="92"/>
      <c r="E121" s="93"/>
    </row>
    <row r="122">
      <c r="B122" s="92"/>
      <c r="E122" s="93"/>
    </row>
    <row r="123">
      <c r="B123" s="92"/>
      <c r="E123" s="93"/>
    </row>
    <row r="124">
      <c r="B124" s="92"/>
      <c r="E124" s="93"/>
    </row>
    <row r="125">
      <c r="B125" s="92"/>
      <c r="E125" s="93"/>
    </row>
    <row r="126">
      <c r="B126" s="92"/>
      <c r="E126" s="93"/>
    </row>
    <row r="127">
      <c r="B127" s="92"/>
      <c r="E127" s="93"/>
    </row>
    <row r="128">
      <c r="B128" s="92"/>
      <c r="E128" s="93"/>
    </row>
    <row r="129">
      <c r="B129" s="92"/>
      <c r="E129" s="93"/>
    </row>
    <row r="130">
      <c r="B130" s="92"/>
      <c r="E130" s="93"/>
    </row>
    <row r="131">
      <c r="B131" s="92"/>
      <c r="E131" s="93"/>
    </row>
    <row r="132">
      <c r="B132" s="92"/>
      <c r="E132" s="93"/>
    </row>
    <row r="133">
      <c r="B133" s="92"/>
      <c r="E133" s="93"/>
    </row>
    <row r="134">
      <c r="B134" s="92"/>
      <c r="E134" s="93"/>
    </row>
    <row r="135">
      <c r="B135" s="92"/>
      <c r="E135" s="93"/>
    </row>
    <row r="136">
      <c r="B136" s="92"/>
      <c r="E136" s="93"/>
    </row>
    <row r="137">
      <c r="B137" s="92"/>
      <c r="E137" s="93"/>
    </row>
    <row r="138">
      <c r="B138" s="92"/>
      <c r="E138" s="93"/>
    </row>
    <row r="139">
      <c r="B139" s="92"/>
      <c r="E139" s="93"/>
    </row>
    <row r="140">
      <c r="B140" s="92"/>
      <c r="E140" s="93"/>
    </row>
    <row r="141">
      <c r="B141" s="92"/>
      <c r="E141" s="93"/>
    </row>
    <row r="142">
      <c r="B142" s="92"/>
      <c r="E142" s="93"/>
    </row>
    <row r="143">
      <c r="B143" s="92"/>
      <c r="E143" s="93"/>
    </row>
    <row r="144">
      <c r="B144" s="92"/>
      <c r="E144" s="93"/>
    </row>
    <row r="145">
      <c r="B145" s="92"/>
      <c r="E145" s="93"/>
    </row>
    <row r="146">
      <c r="B146" s="92"/>
      <c r="E146" s="93"/>
    </row>
    <row r="147">
      <c r="B147" s="92"/>
      <c r="E147" s="93"/>
    </row>
    <row r="148">
      <c r="B148" s="92"/>
      <c r="E148" s="93"/>
    </row>
    <row r="149">
      <c r="B149" s="92"/>
      <c r="E149" s="93"/>
    </row>
    <row r="150">
      <c r="B150" s="92"/>
      <c r="E150" s="93"/>
    </row>
    <row r="151">
      <c r="B151" s="92"/>
      <c r="E151" s="93"/>
    </row>
    <row r="152">
      <c r="B152" s="92"/>
      <c r="E152" s="93"/>
    </row>
    <row r="153">
      <c r="B153" s="92"/>
      <c r="E153" s="93"/>
    </row>
    <row r="154">
      <c r="B154" s="92"/>
      <c r="E154" s="93"/>
    </row>
    <row r="155">
      <c r="B155" s="92"/>
      <c r="E155" s="93"/>
    </row>
    <row r="156">
      <c r="B156" s="92"/>
      <c r="E156" s="93"/>
    </row>
    <row r="157">
      <c r="B157" s="92"/>
      <c r="E157" s="93"/>
    </row>
    <row r="158">
      <c r="B158" s="92"/>
      <c r="E158" s="93"/>
    </row>
    <row r="159">
      <c r="B159" s="92"/>
      <c r="E159" s="93"/>
    </row>
    <row r="160">
      <c r="B160" s="92"/>
      <c r="E160" s="93"/>
    </row>
    <row r="161">
      <c r="B161" s="92"/>
      <c r="E161" s="93"/>
    </row>
    <row r="162">
      <c r="B162" s="92"/>
      <c r="E162" s="93"/>
    </row>
    <row r="163">
      <c r="B163" s="92"/>
      <c r="E163" s="93"/>
    </row>
    <row r="164">
      <c r="B164" s="92"/>
      <c r="E164" s="93"/>
    </row>
    <row r="165">
      <c r="B165" s="92"/>
      <c r="E165" s="93"/>
    </row>
    <row r="166">
      <c r="B166" s="92"/>
      <c r="E166" s="93"/>
    </row>
    <row r="167">
      <c r="B167" s="92"/>
      <c r="E167" s="93"/>
    </row>
    <row r="168">
      <c r="B168" s="92"/>
      <c r="E168" s="93"/>
    </row>
    <row r="169">
      <c r="B169" s="92"/>
      <c r="E169" s="93"/>
    </row>
    <row r="170">
      <c r="B170" s="92"/>
      <c r="E170" s="93"/>
    </row>
    <row r="171">
      <c r="B171" s="92"/>
      <c r="E171" s="93"/>
    </row>
    <row r="172">
      <c r="B172" s="92"/>
      <c r="E172" s="93"/>
    </row>
    <row r="173">
      <c r="B173" s="92"/>
      <c r="E173" s="93"/>
    </row>
    <row r="174">
      <c r="B174" s="92"/>
      <c r="E174" s="93"/>
    </row>
    <row r="175">
      <c r="B175" s="92"/>
      <c r="E175" s="93"/>
    </row>
    <row r="176">
      <c r="B176" s="92"/>
      <c r="E176" s="93"/>
    </row>
    <row r="177">
      <c r="B177" s="92"/>
      <c r="E177" s="93"/>
    </row>
    <row r="178">
      <c r="B178" s="92"/>
      <c r="E178" s="93"/>
    </row>
    <row r="179">
      <c r="B179" s="92"/>
      <c r="E179" s="93"/>
    </row>
    <row r="180">
      <c r="B180" s="92"/>
      <c r="E180" s="93"/>
    </row>
    <row r="181">
      <c r="B181" s="92"/>
      <c r="E181" s="93"/>
    </row>
    <row r="182">
      <c r="B182" s="92"/>
      <c r="E182" s="93"/>
    </row>
    <row r="183">
      <c r="B183" s="92"/>
      <c r="E183" s="93"/>
    </row>
    <row r="184">
      <c r="B184" s="92"/>
      <c r="E184" s="93"/>
    </row>
    <row r="185">
      <c r="B185" s="92"/>
      <c r="E185" s="93"/>
    </row>
    <row r="186">
      <c r="B186" s="92"/>
      <c r="E186" s="93"/>
    </row>
    <row r="187">
      <c r="B187" s="92"/>
      <c r="E187" s="93"/>
    </row>
    <row r="188">
      <c r="B188" s="92"/>
      <c r="E188" s="93"/>
    </row>
    <row r="189">
      <c r="B189" s="92"/>
      <c r="E189" s="93"/>
    </row>
    <row r="190">
      <c r="B190" s="92"/>
      <c r="E190" s="93"/>
    </row>
    <row r="191">
      <c r="B191" s="92"/>
      <c r="E191" s="93"/>
    </row>
    <row r="192">
      <c r="B192" s="92"/>
      <c r="E192" s="93"/>
    </row>
    <row r="193">
      <c r="B193" s="92"/>
      <c r="E193" s="93"/>
    </row>
    <row r="194">
      <c r="B194" s="92"/>
      <c r="E194" s="93"/>
    </row>
    <row r="195">
      <c r="B195" s="92"/>
      <c r="E195" s="93"/>
    </row>
    <row r="196">
      <c r="B196" s="92"/>
      <c r="E196" s="93"/>
    </row>
    <row r="197">
      <c r="B197" s="92"/>
      <c r="E197" s="93"/>
    </row>
    <row r="198">
      <c r="B198" s="92"/>
      <c r="E198" s="93"/>
    </row>
    <row r="199">
      <c r="B199" s="92"/>
      <c r="E199" s="93"/>
    </row>
    <row r="200">
      <c r="B200" s="92"/>
      <c r="E200" s="93"/>
    </row>
    <row r="201">
      <c r="B201" s="92"/>
      <c r="E201" s="93"/>
    </row>
    <row r="202">
      <c r="B202" s="92"/>
      <c r="E202" s="93"/>
    </row>
    <row r="203">
      <c r="B203" s="92"/>
      <c r="E203" s="93"/>
    </row>
    <row r="204">
      <c r="B204" s="92"/>
      <c r="E204" s="93"/>
    </row>
    <row r="205">
      <c r="B205" s="92"/>
      <c r="E205" s="93"/>
    </row>
    <row r="206">
      <c r="B206" s="92"/>
      <c r="E206" s="93"/>
    </row>
    <row r="207">
      <c r="B207" s="92"/>
      <c r="E207" s="93"/>
    </row>
    <row r="208">
      <c r="B208" s="92"/>
      <c r="E208" s="93"/>
    </row>
    <row r="209">
      <c r="B209" s="92"/>
      <c r="E209" s="93"/>
    </row>
    <row r="210">
      <c r="B210" s="92"/>
      <c r="E210" s="93"/>
    </row>
    <row r="211">
      <c r="B211" s="92"/>
      <c r="E211" s="93"/>
    </row>
    <row r="212">
      <c r="B212" s="92"/>
      <c r="E212" s="93"/>
    </row>
    <row r="213">
      <c r="B213" s="92"/>
      <c r="E213" s="93"/>
    </row>
    <row r="214">
      <c r="B214" s="92"/>
      <c r="E214" s="93"/>
    </row>
    <row r="215">
      <c r="B215" s="92"/>
      <c r="E215" s="93"/>
    </row>
    <row r="216">
      <c r="B216" s="92"/>
      <c r="E216" s="93"/>
    </row>
    <row r="217">
      <c r="B217" s="92"/>
      <c r="E217" s="93"/>
    </row>
    <row r="218">
      <c r="B218" s="92"/>
      <c r="E218" s="93"/>
    </row>
    <row r="219">
      <c r="B219" s="92"/>
      <c r="E219" s="93"/>
    </row>
    <row r="220">
      <c r="B220" s="92"/>
      <c r="E220" s="93"/>
    </row>
    <row r="221">
      <c r="B221" s="92"/>
      <c r="E221" s="93"/>
    </row>
    <row r="222">
      <c r="B222" s="92"/>
      <c r="E222" s="93"/>
    </row>
    <row r="223">
      <c r="B223" s="92"/>
      <c r="E223" s="93"/>
    </row>
    <row r="224">
      <c r="B224" s="92"/>
      <c r="E224" s="93"/>
    </row>
    <row r="225">
      <c r="B225" s="92"/>
      <c r="E225" s="93"/>
    </row>
    <row r="226">
      <c r="B226" s="92"/>
      <c r="E226" s="93"/>
    </row>
    <row r="227">
      <c r="B227" s="92"/>
      <c r="E227" s="93"/>
    </row>
    <row r="228">
      <c r="B228" s="92"/>
      <c r="E228" s="93"/>
    </row>
    <row r="229">
      <c r="B229" s="92"/>
      <c r="E229" s="93"/>
    </row>
    <row r="230">
      <c r="B230" s="92"/>
      <c r="E230" s="93"/>
    </row>
    <row r="231">
      <c r="B231" s="92"/>
      <c r="E231" s="93"/>
    </row>
    <row r="232">
      <c r="B232" s="92"/>
      <c r="E232" s="93"/>
    </row>
    <row r="233">
      <c r="B233" s="92"/>
      <c r="E233" s="93"/>
    </row>
    <row r="234">
      <c r="B234" s="92"/>
      <c r="E234" s="93"/>
    </row>
    <row r="235">
      <c r="B235" s="92"/>
      <c r="E235" s="93"/>
    </row>
    <row r="236">
      <c r="B236" s="92"/>
      <c r="E236" s="93"/>
    </row>
    <row r="237">
      <c r="B237" s="92"/>
      <c r="E237" s="93"/>
    </row>
    <row r="238">
      <c r="B238" s="92"/>
      <c r="E238" s="93"/>
    </row>
    <row r="239">
      <c r="B239" s="92"/>
      <c r="E239" s="93"/>
    </row>
    <row r="240">
      <c r="B240" s="92"/>
      <c r="E240" s="93"/>
    </row>
    <row r="241">
      <c r="B241" s="92"/>
      <c r="E241" s="93"/>
    </row>
    <row r="242">
      <c r="B242" s="92"/>
      <c r="E242" s="93"/>
    </row>
    <row r="243">
      <c r="B243" s="92"/>
      <c r="E243" s="93"/>
    </row>
    <row r="244">
      <c r="B244" s="92"/>
      <c r="E244" s="93"/>
    </row>
    <row r="245">
      <c r="B245" s="92"/>
      <c r="E245" s="93"/>
    </row>
    <row r="246">
      <c r="B246" s="92"/>
      <c r="E246" s="93"/>
    </row>
    <row r="247">
      <c r="B247" s="92"/>
      <c r="E247" s="93"/>
    </row>
    <row r="248">
      <c r="B248" s="92"/>
      <c r="E248" s="93"/>
    </row>
    <row r="249">
      <c r="B249" s="92"/>
      <c r="E249" s="93"/>
    </row>
    <row r="250">
      <c r="B250" s="92"/>
      <c r="E250" s="93"/>
    </row>
    <row r="251">
      <c r="B251" s="92"/>
      <c r="E251" s="93"/>
    </row>
    <row r="252">
      <c r="B252" s="92"/>
      <c r="E252" s="93"/>
    </row>
    <row r="253">
      <c r="B253" s="92"/>
      <c r="E253" s="93"/>
    </row>
    <row r="254">
      <c r="B254" s="92"/>
      <c r="E254" s="93"/>
    </row>
    <row r="255">
      <c r="B255" s="92"/>
      <c r="E255" s="93"/>
    </row>
    <row r="256">
      <c r="B256" s="92"/>
      <c r="E256" s="93"/>
    </row>
    <row r="257">
      <c r="B257" s="92"/>
      <c r="E257" s="93"/>
    </row>
    <row r="258">
      <c r="B258" s="92"/>
      <c r="E258" s="93"/>
    </row>
    <row r="259">
      <c r="B259" s="92"/>
      <c r="E259" s="93"/>
    </row>
    <row r="260">
      <c r="B260" s="92"/>
      <c r="E260" s="93"/>
    </row>
    <row r="261">
      <c r="B261" s="92"/>
      <c r="E261" s="93"/>
    </row>
    <row r="262">
      <c r="B262" s="92"/>
      <c r="E262" s="93"/>
    </row>
    <row r="263">
      <c r="B263" s="92"/>
      <c r="E263" s="93"/>
    </row>
    <row r="264">
      <c r="B264" s="92"/>
      <c r="E264" s="93"/>
    </row>
    <row r="265">
      <c r="B265" s="92"/>
      <c r="E265" s="93"/>
    </row>
    <row r="266">
      <c r="B266" s="92"/>
      <c r="E266" s="93"/>
    </row>
    <row r="267">
      <c r="B267" s="92"/>
      <c r="E267" s="93"/>
    </row>
    <row r="268">
      <c r="B268" s="92"/>
      <c r="E268" s="93"/>
    </row>
    <row r="269">
      <c r="B269" s="92"/>
      <c r="E269" s="93"/>
    </row>
    <row r="270">
      <c r="B270" s="92"/>
      <c r="E270" s="93"/>
    </row>
    <row r="271">
      <c r="B271" s="92"/>
      <c r="E271" s="93"/>
    </row>
    <row r="272">
      <c r="B272" s="92"/>
      <c r="E272" s="93"/>
    </row>
    <row r="273">
      <c r="B273" s="92"/>
      <c r="E273" s="93"/>
    </row>
    <row r="274">
      <c r="B274" s="92"/>
      <c r="E274" s="93"/>
    </row>
    <row r="275">
      <c r="B275" s="92"/>
      <c r="E275" s="93"/>
    </row>
    <row r="276">
      <c r="B276" s="92"/>
      <c r="E276" s="93"/>
    </row>
    <row r="277">
      <c r="B277" s="92"/>
      <c r="E277" s="93"/>
    </row>
    <row r="278">
      <c r="B278" s="92"/>
      <c r="E278" s="93"/>
    </row>
    <row r="279">
      <c r="B279" s="92"/>
      <c r="E279" s="93"/>
    </row>
    <row r="280">
      <c r="B280" s="92"/>
      <c r="E280" s="93"/>
    </row>
    <row r="281">
      <c r="B281" s="92"/>
      <c r="E281" s="93"/>
    </row>
    <row r="282">
      <c r="B282" s="92"/>
      <c r="E282" s="93"/>
    </row>
    <row r="283">
      <c r="B283" s="92"/>
      <c r="E283" s="93"/>
    </row>
    <row r="284">
      <c r="B284" s="92"/>
      <c r="E284" s="93"/>
    </row>
    <row r="285">
      <c r="B285" s="92"/>
      <c r="E285" s="93"/>
    </row>
    <row r="286">
      <c r="B286" s="92"/>
      <c r="E286" s="93"/>
    </row>
    <row r="287">
      <c r="B287" s="92"/>
      <c r="E287" s="93"/>
    </row>
    <row r="288">
      <c r="B288" s="92"/>
      <c r="E288" s="93"/>
    </row>
    <row r="289">
      <c r="B289" s="92"/>
      <c r="E289" s="93"/>
    </row>
    <row r="290">
      <c r="B290" s="92"/>
      <c r="E290" s="93"/>
    </row>
    <row r="291">
      <c r="B291" s="92"/>
      <c r="E291" s="93"/>
    </row>
    <row r="292">
      <c r="B292" s="92"/>
      <c r="E292" s="93"/>
    </row>
    <row r="293">
      <c r="B293" s="92"/>
      <c r="E293" s="93"/>
    </row>
    <row r="294">
      <c r="B294" s="92"/>
      <c r="E294" s="93"/>
    </row>
    <row r="295">
      <c r="B295" s="92"/>
      <c r="E295" s="93"/>
    </row>
    <row r="296">
      <c r="B296" s="92"/>
      <c r="E296" s="93"/>
    </row>
    <row r="297">
      <c r="B297" s="92"/>
      <c r="E297" s="93"/>
    </row>
    <row r="298">
      <c r="B298" s="92"/>
      <c r="E298" s="93"/>
    </row>
    <row r="299">
      <c r="B299" s="92"/>
      <c r="E299" s="93"/>
    </row>
    <row r="300">
      <c r="B300" s="92"/>
      <c r="E300" s="93"/>
    </row>
    <row r="301">
      <c r="B301" s="92"/>
      <c r="E301" s="93"/>
    </row>
    <row r="302">
      <c r="B302" s="92"/>
      <c r="E302" s="93"/>
    </row>
    <row r="303">
      <c r="B303" s="92"/>
      <c r="E303" s="93"/>
    </row>
    <row r="304">
      <c r="B304" s="92"/>
      <c r="E304" s="93"/>
    </row>
    <row r="305">
      <c r="B305" s="92"/>
      <c r="E305" s="93"/>
    </row>
    <row r="306">
      <c r="B306" s="92"/>
      <c r="E306" s="93"/>
    </row>
    <row r="307">
      <c r="B307" s="92"/>
      <c r="E307" s="93"/>
    </row>
    <row r="308">
      <c r="B308" s="92"/>
      <c r="E308" s="93"/>
    </row>
    <row r="309">
      <c r="B309" s="92"/>
      <c r="E309" s="93"/>
    </row>
    <row r="310">
      <c r="B310" s="92"/>
      <c r="E310" s="93"/>
    </row>
    <row r="311">
      <c r="B311" s="92"/>
      <c r="E311" s="93"/>
    </row>
    <row r="312">
      <c r="B312" s="92"/>
      <c r="E312" s="93"/>
    </row>
    <row r="313">
      <c r="B313" s="92"/>
      <c r="E313" s="93"/>
    </row>
    <row r="314">
      <c r="B314" s="92"/>
      <c r="E314" s="93"/>
    </row>
    <row r="315">
      <c r="B315" s="92"/>
      <c r="E315" s="93"/>
    </row>
    <row r="316">
      <c r="B316" s="92"/>
      <c r="E316" s="93"/>
    </row>
    <row r="317">
      <c r="B317" s="92"/>
      <c r="E317" s="93"/>
    </row>
    <row r="318">
      <c r="B318" s="92"/>
      <c r="E318" s="93"/>
    </row>
    <row r="319">
      <c r="B319" s="92"/>
      <c r="E319" s="93"/>
    </row>
    <row r="320">
      <c r="B320" s="92"/>
      <c r="E320" s="93"/>
    </row>
    <row r="321">
      <c r="B321" s="92"/>
      <c r="E321" s="93"/>
    </row>
    <row r="322">
      <c r="B322" s="92"/>
      <c r="E322" s="93"/>
    </row>
    <row r="323">
      <c r="B323" s="92"/>
      <c r="E323" s="93"/>
    </row>
    <row r="324">
      <c r="B324" s="92"/>
      <c r="E324" s="93"/>
    </row>
    <row r="325">
      <c r="B325" s="92"/>
      <c r="E325" s="93"/>
    </row>
    <row r="326">
      <c r="B326" s="92"/>
      <c r="E326" s="93"/>
    </row>
    <row r="327">
      <c r="B327" s="92"/>
      <c r="E327" s="93"/>
    </row>
    <row r="328">
      <c r="B328" s="92"/>
      <c r="E328" s="93"/>
    </row>
    <row r="329">
      <c r="B329" s="92"/>
      <c r="E329" s="93"/>
    </row>
    <row r="330">
      <c r="B330" s="92"/>
      <c r="E330" s="93"/>
    </row>
    <row r="331">
      <c r="B331" s="92"/>
      <c r="E331" s="93"/>
    </row>
    <row r="332">
      <c r="B332" s="92"/>
      <c r="E332" s="93"/>
    </row>
    <row r="333">
      <c r="B333" s="92"/>
      <c r="E333" s="93"/>
    </row>
    <row r="334">
      <c r="B334" s="92"/>
      <c r="E334" s="93"/>
    </row>
    <row r="335">
      <c r="B335" s="92"/>
      <c r="E335" s="93"/>
    </row>
    <row r="336">
      <c r="B336" s="92"/>
      <c r="E336" s="93"/>
    </row>
    <row r="337">
      <c r="B337" s="92"/>
      <c r="E337" s="93"/>
    </row>
    <row r="338">
      <c r="B338" s="92"/>
      <c r="E338" s="93"/>
    </row>
    <row r="339">
      <c r="B339" s="92"/>
      <c r="E339" s="93"/>
    </row>
    <row r="340">
      <c r="B340" s="92"/>
      <c r="E340" s="93"/>
    </row>
    <row r="341">
      <c r="B341" s="92"/>
      <c r="E341" s="93"/>
    </row>
    <row r="342">
      <c r="B342" s="92"/>
      <c r="E342" s="93"/>
    </row>
    <row r="343">
      <c r="B343" s="92"/>
      <c r="E343" s="93"/>
    </row>
    <row r="344">
      <c r="B344" s="92"/>
      <c r="E344" s="93"/>
    </row>
    <row r="345">
      <c r="B345" s="92"/>
      <c r="E345" s="93"/>
    </row>
    <row r="346">
      <c r="B346" s="92"/>
      <c r="E346" s="93"/>
    </row>
    <row r="347">
      <c r="B347" s="92"/>
      <c r="E347" s="93"/>
    </row>
    <row r="348">
      <c r="B348" s="92"/>
      <c r="E348" s="93"/>
    </row>
    <row r="349">
      <c r="B349" s="92"/>
      <c r="E349" s="93"/>
    </row>
    <row r="350">
      <c r="B350" s="92"/>
      <c r="E350" s="93"/>
    </row>
    <row r="351">
      <c r="B351" s="92"/>
      <c r="E351" s="93"/>
    </row>
    <row r="352">
      <c r="B352" s="92"/>
      <c r="E352" s="93"/>
    </row>
    <row r="353">
      <c r="B353" s="92"/>
      <c r="E353" s="93"/>
    </row>
    <row r="354">
      <c r="B354" s="92"/>
      <c r="E354" s="93"/>
    </row>
    <row r="355">
      <c r="B355" s="92"/>
      <c r="E355" s="93"/>
    </row>
    <row r="356">
      <c r="B356" s="92"/>
      <c r="E356" s="93"/>
    </row>
    <row r="357">
      <c r="B357" s="92"/>
      <c r="E357" s="93"/>
    </row>
    <row r="358">
      <c r="B358" s="92"/>
      <c r="E358" s="93"/>
    </row>
    <row r="359">
      <c r="B359" s="92"/>
      <c r="E359" s="93"/>
    </row>
    <row r="360">
      <c r="B360" s="92"/>
      <c r="E360" s="93"/>
    </row>
    <row r="361">
      <c r="B361" s="92"/>
      <c r="E361" s="93"/>
    </row>
    <row r="362">
      <c r="B362" s="92"/>
      <c r="E362" s="93"/>
    </row>
    <row r="363">
      <c r="B363" s="92"/>
      <c r="E363" s="93"/>
    </row>
    <row r="364">
      <c r="B364" s="92"/>
      <c r="E364" s="93"/>
    </row>
    <row r="365">
      <c r="B365" s="92"/>
      <c r="E365" s="93"/>
    </row>
    <row r="366">
      <c r="B366" s="92"/>
      <c r="E366" s="93"/>
    </row>
    <row r="367">
      <c r="B367" s="92"/>
      <c r="E367" s="93"/>
    </row>
    <row r="368">
      <c r="B368" s="92"/>
      <c r="E368" s="93"/>
    </row>
    <row r="369">
      <c r="B369" s="92"/>
      <c r="E369" s="93"/>
    </row>
    <row r="370">
      <c r="B370" s="92"/>
      <c r="E370" s="93"/>
    </row>
    <row r="371">
      <c r="B371" s="92"/>
      <c r="E371" s="93"/>
    </row>
    <row r="372">
      <c r="B372" s="92"/>
      <c r="E372" s="93"/>
    </row>
    <row r="373">
      <c r="B373" s="92"/>
      <c r="E373" s="93"/>
    </row>
    <row r="374">
      <c r="B374" s="92"/>
      <c r="E374" s="93"/>
    </row>
    <row r="375">
      <c r="B375" s="92"/>
      <c r="E375" s="93"/>
    </row>
    <row r="376">
      <c r="B376" s="92"/>
      <c r="E376" s="93"/>
    </row>
    <row r="377">
      <c r="B377" s="92"/>
      <c r="E377" s="93"/>
    </row>
    <row r="378">
      <c r="B378" s="92"/>
      <c r="E378" s="93"/>
    </row>
    <row r="379">
      <c r="B379" s="92"/>
      <c r="E379" s="93"/>
    </row>
    <row r="380">
      <c r="B380" s="92"/>
      <c r="E380" s="93"/>
    </row>
    <row r="381">
      <c r="B381" s="92"/>
      <c r="E381" s="93"/>
    </row>
    <row r="382">
      <c r="B382" s="92"/>
      <c r="E382" s="93"/>
    </row>
    <row r="383">
      <c r="B383" s="92"/>
      <c r="E383" s="93"/>
    </row>
    <row r="384">
      <c r="B384" s="92"/>
      <c r="E384" s="93"/>
    </row>
    <row r="385">
      <c r="B385" s="92"/>
      <c r="E385" s="93"/>
    </row>
    <row r="386">
      <c r="B386" s="92"/>
      <c r="E386" s="93"/>
    </row>
    <row r="387">
      <c r="B387" s="92"/>
      <c r="E387" s="93"/>
    </row>
    <row r="388">
      <c r="B388" s="92"/>
      <c r="E388" s="93"/>
    </row>
    <row r="389">
      <c r="B389" s="92"/>
      <c r="E389" s="93"/>
    </row>
    <row r="390">
      <c r="B390" s="92"/>
      <c r="E390" s="93"/>
    </row>
    <row r="391">
      <c r="B391" s="92"/>
      <c r="E391" s="93"/>
    </row>
    <row r="392">
      <c r="B392" s="92"/>
      <c r="E392" s="93"/>
    </row>
    <row r="393">
      <c r="B393" s="92"/>
      <c r="E393" s="93"/>
    </row>
    <row r="394">
      <c r="B394" s="92"/>
      <c r="E394" s="93"/>
    </row>
    <row r="395">
      <c r="B395" s="92"/>
      <c r="E395" s="93"/>
    </row>
    <row r="396">
      <c r="B396" s="92"/>
      <c r="E396" s="93"/>
    </row>
    <row r="397">
      <c r="B397" s="92"/>
      <c r="E397" s="93"/>
    </row>
    <row r="398">
      <c r="B398" s="92"/>
      <c r="E398" s="93"/>
    </row>
    <row r="399">
      <c r="B399" s="92"/>
      <c r="E399" s="93"/>
    </row>
    <row r="400">
      <c r="B400" s="92"/>
      <c r="E400" s="93"/>
    </row>
    <row r="401">
      <c r="B401" s="92"/>
      <c r="E401" s="93"/>
    </row>
    <row r="402">
      <c r="B402" s="92"/>
      <c r="E402" s="93"/>
    </row>
    <row r="403">
      <c r="B403" s="92"/>
      <c r="E403" s="93"/>
    </row>
    <row r="404">
      <c r="B404" s="92"/>
      <c r="E404" s="93"/>
    </row>
    <row r="405">
      <c r="B405" s="92"/>
      <c r="E405" s="93"/>
    </row>
    <row r="406">
      <c r="B406" s="92"/>
      <c r="E406" s="93"/>
    </row>
    <row r="407">
      <c r="B407" s="92"/>
      <c r="E407" s="93"/>
    </row>
    <row r="408">
      <c r="B408" s="92"/>
      <c r="E408" s="93"/>
    </row>
    <row r="409">
      <c r="B409" s="92"/>
      <c r="E409" s="93"/>
    </row>
    <row r="410">
      <c r="B410" s="92"/>
      <c r="E410" s="93"/>
    </row>
    <row r="411">
      <c r="B411" s="92"/>
      <c r="E411" s="93"/>
    </row>
    <row r="412">
      <c r="B412" s="92"/>
      <c r="E412" s="93"/>
    </row>
    <row r="413">
      <c r="B413" s="92"/>
      <c r="E413" s="93"/>
    </row>
    <row r="414">
      <c r="B414" s="92"/>
      <c r="E414" s="93"/>
    </row>
    <row r="415">
      <c r="B415" s="92"/>
      <c r="E415" s="93"/>
    </row>
    <row r="416">
      <c r="B416" s="92"/>
      <c r="E416" s="93"/>
    </row>
    <row r="417">
      <c r="B417" s="92"/>
      <c r="E417" s="93"/>
    </row>
    <row r="418">
      <c r="B418" s="92"/>
      <c r="E418" s="93"/>
    </row>
    <row r="419">
      <c r="B419" s="92"/>
      <c r="E419" s="93"/>
    </row>
    <row r="420">
      <c r="B420" s="92"/>
      <c r="E420" s="93"/>
    </row>
    <row r="421">
      <c r="B421" s="92"/>
      <c r="E421" s="93"/>
    </row>
    <row r="422">
      <c r="B422" s="92"/>
      <c r="E422" s="93"/>
    </row>
    <row r="423">
      <c r="B423" s="92"/>
      <c r="E423" s="93"/>
    </row>
    <row r="424">
      <c r="B424" s="92"/>
      <c r="E424" s="93"/>
    </row>
    <row r="425">
      <c r="B425" s="92"/>
      <c r="E425" s="93"/>
    </row>
    <row r="426">
      <c r="B426" s="92"/>
      <c r="E426" s="93"/>
    </row>
    <row r="427">
      <c r="B427" s="92"/>
      <c r="E427" s="93"/>
    </row>
    <row r="428">
      <c r="B428" s="92"/>
      <c r="E428" s="93"/>
    </row>
    <row r="429">
      <c r="B429" s="92"/>
      <c r="E429" s="93"/>
    </row>
    <row r="430">
      <c r="B430" s="92"/>
      <c r="E430" s="93"/>
    </row>
    <row r="431">
      <c r="B431" s="92"/>
      <c r="E431" s="93"/>
    </row>
    <row r="432">
      <c r="B432" s="92"/>
      <c r="E432" s="93"/>
    </row>
    <row r="433">
      <c r="B433" s="92"/>
      <c r="E433" s="93"/>
    </row>
    <row r="434">
      <c r="B434" s="92"/>
      <c r="E434" s="93"/>
    </row>
    <row r="435">
      <c r="B435" s="92"/>
      <c r="E435" s="93"/>
    </row>
    <row r="436">
      <c r="B436" s="92"/>
      <c r="E436" s="93"/>
    </row>
    <row r="437">
      <c r="B437" s="92"/>
      <c r="E437" s="93"/>
    </row>
    <row r="438">
      <c r="B438" s="92"/>
      <c r="E438" s="93"/>
    </row>
    <row r="439">
      <c r="B439" s="92"/>
      <c r="E439" s="93"/>
    </row>
    <row r="440">
      <c r="B440" s="92"/>
      <c r="E440" s="93"/>
    </row>
    <row r="441">
      <c r="B441" s="92"/>
      <c r="E441" s="93"/>
    </row>
    <row r="442">
      <c r="B442" s="92"/>
      <c r="E442" s="93"/>
    </row>
    <row r="443">
      <c r="B443" s="92"/>
      <c r="E443" s="93"/>
    </row>
    <row r="444">
      <c r="B444" s="92"/>
      <c r="E444" s="93"/>
    </row>
    <row r="445">
      <c r="B445" s="92"/>
      <c r="E445" s="93"/>
    </row>
    <row r="446">
      <c r="B446" s="92"/>
      <c r="E446" s="93"/>
    </row>
    <row r="447">
      <c r="B447" s="92"/>
      <c r="E447" s="93"/>
    </row>
    <row r="448">
      <c r="B448" s="92"/>
      <c r="E448" s="93"/>
    </row>
    <row r="449">
      <c r="B449" s="92"/>
      <c r="E449" s="93"/>
    </row>
    <row r="450">
      <c r="B450" s="92"/>
      <c r="E450" s="93"/>
    </row>
    <row r="451">
      <c r="B451" s="92"/>
      <c r="E451" s="93"/>
    </row>
    <row r="452">
      <c r="B452" s="92"/>
      <c r="E452" s="93"/>
    </row>
    <row r="453">
      <c r="B453" s="92"/>
      <c r="E453" s="93"/>
    </row>
    <row r="454">
      <c r="B454" s="92"/>
      <c r="E454" s="93"/>
    </row>
    <row r="455">
      <c r="B455" s="92"/>
      <c r="E455" s="93"/>
    </row>
    <row r="456">
      <c r="B456" s="92"/>
      <c r="E456" s="93"/>
    </row>
    <row r="457">
      <c r="B457" s="92"/>
      <c r="E457" s="93"/>
    </row>
    <row r="458">
      <c r="B458" s="92"/>
      <c r="E458" s="93"/>
    </row>
    <row r="459">
      <c r="B459" s="92"/>
      <c r="E459" s="93"/>
    </row>
    <row r="460">
      <c r="B460" s="92"/>
      <c r="E460" s="93"/>
    </row>
    <row r="461">
      <c r="B461" s="92"/>
      <c r="E461" s="93"/>
    </row>
    <row r="462">
      <c r="B462" s="92"/>
      <c r="E462" s="93"/>
    </row>
    <row r="463">
      <c r="B463" s="92"/>
      <c r="E463" s="93"/>
    </row>
    <row r="464">
      <c r="B464" s="92"/>
      <c r="E464" s="93"/>
    </row>
    <row r="465">
      <c r="B465" s="92"/>
      <c r="E465" s="93"/>
    </row>
    <row r="466">
      <c r="B466" s="92"/>
      <c r="E466" s="93"/>
    </row>
    <row r="467">
      <c r="B467" s="92"/>
      <c r="E467" s="93"/>
    </row>
    <row r="468">
      <c r="B468" s="92"/>
      <c r="E468" s="93"/>
    </row>
    <row r="469">
      <c r="B469" s="92"/>
      <c r="E469" s="93"/>
    </row>
    <row r="470">
      <c r="B470" s="92"/>
      <c r="E470" s="93"/>
    </row>
    <row r="471">
      <c r="B471" s="92"/>
      <c r="E471" s="93"/>
    </row>
    <row r="472">
      <c r="B472" s="92"/>
      <c r="E472" s="93"/>
    </row>
    <row r="473">
      <c r="B473" s="92"/>
      <c r="E473" s="93"/>
    </row>
    <row r="474">
      <c r="B474" s="92"/>
      <c r="E474" s="93"/>
    </row>
    <row r="475">
      <c r="B475" s="92"/>
      <c r="E475" s="93"/>
    </row>
    <row r="476">
      <c r="B476" s="92"/>
      <c r="E476" s="93"/>
    </row>
    <row r="477">
      <c r="B477" s="92"/>
      <c r="E477" s="93"/>
    </row>
    <row r="478">
      <c r="B478" s="92"/>
      <c r="E478" s="93"/>
    </row>
    <row r="479">
      <c r="B479" s="92"/>
      <c r="E479" s="93"/>
    </row>
    <row r="480">
      <c r="B480" s="92"/>
      <c r="E480" s="93"/>
    </row>
    <row r="481">
      <c r="B481" s="92"/>
      <c r="E481" s="93"/>
    </row>
    <row r="482">
      <c r="B482" s="92"/>
      <c r="E482" s="93"/>
    </row>
    <row r="483">
      <c r="B483" s="92"/>
      <c r="E483" s="93"/>
    </row>
    <row r="484">
      <c r="B484" s="92"/>
      <c r="E484" s="93"/>
    </row>
    <row r="485">
      <c r="B485" s="92"/>
      <c r="E485" s="93"/>
    </row>
    <row r="486">
      <c r="B486" s="92"/>
      <c r="E486" s="93"/>
    </row>
    <row r="487">
      <c r="B487" s="92"/>
      <c r="E487" s="93"/>
    </row>
    <row r="488">
      <c r="B488" s="92"/>
      <c r="E488" s="93"/>
    </row>
    <row r="489">
      <c r="B489" s="92"/>
      <c r="E489" s="93"/>
    </row>
    <row r="490">
      <c r="B490" s="92"/>
      <c r="E490" s="93"/>
    </row>
    <row r="491">
      <c r="B491" s="92"/>
      <c r="E491" s="93"/>
    </row>
    <row r="492">
      <c r="B492" s="92"/>
      <c r="E492" s="93"/>
    </row>
    <row r="493">
      <c r="B493" s="92"/>
      <c r="E493" s="93"/>
    </row>
    <row r="494">
      <c r="B494" s="92"/>
      <c r="E494" s="93"/>
    </row>
    <row r="495">
      <c r="B495" s="92"/>
      <c r="E495" s="93"/>
    </row>
    <row r="496">
      <c r="B496" s="92"/>
      <c r="E496" s="93"/>
    </row>
    <row r="497">
      <c r="B497" s="92"/>
      <c r="E497" s="93"/>
    </row>
    <row r="498">
      <c r="B498" s="92"/>
      <c r="E498" s="93"/>
    </row>
    <row r="499">
      <c r="B499" s="92"/>
      <c r="E499" s="93"/>
    </row>
    <row r="500">
      <c r="B500" s="92"/>
      <c r="E500" s="93"/>
    </row>
    <row r="501">
      <c r="B501" s="92"/>
      <c r="E501" s="93"/>
    </row>
    <row r="502">
      <c r="B502" s="92"/>
      <c r="E502" s="93"/>
    </row>
    <row r="503">
      <c r="B503" s="92"/>
      <c r="E503" s="93"/>
    </row>
    <row r="504">
      <c r="B504" s="92"/>
      <c r="E504" s="93"/>
    </row>
    <row r="505">
      <c r="B505" s="92"/>
      <c r="E505" s="93"/>
    </row>
    <row r="506">
      <c r="B506" s="92"/>
      <c r="E506" s="93"/>
    </row>
    <row r="507">
      <c r="B507" s="92"/>
      <c r="E507" s="93"/>
    </row>
    <row r="508">
      <c r="B508" s="92"/>
      <c r="E508" s="93"/>
    </row>
    <row r="509">
      <c r="B509" s="92"/>
      <c r="E509" s="93"/>
    </row>
    <row r="510">
      <c r="B510" s="92"/>
      <c r="E510" s="93"/>
    </row>
    <row r="511">
      <c r="B511" s="92"/>
      <c r="E511" s="93"/>
    </row>
    <row r="512">
      <c r="B512" s="92"/>
      <c r="E512" s="93"/>
    </row>
    <row r="513">
      <c r="B513" s="92"/>
      <c r="E513" s="93"/>
    </row>
    <row r="514">
      <c r="B514" s="92"/>
      <c r="E514" s="93"/>
    </row>
    <row r="515">
      <c r="B515" s="92"/>
      <c r="E515" s="93"/>
    </row>
    <row r="516">
      <c r="B516" s="92"/>
      <c r="E516" s="93"/>
    </row>
    <row r="517">
      <c r="B517" s="92"/>
      <c r="E517" s="93"/>
    </row>
    <row r="518">
      <c r="B518" s="92"/>
      <c r="E518" s="93"/>
    </row>
    <row r="519">
      <c r="B519" s="92"/>
      <c r="E519" s="93"/>
    </row>
    <row r="520">
      <c r="B520" s="92"/>
      <c r="E520" s="93"/>
    </row>
    <row r="521">
      <c r="B521" s="92"/>
      <c r="E521" s="93"/>
    </row>
    <row r="522">
      <c r="B522" s="92"/>
      <c r="E522" s="93"/>
    </row>
    <row r="523">
      <c r="B523" s="92"/>
      <c r="E523" s="93"/>
    </row>
    <row r="524">
      <c r="B524" s="92"/>
      <c r="E524" s="93"/>
    </row>
    <row r="525">
      <c r="B525" s="92"/>
      <c r="E525" s="93"/>
    </row>
    <row r="526">
      <c r="B526" s="92"/>
      <c r="E526" s="93"/>
    </row>
    <row r="527">
      <c r="B527" s="92"/>
      <c r="E527" s="93"/>
    </row>
    <row r="528">
      <c r="B528" s="92"/>
      <c r="E528" s="93"/>
    </row>
    <row r="529">
      <c r="B529" s="92"/>
      <c r="E529" s="93"/>
    </row>
    <row r="530">
      <c r="B530" s="92"/>
      <c r="E530" s="93"/>
    </row>
    <row r="531">
      <c r="B531" s="92"/>
      <c r="E531" s="93"/>
    </row>
    <row r="532">
      <c r="B532" s="92"/>
      <c r="E532" s="93"/>
    </row>
    <row r="533">
      <c r="B533" s="92"/>
      <c r="E533" s="93"/>
    </row>
    <row r="534">
      <c r="B534" s="92"/>
      <c r="E534" s="93"/>
    </row>
    <row r="535">
      <c r="B535" s="92"/>
      <c r="E535" s="93"/>
    </row>
    <row r="536">
      <c r="B536" s="92"/>
      <c r="E536" s="93"/>
    </row>
    <row r="537">
      <c r="B537" s="92"/>
      <c r="E537" s="93"/>
    </row>
    <row r="538">
      <c r="B538" s="92"/>
      <c r="E538" s="93"/>
    </row>
    <row r="539">
      <c r="B539" s="92"/>
      <c r="E539" s="93"/>
    </row>
    <row r="540">
      <c r="B540" s="92"/>
      <c r="E540" s="93"/>
    </row>
    <row r="541">
      <c r="B541" s="92"/>
      <c r="E541" s="93"/>
    </row>
    <row r="542">
      <c r="B542" s="92"/>
      <c r="E542" s="93"/>
    </row>
    <row r="543">
      <c r="B543" s="92"/>
      <c r="E543" s="93"/>
    </row>
    <row r="544">
      <c r="B544" s="92"/>
      <c r="E544" s="93"/>
    </row>
    <row r="545">
      <c r="B545" s="92"/>
      <c r="E545" s="93"/>
    </row>
    <row r="546">
      <c r="B546" s="92"/>
      <c r="E546" s="93"/>
    </row>
    <row r="547">
      <c r="B547" s="92"/>
      <c r="E547" s="93"/>
    </row>
    <row r="548">
      <c r="B548" s="92"/>
      <c r="E548" s="93"/>
    </row>
    <row r="549">
      <c r="B549" s="92"/>
      <c r="E549" s="93"/>
    </row>
    <row r="550">
      <c r="B550" s="92"/>
      <c r="E550" s="93"/>
    </row>
    <row r="551">
      <c r="B551" s="92"/>
      <c r="E551" s="93"/>
    </row>
    <row r="552">
      <c r="B552" s="92"/>
      <c r="E552" s="93"/>
    </row>
    <row r="553">
      <c r="B553" s="92"/>
      <c r="E553" s="93"/>
    </row>
    <row r="554">
      <c r="B554" s="92"/>
      <c r="E554" s="93"/>
    </row>
    <row r="555">
      <c r="B555" s="92"/>
      <c r="E555" s="93"/>
    </row>
    <row r="556">
      <c r="B556" s="92"/>
      <c r="E556" s="93"/>
    </row>
    <row r="557">
      <c r="B557" s="92"/>
      <c r="E557" s="93"/>
    </row>
    <row r="558">
      <c r="B558" s="92"/>
      <c r="E558" s="93"/>
    </row>
    <row r="559">
      <c r="B559" s="92"/>
      <c r="E559" s="93"/>
    </row>
    <row r="560">
      <c r="B560" s="92"/>
      <c r="E560" s="93"/>
    </row>
    <row r="561">
      <c r="B561" s="92"/>
      <c r="E561" s="93"/>
    </row>
    <row r="562">
      <c r="B562" s="92"/>
      <c r="E562" s="93"/>
    </row>
    <row r="563">
      <c r="B563" s="92"/>
      <c r="E563" s="93"/>
    </row>
    <row r="564">
      <c r="B564" s="92"/>
      <c r="E564" s="93"/>
    </row>
    <row r="565">
      <c r="B565" s="92"/>
      <c r="E565" s="93"/>
    </row>
    <row r="566">
      <c r="B566" s="92"/>
      <c r="E566" s="93"/>
    </row>
    <row r="567">
      <c r="B567" s="92"/>
      <c r="E567" s="93"/>
    </row>
    <row r="568">
      <c r="B568" s="92"/>
      <c r="E568" s="93"/>
    </row>
    <row r="569">
      <c r="B569" s="92"/>
      <c r="E569" s="93"/>
    </row>
    <row r="570">
      <c r="B570" s="92"/>
      <c r="E570" s="93"/>
    </row>
    <row r="571">
      <c r="B571" s="92"/>
      <c r="E571" s="93"/>
    </row>
    <row r="572">
      <c r="B572" s="92"/>
      <c r="E572" s="93"/>
    </row>
    <row r="573">
      <c r="B573" s="92"/>
      <c r="E573" s="93"/>
    </row>
    <row r="574">
      <c r="B574" s="92"/>
      <c r="E574" s="93"/>
    </row>
    <row r="575">
      <c r="B575" s="92"/>
      <c r="E575" s="93"/>
    </row>
    <row r="576">
      <c r="B576" s="92"/>
      <c r="E576" s="93"/>
    </row>
    <row r="577">
      <c r="B577" s="92"/>
      <c r="E577" s="93"/>
    </row>
    <row r="578">
      <c r="B578" s="92"/>
      <c r="E578" s="93"/>
    </row>
    <row r="579">
      <c r="B579" s="92"/>
      <c r="E579" s="93"/>
    </row>
    <row r="580">
      <c r="B580" s="92"/>
      <c r="E580" s="93"/>
    </row>
    <row r="581">
      <c r="B581" s="92"/>
      <c r="E581" s="93"/>
    </row>
    <row r="582">
      <c r="B582" s="92"/>
      <c r="E582" s="93"/>
    </row>
    <row r="583">
      <c r="B583" s="92"/>
      <c r="E583" s="93"/>
    </row>
    <row r="584">
      <c r="B584" s="92"/>
      <c r="E584" s="93"/>
    </row>
    <row r="585">
      <c r="B585" s="92"/>
      <c r="E585" s="93"/>
    </row>
    <row r="586">
      <c r="B586" s="92"/>
      <c r="E586" s="93"/>
    </row>
    <row r="587">
      <c r="B587" s="92"/>
      <c r="E587" s="93"/>
    </row>
    <row r="588">
      <c r="B588" s="92"/>
      <c r="E588" s="93"/>
    </row>
    <row r="589">
      <c r="B589" s="92"/>
      <c r="E589" s="93"/>
    </row>
    <row r="590">
      <c r="B590" s="92"/>
      <c r="E590" s="93"/>
    </row>
    <row r="591">
      <c r="B591" s="92"/>
      <c r="E591" s="93"/>
    </row>
    <row r="592">
      <c r="B592" s="92"/>
      <c r="E592" s="93"/>
    </row>
    <row r="593">
      <c r="B593" s="92"/>
      <c r="E593" s="93"/>
    </row>
    <row r="594">
      <c r="B594" s="92"/>
      <c r="E594" s="93"/>
    </row>
    <row r="595">
      <c r="B595" s="92"/>
      <c r="E595" s="93"/>
    </row>
    <row r="596">
      <c r="B596" s="92"/>
      <c r="E596" s="93"/>
    </row>
    <row r="597">
      <c r="B597" s="92"/>
      <c r="E597" s="93"/>
    </row>
    <row r="598">
      <c r="B598" s="92"/>
      <c r="E598" s="93"/>
    </row>
    <row r="599">
      <c r="B599" s="92"/>
      <c r="E599" s="93"/>
    </row>
    <row r="600">
      <c r="B600" s="92"/>
      <c r="E600" s="93"/>
    </row>
    <row r="601">
      <c r="B601" s="92"/>
      <c r="E601" s="93"/>
    </row>
    <row r="602">
      <c r="B602" s="92"/>
      <c r="E602" s="93"/>
    </row>
    <row r="603">
      <c r="B603" s="92"/>
      <c r="E603" s="93"/>
    </row>
    <row r="604">
      <c r="B604" s="92"/>
      <c r="E604" s="93"/>
    </row>
    <row r="605">
      <c r="B605" s="92"/>
      <c r="E605" s="93"/>
    </row>
    <row r="606">
      <c r="B606" s="92"/>
      <c r="E606" s="93"/>
    </row>
    <row r="607">
      <c r="B607" s="92"/>
      <c r="E607" s="93"/>
    </row>
    <row r="608">
      <c r="B608" s="92"/>
      <c r="E608" s="93"/>
    </row>
    <row r="609">
      <c r="B609" s="92"/>
      <c r="E609" s="93"/>
    </row>
    <row r="610">
      <c r="B610" s="92"/>
      <c r="E610" s="93"/>
    </row>
    <row r="611">
      <c r="B611" s="92"/>
      <c r="E611" s="93"/>
    </row>
    <row r="612">
      <c r="B612" s="92"/>
      <c r="E612" s="93"/>
    </row>
    <row r="613">
      <c r="B613" s="92"/>
      <c r="E613" s="93"/>
    </row>
    <row r="614">
      <c r="B614" s="92"/>
      <c r="E614" s="93"/>
    </row>
    <row r="615">
      <c r="B615" s="92"/>
      <c r="E615" s="93"/>
    </row>
    <row r="616">
      <c r="B616" s="92"/>
      <c r="E616" s="93"/>
    </row>
    <row r="617">
      <c r="B617" s="92"/>
      <c r="E617" s="93"/>
    </row>
    <row r="618">
      <c r="B618" s="92"/>
      <c r="E618" s="93"/>
    </row>
    <row r="619">
      <c r="B619" s="92"/>
      <c r="E619" s="93"/>
    </row>
    <row r="620">
      <c r="B620" s="92"/>
      <c r="E620" s="93"/>
    </row>
    <row r="621">
      <c r="B621" s="92"/>
      <c r="E621" s="93"/>
    </row>
    <row r="622">
      <c r="B622" s="92"/>
      <c r="E622" s="93"/>
    </row>
    <row r="623">
      <c r="B623" s="92"/>
      <c r="E623" s="93"/>
    </row>
    <row r="624">
      <c r="B624" s="92"/>
      <c r="E624" s="93"/>
    </row>
    <row r="625">
      <c r="B625" s="92"/>
      <c r="E625" s="93"/>
    </row>
    <row r="626">
      <c r="B626" s="92"/>
      <c r="E626" s="93"/>
    </row>
    <row r="627">
      <c r="B627" s="92"/>
      <c r="E627" s="93"/>
    </row>
    <row r="628">
      <c r="B628" s="92"/>
      <c r="E628" s="93"/>
    </row>
    <row r="629">
      <c r="B629" s="92"/>
      <c r="E629" s="93"/>
    </row>
    <row r="630">
      <c r="B630" s="92"/>
      <c r="E630" s="93"/>
    </row>
    <row r="631">
      <c r="B631" s="92"/>
      <c r="E631" s="93"/>
    </row>
    <row r="632">
      <c r="B632" s="92"/>
      <c r="E632" s="93"/>
    </row>
    <row r="633">
      <c r="B633" s="92"/>
      <c r="E633" s="93"/>
    </row>
    <row r="634">
      <c r="B634" s="92"/>
      <c r="E634" s="93"/>
    </row>
    <row r="635">
      <c r="B635" s="92"/>
      <c r="E635" s="93"/>
    </row>
    <row r="636">
      <c r="B636" s="92"/>
      <c r="E636" s="93"/>
    </row>
    <row r="637">
      <c r="B637" s="92"/>
      <c r="E637" s="93"/>
    </row>
    <row r="638">
      <c r="B638" s="92"/>
      <c r="E638" s="93"/>
    </row>
    <row r="639">
      <c r="B639" s="92"/>
      <c r="E639" s="93"/>
    </row>
    <row r="640">
      <c r="B640" s="92"/>
      <c r="E640" s="93"/>
    </row>
    <row r="641">
      <c r="B641" s="92"/>
      <c r="E641" s="93"/>
    </row>
    <row r="642">
      <c r="B642" s="92"/>
      <c r="E642" s="93"/>
    </row>
    <row r="643">
      <c r="B643" s="92"/>
      <c r="E643" s="93"/>
    </row>
    <row r="644">
      <c r="B644" s="92"/>
      <c r="E644" s="93"/>
    </row>
    <row r="645">
      <c r="B645" s="92"/>
      <c r="E645" s="93"/>
    </row>
    <row r="646">
      <c r="B646" s="92"/>
      <c r="E646" s="93"/>
    </row>
    <row r="647">
      <c r="B647" s="92"/>
      <c r="E647" s="93"/>
    </row>
    <row r="648">
      <c r="B648" s="92"/>
      <c r="E648" s="93"/>
    </row>
    <row r="649">
      <c r="B649" s="92"/>
      <c r="E649" s="93"/>
    </row>
    <row r="650">
      <c r="B650" s="92"/>
      <c r="E650" s="93"/>
    </row>
    <row r="651">
      <c r="B651" s="92"/>
      <c r="E651" s="93"/>
    </row>
    <row r="652">
      <c r="B652" s="92"/>
      <c r="E652" s="93"/>
    </row>
    <row r="653">
      <c r="B653" s="92"/>
      <c r="E653" s="93"/>
    </row>
    <row r="654">
      <c r="B654" s="92"/>
      <c r="E654" s="93"/>
    </row>
    <row r="655">
      <c r="B655" s="92"/>
      <c r="E655" s="93"/>
    </row>
    <row r="656">
      <c r="B656" s="92"/>
      <c r="E656" s="93"/>
    </row>
    <row r="657">
      <c r="B657" s="92"/>
      <c r="E657" s="93"/>
    </row>
    <row r="658">
      <c r="B658" s="92"/>
      <c r="E658" s="93"/>
    </row>
    <row r="659">
      <c r="B659" s="92"/>
      <c r="E659" s="93"/>
    </row>
    <row r="660">
      <c r="B660" s="92"/>
      <c r="E660" s="93"/>
    </row>
    <row r="661">
      <c r="B661" s="92"/>
      <c r="E661" s="93"/>
    </row>
    <row r="662">
      <c r="B662" s="92"/>
      <c r="E662" s="93"/>
    </row>
    <row r="663">
      <c r="B663" s="92"/>
      <c r="E663" s="93"/>
    </row>
    <row r="664">
      <c r="B664" s="92"/>
      <c r="E664" s="93"/>
    </row>
    <row r="665">
      <c r="B665" s="92"/>
      <c r="E665" s="93"/>
    </row>
    <row r="666">
      <c r="B666" s="92"/>
      <c r="E666" s="93"/>
    </row>
    <row r="667">
      <c r="B667" s="92"/>
      <c r="E667" s="93"/>
    </row>
    <row r="668">
      <c r="B668" s="92"/>
      <c r="E668" s="93"/>
    </row>
    <row r="669">
      <c r="B669" s="92"/>
      <c r="E669" s="93"/>
    </row>
    <row r="670">
      <c r="B670" s="92"/>
      <c r="E670" s="93"/>
    </row>
    <row r="671">
      <c r="B671" s="92"/>
      <c r="E671" s="93"/>
    </row>
    <row r="672">
      <c r="B672" s="92"/>
      <c r="E672" s="93"/>
    </row>
    <row r="673">
      <c r="B673" s="92"/>
      <c r="E673" s="93"/>
    </row>
    <row r="674">
      <c r="B674" s="92"/>
      <c r="E674" s="93"/>
    </row>
    <row r="675">
      <c r="B675" s="92"/>
      <c r="E675" s="93"/>
    </row>
    <row r="676">
      <c r="B676" s="92"/>
      <c r="E676" s="93"/>
    </row>
    <row r="677">
      <c r="B677" s="92"/>
      <c r="E677" s="93"/>
    </row>
    <row r="678">
      <c r="B678" s="92"/>
      <c r="E678" s="93"/>
    </row>
    <row r="679">
      <c r="B679" s="92"/>
      <c r="E679" s="93"/>
    </row>
    <row r="680">
      <c r="B680" s="92"/>
      <c r="E680" s="93"/>
    </row>
    <row r="681">
      <c r="B681" s="92"/>
      <c r="E681" s="93"/>
    </row>
    <row r="682">
      <c r="B682" s="92"/>
      <c r="E682" s="93"/>
    </row>
    <row r="683">
      <c r="B683" s="92"/>
      <c r="E683" s="93"/>
    </row>
    <row r="684">
      <c r="B684" s="92"/>
      <c r="E684" s="93"/>
    </row>
    <row r="685">
      <c r="B685" s="92"/>
      <c r="E685" s="93"/>
    </row>
    <row r="686">
      <c r="B686" s="92"/>
      <c r="E686" s="93"/>
    </row>
    <row r="687">
      <c r="B687" s="92"/>
      <c r="E687" s="93"/>
    </row>
    <row r="688">
      <c r="B688" s="92"/>
      <c r="E688" s="93"/>
    </row>
    <row r="689">
      <c r="B689" s="92"/>
      <c r="E689" s="93"/>
    </row>
    <row r="690">
      <c r="B690" s="92"/>
      <c r="E690" s="93"/>
    </row>
    <row r="691">
      <c r="B691" s="92"/>
      <c r="E691" s="93"/>
    </row>
    <row r="692">
      <c r="B692" s="92"/>
      <c r="E692" s="93"/>
    </row>
    <row r="693">
      <c r="B693" s="92"/>
      <c r="E693" s="93"/>
    </row>
    <row r="694">
      <c r="B694" s="92"/>
      <c r="E694" s="93"/>
    </row>
    <row r="695">
      <c r="B695" s="92"/>
      <c r="E695" s="93"/>
    </row>
    <row r="696">
      <c r="B696" s="92"/>
      <c r="E696" s="93"/>
    </row>
    <row r="697">
      <c r="B697" s="92"/>
      <c r="E697" s="93"/>
    </row>
    <row r="698">
      <c r="B698" s="92"/>
      <c r="E698" s="93"/>
    </row>
    <row r="699">
      <c r="B699" s="92"/>
      <c r="E699" s="93"/>
    </row>
    <row r="700">
      <c r="B700" s="92"/>
      <c r="E700" s="93"/>
    </row>
    <row r="701">
      <c r="B701" s="92"/>
      <c r="E701" s="93"/>
    </row>
    <row r="702">
      <c r="B702" s="92"/>
      <c r="E702" s="93"/>
    </row>
    <row r="703">
      <c r="B703" s="92"/>
      <c r="E703" s="93"/>
    </row>
    <row r="704">
      <c r="B704" s="92"/>
      <c r="E704" s="93"/>
    </row>
    <row r="705">
      <c r="B705" s="92"/>
      <c r="E705" s="93"/>
    </row>
    <row r="706">
      <c r="B706" s="92"/>
      <c r="E706" s="93"/>
    </row>
    <row r="707">
      <c r="B707" s="92"/>
      <c r="E707" s="93"/>
    </row>
    <row r="708">
      <c r="B708" s="92"/>
      <c r="E708" s="93"/>
    </row>
    <row r="709">
      <c r="B709" s="92"/>
      <c r="E709" s="93"/>
    </row>
    <row r="710">
      <c r="B710" s="92"/>
      <c r="E710" s="93"/>
    </row>
    <row r="711">
      <c r="B711" s="92"/>
      <c r="E711" s="93"/>
    </row>
    <row r="712">
      <c r="B712" s="92"/>
      <c r="E712" s="93"/>
    </row>
    <row r="713">
      <c r="B713" s="92"/>
      <c r="E713" s="93"/>
    </row>
    <row r="714">
      <c r="B714" s="92"/>
      <c r="E714" s="93"/>
    </row>
    <row r="715">
      <c r="B715" s="92"/>
      <c r="E715" s="93"/>
    </row>
    <row r="716">
      <c r="B716" s="92"/>
      <c r="E716" s="93"/>
    </row>
    <row r="717">
      <c r="B717" s="92"/>
      <c r="E717" s="93"/>
    </row>
    <row r="718">
      <c r="B718" s="92"/>
      <c r="E718" s="93"/>
    </row>
    <row r="719">
      <c r="B719" s="92"/>
      <c r="E719" s="93"/>
    </row>
    <row r="720">
      <c r="B720" s="92"/>
      <c r="E720" s="93"/>
    </row>
    <row r="721">
      <c r="B721" s="92"/>
      <c r="E721" s="93"/>
    </row>
    <row r="722">
      <c r="B722" s="92"/>
      <c r="E722" s="93"/>
    </row>
    <row r="723">
      <c r="B723" s="92"/>
      <c r="E723" s="93"/>
    </row>
    <row r="724">
      <c r="B724" s="92"/>
      <c r="E724" s="93"/>
    </row>
    <row r="725">
      <c r="B725" s="92"/>
      <c r="E725" s="93"/>
    </row>
    <row r="726">
      <c r="B726" s="92"/>
      <c r="E726" s="93"/>
    </row>
    <row r="727">
      <c r="B727" s="92"/>
      <c r="E727" s="93"/>
    </row>
    <row r="728">
      <c r="B728" s="92"/>
      <c r="E728" s="93"/>
    </row>
    <row r="729">
      <c r="B729" s="92"/>
      <c r="E729" s="93"/>
    </row>
    <row r="730">
      <c r="B730" s="92"/>
      <c r="E730" s="93"/>
    </row>
    <row r="731">
      <c r="B731" s="92"/>
      <c r="E731" s="93"/>
    </row>
    <row r="732">
      <c r="B732" s="92"/>
      <c r="E732" s="93"/>
    </row>
    <row r="733">
      <c r="B733" s="92"/>
      <c r="E733" s="93"/>
    </row>
    <row r="734">
      <c r="B734" s="92"/>
      <c r="E734" s="93"/>
    </row>
    <row r="735">
      <c r="B735" s="92"/>
      <c r="E735" s="93"/>
    </row>
    <row r="736">
      <c r="B736" s="92"/>
      <c r="E736" s="93"/>
    </row>
    <row r="737">
      <c r="B737" s="92"/>
      <c r="E737" s="93"/>
    </row>
    <row r="738">
      <c r="B738" s="92"/>
      <c r="E738" s="93"/>
    </row>
    <row r="739">
      <c r="B739" s="92"/>
      <c r="E739" s="93"/>
    </row>
    <row r="740">
      <c r="B740" s="92"/>
      <c r="E740" s="93"/>
    </row>
    <row r="741">
      <c r="B741" s="92"/>
      <c r="E741" s="93"/>
    </row>
    <row r="742">
      <c r="B742" s="92"/>
      <c r="E742" s="93"/>
    </row>
    <row r="743">
      <c r="B743" s="92"/>
      <c r="E743" s="93"/>
    </row>
    <row r="744">
      <c r="B744" s="92"/>
      <c r="E744" s="93"/>
    </row>
    <row r="745">
      <c r="B745" s="92"/>
      <c r="E745" s="93"/>
    </row>
    <row r="746">
      <c r="B746" s="92"/>
      <c r="E746" s="93"/>
    </row>
    <row r="747">
      <c r="B747" s="92"/>
      <c r="E747" s="93"/>
    </row>
    <row r="748">
      <c r="B748" s="92"/>
      <c r="E748" s="93"/>
    </row>
    <row r="749">
      <c r="B749" s="92"/>
      <c r="E749" s="93"/>
    </row>
    <row r="750">
      <c r="B750" s="92"/>
      <c r="E750" s="93"/>
    </row>
    <row r="751">
      <c r="B751" s="92"/>
      <c r="E751" s="93"/>
    </row>
    <row r="752">
      <c r="B752" s="92"/>
      <c r="E752" s="93"/>
    </row>
    <row r="753">
      <c r="B753" s="92"/>
      <c r="E753" s="93"/>
    </row>
    <row r="754">
      <c r="B754" s="92"/>
      <c r="E754" s="93"/>
    </row>
    <row r="755">
      <c r="B755" s="92"/>
      <c r="E755" s="93"/>
    </row>
    <row r="756">
      <c r="B756" s="92"/>
      <c r="E756" s="93"/>
    </row>
    <row r="757">
      <c r="B757" s="92"/>
      <c r="E757" s="93"/>
    </row>
    <row r="758">
      <c r="B758" s="92"/>
      <c r="E758" s="93"/>
    </row>
    <row r="759">
      <c r="B759" s="92"/>
      <c r="E759" s="93"/>
    </row>
    <row r="760">
      <c r="B760" s="92"/>
      <c r="E760" s="93"/>
    </row>
    <row r="761">
      <c r="B761" s="92"/>
      <c r="E761" s="93"/>
    </row>
    <row r="762">
      <c r="B762" s="92"/>
      <c r="E762" s="93"/>
    </row>
    <row r="763">
      <c r="B763" s="92"/>
      <c r="E763" s="93"/>
    </row>
    <row r="764">
      <c r="B764" s="92"/>
      <c r="E764" s="93"/>
    </row>
    <row r="765">
      <c r="B765" s="92"/>
      <c r="E765" s="93"/>
    </row>
    <row r="766">
      <c r="B766" s="92"/>
      <c r="E766" s="93"/>
    </row>
    <row r="767">
      <c r="B767" s="92"/>
      <c r="E767" s="93"/>
    </row>
    <row r="768">
      <c r="B768" s="92"/>
      <c r="E768" s="93"/>
    </row>
    <row r="769">
      <c r="B769" s="92"/>
      <c r="E769" s="93"/>
    </row>
    <row r="770">
      <c r="B770" s="92"/>
      <c r="E770" s="93"/>
    </row>
    <row r="771">
      <c r="B771" s="92"/>
      <c r="E771" s="93"/>
    </row>
    <row r="772">
      <c r="B772" s="92"/>
      <c r="E772" s="93"/>
    </row>
    <row r="773">
      <c r="B773" s="92"/>
      <c r="E773" s="93"/>
    </row>
    <row r="774">
      <c r="B774" s="92"/>
      <c r="E774" s="93"/>
    </row>
    <row r="775">
      <c r="B775" s="92"/>
      <c r="E775" s="93"/>
    </row>
    <row r="776">
      <c r="B776" s="92"/>
      <c r="E776" s="93"/>
    </row>
    <row r="777">
      <c r="B777" s="92"/>
      <c r="E777" s="93"/>
    </row>
    <row r="778">
      <c r="B778" s="92"/>
      <c r="E778" s="93"/>
    </row>
    <row r="779">
      <c r="B779" s="92"/>
      <c r="E779" s="93"/>
    </row>
    <row r="780">
      <c r="B780" s="92"/>
      <c r="E780" s="93"/>
    </row>
    <row r="781">
      <c r="B781" s="92"/>
      <c r="E781" s="93"/>
    </row>
    <row r="782">
      <c r="B782" s="92"/>
      <c r="E782" s="93"/>
    </row>
    <row r="783">
      <c r="B783" s="92"/>
      <c r="E783" s="93"/>
    </row>
    <row r="784">
      <c r="B784" s="92"/>
      <c r="E784" s="93"/>
    </row>
    <row r="785">
      <c r="B785" s="92"/>
      <c r="E785" s="93"/>
    </row>
    <row r="786">
      <c r="B786" s="92"/>
      <c r="E786" s="93"/>
    </row>
    <row r="787">
      <c r="B787" s="92"/>
      <c r="E787" s="93"/>
    </row>
    <row r="788">
      <c r="B788" s="92"/>
      <c r="E788" s="93"/>
    </row>
    <row r="789">
      <c r="B789" s="92"/>
      <c r="E789" s="93"/>
    </row>
    <row r="790">
      <c r="B790" s="92"/>
      <c r="E790" s="93"/>
    </row>
    <row r="791">
      <c r="B791" s="92"/>
      <c r="E791" s="93"/>
    </row>
    <row r="792">
      <c r="B792" s="92"/>
      <c r="E792" s="93"/>
    </row>
    <row r="793">
      <c r="B793" s="92"/>
      <c r="E793" s="93"/>
    </row>
    <row r="794">
      <c r="B794" s="92"/>
      <c r="E794" s="93"/>
    </row>
    <row r="795">
      <c r="B795" s="92"/>
      <c r="E795" s="93"/>
    </row>
    <row r="796">
      <c r="B796" s="92"/>
      <c r="E796" s="93"/>
    </row>
    <row r="797">
      <c r="B797" s="92"/>
      <c r="E797" s="93"/>
    </row>
    <row r="798">
      <c r="B798" s="92"/>
      <c r="E798" s="93"/>
    </row>
    <row r="799">
      <c r="B799" s="92"/>
      <c r="E799" s="93"/>
    </row>
    <row r="800">
      <c r="B800" s="92"/>
      <c r="E800" s="93"/>
    </row>
    <row r="801">
      <c r="B801" s="92"/>
      <c r="E801" s="93"/>
    </row>
    <row r="802">
      <c r="B802" s="92"/>
      <c r="E802" s="93"/>
    </row>
    <row r="803">
      <c r="B803" s="92"/>
      <c r="E803" s="93"/>
    </row>
    <row r="804">
      <c r="B804" s="92"/>
      <c r="E804" s="93"/>
    </row>
    <row r="805">
      <c r="B805" s="92"/>
      <c r="E805" s="93"/>
    </row>
    <row r="806">
      <c r="B806" s="92"/>
      <c r="E806" s="93"/>
    </row>
    <row r="807">
      <c r="B807" s="92"/>
      <c r="E807" s="93"/>
    </row>
    <row r="808">
      <c r="B808" s="92"/>
      <c r="E808" s="93"/>
    </row>
    <row r="809">
      <c r="B809" s="92"/>
      <c r="E809" s="93"/>
    </row>
    <row r="810">
      <c r="B810" s="92"/>
      <c r="E810" s="93"/>
    </row>
    <row r="811">
      <c r="B811" s="92"/>
      <c r="E811" s="93"/>
    </row>
    <row r="812">
      <c r="B812" s="92"/>
      <c r="E812" s="93"/>
    </row>
    <row r="813">
      <c r="B813" s="92"/>
      <c r="E813" s="93"/>
    </row>
    <row r="814">
      <c r="B814" s="92"/>
      <c r="E814" s="93"/>
    </row>
    <row r="815">
      <c r="B815" s="92"/>
      <c r="E815" s="93"/>
    </row>
    <row r="816">
      <c r="B816" s="92"/>
      <c r="E816" s="93"/>
    </row>
    <row r="817">
      <c r="B817" s="92"/>
      <c r="E817" s="93"/>
    </row>
    <row r="818">
      <c r="B818" s="92"/>
      <c r="E818" s="93"/>
    </row>
    <row r="819">
      <c r="B819" s="92"/>
      <c r="E819" s="93"/>
    </row>
    <row r="820">
      <c r="B820" s="92"/>
      <c r="E820" s="93"/>
    </row>
    <row r="821">
      <c r="B821" s="92"/>
      <c r="E821" s="93"/>
    </row>
    <row r="822">
      <c r="B822" s="92"/>
      <c r="E822" s="93"/>
    </row>
    <row r="823">
      <c r="B823" s="92"/>
      <c r="E823" s="93"/>
    </row>
    <row r="824">
      <c r="B824" s="92"/>
      <c r="E824" s="93"/>
    </row>
    <row r="825">
      <c r="B825" s="92"/>
      <c r="E825" s="93"/>
    </row>
    <row r="826">
      <c r="B826" s="92"/>
      <c r="E826" s="93"/>
    </row>
    <row r="827">
      <c r="B827" s="92"/>
      <c r="E827" s="93"/>
    </row>
    <row r="828">
      <c r="B828" s="92"/>
      <c r="E828" s="93"/>
    </row>
    <row r="829">
      <c r="B829" s="92"/>
      <c r="E829" s="93"/>
    </row>
    <row r="830">
      <c r="B830" s="92"/>
      <c r="E830" s="93"/>
    </row>
    <row r="831">
      <c r="B831" s="92"/>
      <c r="E831" s="93"/>
    </row>
    <row r="832">
      <c r="B832" s="92"/>
      <c r="E832" s="93"/>
    </row>
    <row r="833">
      <c r="B833" s="92"/>
      <c r="E833" s="93"/>
    </row>
    <row r="834">
      <c r="B834" s="92"/>
      <c r="E834" s="93"/>
    </row>
    <row r="835">
      <c r="B835" s="92"/>
      <c r="E835" s="93"/>
    </row>
    <row r="836">
      <c r="B836" s="92"/>
      <c r="E836" s="93"/>
    </row>
    <row r="837">
      <c r="B837" s="92"/>
      <c r="E837" s="93"/>
    </row>
    <row r="838">
      <c r="B838" s="92"/>
      <c r="E838" s="93"/>
    </row>
    <row r="839">
      <c r="B839" s="92"/>
      <c r="E839" s="93"/>
    </row>
    <row r="840">
      <c r="B840" s="92"/>
      <c r="E840" s="93"/>
    </row>
    <row r="841">
      <c r="B841" s="92"/>
      <c r="E841" s="93"/>
    </row>
    <row r="842">
      <c r="B842" s="92"/>
      <c r="E842" s="93"/>
    </row>
    <row r="843">
      <c r="B843" s="92"/>
      <c r="E843" s="93"/>
    </row>
    <row r="844">
      <c r="B844" s="92"/>
      <c r="E844" s="93"/>
    </row>
    <row r="845">
      <c r="B845" s="92"/>
      <c r="E845" s="93"/>
    </row>
    <row r="846">
      <c r="B846" s="92"/>
      <c r="E846" s="93"/>
    </row>
    <row r="847">
      <c r="B847" s="92"/>
      <c r="E847" s="93"/>
    </row>
    <row r="848">
      <c r="B848" s="92"/>
      <c r="E848" s="93"/>
    </row>
    <row r="849">
      <c r="B849" s="92"/>
      <c r="E849" s="93"/>
    </row>
    <row r="850">
      <c r="B850" s="92"/>
      <c r="E850" s="93"/>
    </row>
    <row r="851">
      <c r="B851" s="92"/>
      <c r="E851" s="93"/>
    </row>
    <row r="852">
      <c r="B852" s="92"/>
      <c r="E852" s="93"/>
    </row>
    <row r="853">
      <c r="B853" s="92"/>
      <c r="E853" s="93"/>
    </row>
    <row r="854">
      <c r="B854" s="92"/>
      <c r="E854" s="93"/>
    </row>
    <row r="855">
      <c r="B855" s="92"/>
      <c r="E855" s="93"/>
    </row>
    <row r="856">
      <c r="B856" s="92"/>
      <c r="E856" s="93"/>
    </row>
    <row r="857">
      <c r="B857" s="92"/>
      <c r="E857" s="93"/>
    </row>
    <row r="858">
      <c r="B858" s="92"/>
      <c r="E858" s="93"/>
    </row>
    <row r="859">
      <c r="B859" s="92"/>
      <c r="E859" s="93"/>
    </row>
    <row r="860">
      <c r="B860" s="92"/>
      <c r="E860" s="93"/>
    </row>
    <row r="861">
      <c r="B861" s="92"/>
      <c r="E861" s="93"/>
    </row>
    <row r="862">
      <c r="B862" s="92"/>
      <c r="E862" s="93"/>
    </row>
    <row r="863">
      <c r="B863" s="92"/>
      <c r="E863" s="93"/>
    </row>
    <row r="864">
      <c r="B864" s="92"/>
      <c r="E864" s="93"/>
    </row>
    <row r="865">
      <c r="B865" s="92"/>
      <c r="E865" s="93"/>
    </row>
    <row r="866">
      <c r="B866" s="92"/>
      <c r="E866" s="93"/>
    </row>
    <row r="867">
      <c r="B867" s="92"/>
      <c r="E867" s="93"/>
    </row>
    <row r="868">
      <c r="B868" s="92"/>
      <c r="E868" s="93"/>
    </row>
    <row r="869">
      <c r="B869" s="92"/>
      <c r="E869" s="93"/>
    </row>
    <row r="870">
      <c r="B870" s="92"/>
      <c r="E870" s="93"/>
    </row>
    <row r="871">
      <c r="B871" s="92"/>
      <c r="E871" s="93"/>
    </row>
    <row r="872">
      <c r="B872" s="92"/>
      <c r="E872" s="93"/>
    </row>
    <row r="873">
      <c r="B873" s="92"/>
      <c r="E873" s="93"/>
    </row>
    <row r="874">
      <c r="B874" s="92"/>
      <c r="E874" s="93"/>
    </row>
    <row r="875">
      <c r="B875" s="92"/>
      <c r="E875" s="93"/>
    </row>
    <row r="876">
      <c r="B876" s="92"/>
      <c r="E876" s="93"/>
    </row>
    <row r="877">
      <c r="B877" s="92"/>
      <c r="E877" s="93"/>
    </row>
    <row r="878">
      <c r="B878" s="92"/>
      <c r="E878" s="93"/>
    </row>
    <row r="879">
      <c r="B879" s="92"/>
      <c r="E879" s="93"/>
    </row>
    <row r="880">
      <c r="B880" s="92"/>
      <c r="E880" s="93"/>
    </row>
    <row r="881">
      <c r="B881" s="92"/>
      <c r="E881" s="93"/>
    </row>
    <row r="882">
      <c r="B882" s="92"/>
      <c r="E882" s="93"/>
    </row>
    <row r="883">
      <c r="B883" s="92"/>
      <c r="E883" s="93"/>
    </row>
    <row r="884">
      <c r="B884" s="92"/>
      <c r="E884" s="93"/>
    </row>
    <row r="885">
      <c r="B885" s="92"/>
      <c r="E885" s="93"/>
    </row>
    <row r="886">
      <c r="B886" s="92"/>
      <c r="E886" s="93"/>
    </row>
    <row r="887">
      <c r="B887" s="92"/>
      <c r="E887" s="93"/>
    </row>
    <row r="888">
      <c r="B888" s="92"/>
      <c r="E888" s="93"/>
    </row>
    <row r="889">
      <c r="B889" s="92"/>
      <c r="E889" s="93"/>
    </row>
    <row r="890">
      <c r="B890" s="92"/>
      <c r="E890" s="93"/>
    </row>
    <row r="891">
      <c r="B891" s="92"/>
      <c r="E891" s="93"/>
    </row>
    <row r="892">
      <c r="B892" s="92"/>
      <c r="E892" s="93"/>
    </row>
    <row r="893">
      <c r="B893" s="92"/>
      <c r="E893" s="93"/>
    </row>
    <row r="894">
      <c r="B894" s="92"/>
      <c r="E894" s="93"/>
    </row>
    <row r="895">
      <c r="B895" s="92"/>
      <c r="E895" s="93"/>
    </row>
    <row r="896">
      <c r="B896" s="92"/>
      <c r="E896" s="93"/>
    </row>
    <row r="897">
      <c r="B897" s="92"/>
      <c r="E897" s="93"/>
    </row>
    <row r="898">
      <c r="B898" s="92"/>
      <c r="E898" s="93"/>
    </row>
    <row r="899">
      <c r="B899" s="92"/>
      <c r="E899" s="93"/>
    </row>
    <row r="900">
      <c r="B900" s="92"/>
      <c r="E900" s="93"/>
    </row>
    <row r="901">
      <c r="B901" s="92"/>
      <c r="E901" s="93"/>
    </row>
    <row r="902">
      <c r="B902" s="92"/>
      <c r="E902" s="93"/>
    </row>
    <row r="903">
      <c r="B903" s="92"/>
      <c r="E903" s="93"/>
    </row>
    <row r="904">
      <c r="B904" s="92"/>
      <c r="E904" s="93"/>
    </row>
    <row r="905">
      <c r="B905" s="92"/>
      <c r="E905" s="93"/>
    </row>
    <row r="906">
      <c r="B906" s="92"/>
      <c r="E906" s="93"/>
    </row>
    <row r="907">
      <c r="B907" s="92"/>
      <c r="E907" s="93"/>
    </row>
    <row r="908">
      <c r="B908" s="92"/>
      <c r="E908" s="93"/>
    </row>
    <row r="909">
      <c r="B909" s="92"/>
      <c r="E909" s="93"/>
    </row>
    <row r="910">
      <c r="B910" s="92"/>
      <c r="E910" s="93"/>
    </row>
    <row r="911">
      <c r="B911" s="92"/>
      <c r="E911" s="93"/>
    </row>
    <row r="912">
      <c r="B912" s="92"/>
      <c r="E912" s="93"/>
    </row>
    <row r="913">
      <c r="B913" s="92"/>
      <c r="E913" s="93"/>
    </row>
    <row r="914">
      <c r="B914" s="92"/>
      <c r="E914" s="93"/>
    </row>
    <row r="915">
      <c r="B915" s="92"/>
      <c r="E915" s="93"/>
    </row>
    <row r="916">
      <c r="B916" s="92"/>
      <c r="E916" s="93"/>
    </row>
    <row r="917">
      <c r="B917" s="92"/>
      <c r="E917" s="93"/>
    </row>
    <row r="918">
      <c r="B918" s="92"/>
      <c r="E918" s="93"/>
    </row>
    <row r="919">
      <c r="B919" s="92"/>
      <c r="E919" s="93"/>
    </row>
    <row r="920">
      <c r="B920" s="92"/>
      <c r="E920" s="93"/>
    </row>
    <row r="921">
      <c r="B921" s="92"/>
      <c r="E921" s="93"/>
    </row>
    <row r="922">
      <c r="B922" s="92"/>
      <c r="E922" s="93"/>
    </row>
    <row r="923">
      <c r="B923" s="92"/>
      <c r="E923" s="93"/>
    </row>
    <row r="924">
      <c r="B924" s="92"/>
      <c r="E924" s="93"/>
    </row>
    <row r="925">
      <c r="B925" s="92"/>
      <c r="E925" s="93"/>
    </row>
    <row r="926">
      <c r="B926" s="92"/>
      <c r="E926" s="93"/>
    </row>
    <row r="927">
      <c r="B927" s="92"/>
      <c r="E927" s="93"/>
    </row>
    <row r="928">
      <c r="B928" s="92"/>
      <c r="E928" s="93"/>
    </row>
    <row r="929">
      <c r="B929" s="92"/>
      <c r="E929" s="93"/>
    </row>
    <row r="930">
      <c r="B930" s="92"/>
      <c r="E930" s="93"/>
    </row>
    <row r="931">
      <c r="B931" s="92"/>
      <c r="E931" s="93"/>
    </row>
    <row r="932">
      <c r="B932" s="92"/>
      <c r="E932" s="93"/>
    </row>
    <row r="933">
      <c r="B933" s="92"/>
      <c r="E933" s="93"/>
    </row>
    <row r="934">
      <c r="B934" s="92"/>
      <c r="E934" s="93"/>
    </row>
    <row r="935">
      <c r="B935" s="92"/>
      <c r="E935" s="93"/>
    </row>
    <row r="936">
      <c r="B936" s="92"/>
      <c r="E936" s="93"/>
    </row>
    <row r="937">
      <c r="B937" s="92"/>
      <c r="E937" s="93"/>
    </row>
    <row r="938">
      <c r="B938" s="92"/>
      <c r="E938" s="93"/>
    </row>
    <row r="939">
      <c r="B939" s="92"/>
      <c r="E939" s="93"/>
    </row>
    <row r="940">
      <c r="B940" s="92"/>
      <c r="E940" s="93"/>
    </row>
    <row r="941">
      <c r="B941" s="92"/>
      <c r="E941" s="93"/>
    </row>
    <row r="942">
      <c r="B942" s="92"/>
      <c r="E942" s="93"/>
    </row>
    <row r="943">
      <c r="B943" s="92"/>
      <c r="E943" s="93"/>
    </row>
    <row r="944">
      <c r="B944" s="92"/>
      <c r="E944" s="93"/>
    </row>
    <row r="945">
      <c r="B945" s="92"/>
      <c r="E945" s="93"/>
    </row>
    <row r="946">
      <c r="B946" s="92"/>
      <c r="E946" s="93"/>
    </row>
    <row r="947">
      <c r="B947" s="92"/>
      <c r="E947" s="93"/>
    </row>
    <row r="948">
      <c r="B948" s="92"/>
      <c r="E948" s="93"/>
    </row>
    <row r="949">
      <c r="B949" s="92"/>
      <c r="E949" s="93"/>
    </row>
    <row r="950">
      <c r="B950" s="92"/>
      <c r="E950" s="93"/>
    </row>
    <row r="951">
      <c r="B951" s="92"/>
      <c r="E951" s="93"/>
    </row>
    <row r="952">
      <c r="B952" s="92"/>
      <c r="E952" s="93"/>
    </row>
    <row r="953">
      <c r="B953" s="92"/>
      <c r="E953" s="93"/>
    </row>
    <row r="954">
      <c r="B954" s="92"/>
      <c r="E954" s="93"/>
    </row>
    <row r="955">
      <c r="B955" s="92"/>
      <c r="E955" s="93"/>
    </row>
    <row r="956">
      <c r="B956" s="92"/>
      <c r="E956" s="93"/>
    </row>
    <row r="957">
      <c r="B957" s="92"/>
      <c r="E957" s="93"/>
    </row>
    <row r="958">
      <c r="B958" s="92"/>
      <c r="E958" s="93"/>
    </row>
    <row r="959">
      <c r="B959" s="92"/>
      <c r="E959" s="93"/>
    </row>
    <row r="960">
      <c r="B960" s="92"/>
      <c r="E960" s="93"/>
    </row>
    <row r="961">
      <c r="B961" s="92"/>
      <c r="E961" s="93"/>
    </row>
    <row r="962">
      <c r="B962" s="92"/>
      <c r="E962" s="93"/>
    </row>
    <row r="963">
      <c r="B963" s="92"/>
      <c r="E963" s="93"/>
    </row>
    <row r="964">
      <c r="B964" s="92"/>
      <c r="E964" s="93"/>
    </row>
    <row r="965">
      <c r="B965" s="92"/>
      <c r="E965" s="93"/>
    </row>
    <row r="966">
      <c r="B966" s="92"/>
      <c r="E966" s="93"/>
    </row>
    <row r="967">
      <c r="B967" s="92"/>
      <c r="E967" s="93"/>
    </row>
    <row r="968">
      <c r="B968" s="92"/>
      <c r="E968" s="93"/>
    </row>
    <row r="969">
      <c r="B969" s="92"/>
      <c r="E969" s="93"/>
    </row>
    <row r="970">
      <c r="B970" s="92"/>
      <c r="E970" s="93"/>
    </row>
    <row r="971">
      <c r="B971" s="92"/>
      <c r="E971" s="93"/>
    </row>
    <row r="972">
      <c r="B972" s="92"/>
      <c r="E972" s="93"/>
    </row>
    <row r="973">
      <c r="B973" s="92"/>
      <c r="E973" s="93"/>
    </row>
    <row r="974">
      <c r="B974" s="92"/>
      <c r="E974" s="93"/>
    </row>
    <row r="975">
      <c r="B975" s="92"/>
      <c r="E975" s="93"/>
    </row>
    <row r="976">
      <c r="B976" s="92"/>
      <c r="E976" s="93"/>
    </row>
    <row r="977">
      <c r="B977" s="92"/>
      <c r="E977" s="93"/>
    </row>
    <row r="978">
      <c r="B978" s="92"/>
      <c r="E978" s="93"/>
    </row>
    <row r="979">
      <c r="B979" s="92"/>
      <c r="E979" s="93"/>
    </row>
    <row r="980">
      <c r="B980" s="92"/>
      <c r="E980" s="93"/>
    </row>
    <row r="981">
      <c r="B981" s="92"/>
      <c r="E981" s="93"/>
    </row>
    <row r="982">
      <c r="B982" s="92"/>
      <c r="E982" s="93"/>
    </row>
    <row r="983">
      <c r="B983" s="92"/>
      <c r="E983" s="93"/>
    </row>
    <row r="984">
      <c r="B984" s="92"/>
      <c r="E984" s="93"/>
    </row>
    <row r="985">
      <c r="B985" s="92"/>
      <c r="E985" s="93"/>
    </row>
    <row r="986">
      <c r="B986" s="92"/>
      <c r="E986" s="93"/>
    </row>
    <row r="987">
      <c r="B987" s="92"/>
      <c r="E987" s="93"/>
    </row>
    <row r="988">
      <c r="B988" s="92"/>
      <c r="E988" s="93"/>
    </row>
    <row r="989">
      <c r="B989" s="92"/>
      <c r="E989" s="93"/>
    </row>
    <row r="990">
      <c r="B990" s="92"/>
      <c r="E990" s="93"/>
    </row>
    <row r="991">
      <c r="B991" s="92"/>
      <c r="E991" s="93"/>
    </row>
    <row r="992">
      <c r="B992" s="92"/>
      <c r="E992" s="93"/>
    </row>
    <row r="993">
      <c r="B993" s="92"/>
      <c r="E993" s="93"/>
    </row>
    <row r="994">
      <c r="B994" s="92"/>
      <c r="E994" s="93"/>
    </row>
    <row r="995">
      <c r="B995" s="92"/>
      <c r="E995" s="93"/>
    </row>
    <row r="996">
      <c r="B996" s="92"/>
      <c r="E996" s="93"/>
    </row>
    <row r="997">
      <c r="B997" s="92"/>
      <c r="E997" s="93"/>
    </row>
    <row r="998">
      <c r="B998" s="92"/>
      <c r="E998" s="93"/>
    </row>
    <row r="999">
      <c r="B999" s="92"/>
      <c r="E999" s="93"/>
    </row>
    <row r="1000">
      <c r="B1000" s="92"/>
      <c r="E1000" s="93"/>
    </row>
    <row r="1001">
      <c r="B1001" s="92"/>
      <c r="E1001" s="93"/>
    </row>
    <row r="1002">
      <c r="B1002" s="92"/>
      <c r="E1002" s="93"/>
    </row>
    <row r="1003">
      <c r="B1003" s="92"/>
      <c r="E1003" s="93"/>
    </row>
    <row r="1004">
      <c r="B1004" s="92"/>
      <c r="E1004" s="93"/>
    </row>
    <row r="1005">
      <c r="B1005" s="92"/>
      <c r="E1005" s="93"/>
    </row>
    <row r="1006">
      <c r="B1006" s="92"/>
      <c r="E1006" s="93"/>
    </row>
    <row r="1007">
      <c r="B1007" s="92"/>
      <c r="E1007" s="93"/>
    </row>
    <row r="1008">
      <c r="B1008" s="92"/>
      <c r="E1008" s="93"/>
    </row>
    <row r="1009">
      <c r="B1009" s="92"/>
      <c r="E1009" s="93"/>
    </row>
    <row r="1010">
      <c r="B1010" s="92"/>
      <c r="E1010" s="93"/>
    </row>
    <row r="1011">
      <c r="B1011" s="92"/>
      <c r="E1011" s="93"/>
    </row>
    <row r="1012">
      <c r="B1012" s="92"/>
      <c r="E1012" s="93"/>
    </row>
    <row r="1013">
      <c r="B1013" s="92"/>
      <c r="E1013" s="93"/>
    </row>
    <row r="1014">
      <c r="B1014" s="92"/>
      <c r="E1014" s="93"/>
    </row>
    <row r="1015">
      <c r="B1015" s="92"/>
      <c r="E1015" s="93"/>
    </row>
    <row r="1016">
      <c r="B1016" s="92"/>
      <c r="E1016" s="93"/>
    </row>
    <row r="1017">
      <c r="B1017" s="92"/>
      <c r="E1017" s="93"/>
    </row>
    <row r="1018">
      <c r="B1018" s="92"/>
      <c r="E1018" s="93"/>
    </row>
    <row r="1019">
      <c r="B1019" s="92"/>
      <c r="E1019" s="93"/>
    </row>
    <row r="1020">
      <c r="B1020" s="92"/>
      <c r="E1020" s="93"/>
    </row>
    <row r="1021">
      <c r="B1021" s="92"/>
      <c r="E1021" s="93"/>
    </row>
    <row r="1022">
      <c r="B1022" s="92"/>
      <c r="E1022" s="93"/>
    </row>
    <row r="1023">
      <c r="B1023" s="92"/>
      <c r="E1023" s="93"/>
    </row>
    <row r="1024">
      <c r="B1024" s="92"/>
      <c r="E1024" s="93"/>
    </row>
    <row r="1025">
      <c r="B1025" s="92"/>
      <c r="E1025" s="93"/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87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89</v>
      </c>
      <c r="C4" s="17">
        <v>15430.0</v>
      </c>
      <c r="D4" s="13"/>
      <c r="E4" s="18" t="s">
        <v>90</v>
      </c>
      <c r="F4" s="19">
        <v>1.0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91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5">
        <v>660.0</v>
      </c>
      <c r="E26" s="46"/>
      <c r="F26" s="46">
        <f t="shared" si="1"/>
        <v>-660</v>
      </c>
      <c r="G26" s="46"/>
      <c r="H26" s="46"/>
      <c r="I26" s="46">
        <f t="shared" si="3"/>
        <v>8.8</v>
      </c>
      <c r="J26" s="48"/>
      <c r="K26" s="48"/>
      <c r="L26" s="49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92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660</v>
      </c>
      <c r="E32" s="53">
        <f t="shared" si="5"/>
        <v>0</v>
      </c>
      <c r="F32" s="53">
        <f t="shared" si="5"/>
        <v>-660</v>
      </c>
      <c r="G32" s="53"/>
      <c r="H32" s="53"/>
      <c r="I32" s="53">
        <f t="shared" ref="I32:J32" si="6">SUM(I9:I31)</f>
        <v>8.8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5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94</v>
      </c>
      <c r="D49" s="45">
        <v>9250.0</v>
      </c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50" t="s">
        <v>32</v>
      </c>
      <c r="D50" s="45">
        <v>1721.0</v>
      </c>
      <c r="E50" s="46"/>
      <c r="F50" s="46">
        <f t="shared" ref="F50:F52" si="9">E50-D50</f>
        <v>-1721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52</v>
      </c>
      <c r="D53" s="53">
        <f>SUM(D49:D52)</f>
        <v>10971</v>
      </c>
      <c r="E53" s="53">
        <f t="shared" ref="E53:F53" si="10">SUM(E50:E52)</f>
        <v>0</v>
      </c>
      <c r="F53" s="53">
        <f t="shared" si="10"/>
        <v>-1721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53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95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96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97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98</v>
      </c>
      <c r="D62" s="75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99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57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58</v>
      </c>
      <c r="E66" s="82" t="s">
        <v>100</v>
      </c>
      <c r="F66" s="82" t="s">
        <v>101</v>
      </c>
      <c r="G66" s="84" t="s">
        <v>61</v>
      </c>
      <c r="H66" s="70"/>
      <c r="I66" s="70"/>
      <c r="J66" s="70"/>
      <c r="K66" s="70"/>
      <c r="L66" s="70"/>
    </row>
    <row r="67" ht="42.0" customHeight="1">
      <c r="A67" s="85"/>
      <c r="B67" s="86" t="s">
        <v>62</v>
      </c>
      <c r="C67" s="87"/>
      <c r="D67" s="99">
        <f>D64+D53+D46+D32</f>
        <v>11631</v>
      </c>
      <c r="E67" s="99">
        <v>15430.0</v>
      </c>
      <c r="F67" s="99">
        <f>E67-D67</f>
        <v>3799</v>
      </c>
      <c r="G67" s="100">
        <f>F67/E67</f>
        <v>0.2462086844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87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161.0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89</v>
      </c>
      <c r="C4" s="17">
        <v>930.0</v>
      </c>
      <c r="D4" s="13"/>
      <c r="E4" s="18" t="s">
        <v>90</v>
      </c>
      <c r="F4" s="19">
        <v>2.0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91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92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0</v>
      </c>
      <c r="E32" s="53">
        <f t="shared" si="5"/>
        <v>0</v>
      </c>
      <c r="F32" s="53">
        <f t="shared" si="5"/>
        <v>0</v>
      </c>
      <c r="G32" s="53"/>
      <c r="H32" s="53"/>
      <c r="I32" s="53">
        <f t="shared" ref="I32:J32" si="6">SUM(I9:I31)</f>
        <v>0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94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52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53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95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96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97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98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99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57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58</v>
      </c>
      <c r="E66" s="82" t="s">
        <v>100</v>
      </c>
      <c r="F66" s="83" t="s">
        <v>60</v>
      </c>
      <c r="G66" s="84" t="s">
        <v>61</v>
      </c>
      <c r="H66" s="70"/>
      <c r="I66" s="70"/>
      <c r="J66" s="70"/>
      <c r="K66" s="70"/>
      <c r="L66" s="70"/>
    </row>
    <row r="67" ht="42.0" customHeight="1">
      <c r="A67" s="85"/>
      <c r="B67" s="86" t="s">
        <v>62</v>
      </c>
      <c r="C67" s="87"/>
      <c r="D67" s="99">
        <f>D64+D53+D46+D32</f>
        <v>0</v>
      </c>
      <c r="E67" s="99">
        <v>930.0</v>
      </c>
      <c r="F67" s="99">
        <f>E67-D67</f>
        <v>930</v>
      </c>
      <c r="G67" s="100">
        <f>F67/E67</f>
        <v>1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87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89</v>
      </c>
      <c r="C4" s="17">
        <v>360.0</v>
      </c>
      <c r="D4" s="13"/>
      <c r="E4" s="18" t="s">
        <v>90</v>
      </c>
      <c r="F4" s="19">
        <v>3.0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91</v>
      </c>
      <c r="D16" s="45">
        <v>313.0</v>
      </c>
      <c r="E16" s="46"/>
      <c r="F16" s="46">
        <f t="shared" si="1"/>
        <v>-313</v>
      </c>
      <c r="G16" s="46"/>
      <c r="H16" s="46"/>
      <c r="I16" s="46">
        <f t="shared" si="2"/>
        <v>4.173333333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92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313</v>
      </c>
      <c r="E32" s="53">
        <f t="shared" si="5"/>
        <v>0</v>
      </c>
      <c r="F32" s="53">
        <f t="shared" si="5"/>
        <v>-313</v>
      </c>
      <c r="G32" s="53"/>
      <c r="H32" s="53"/>
      <c r="I32" s="53">
        <f t="shared" ref="I32:J32" si="6">SUM(I9:I31)</f>
        <v>4.173333333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94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52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53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95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96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97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98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99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57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58</v>
      </c>
      <c r="E66" s="82" t="s">
        <v>100</v>
      </c>
      <c r="F66" s="83" t="s">
        <v>60</v>
      </c>
      <c r="G66" s="84" t="s">
        <v>61</v>
      </c>
      <c r="H66" s="70"/>
      <c r="I66" s="70"/>
      <c r="J66" s="70"/>
      <c r="K66" s="70"/>
      <c r="L66" s="70"/>
    </row>
    <row r="67" ht="42.0" customHeight="1">
      <c r="A67" s="85"/>
      <c r="B67" s="86" t="s">
        <v>62</v>
      </c>
      <c r="C67" s="87"/>
      <c r="D67" s="99">
        <f>D64+D53+D46+D32</f>
        <v>313</v>
      </c>
      <c r="E67" s="99">
        <v>360.0</v>
      </c>
      <c r="F67" s="99">
        <f>E67-D67</f>
        <v>47</v>
      </c>
      <c r="G67" s="100">
        <f>F67/E67</f>
        <v>0.1305555556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101"/>
      <c r="H1" s="2"/>
      <c r="I1" s="2"/>
      <c r="J1" s="3"/>
      <c r="K1" s="3"/>
      <c r="L1" s="2"/>
    </row>
    <row r="2" ht="44.25" customHeight="1">
      <c r="A2" s="1"/>
      <c r="B2" s="4" t="s">
        <v>102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162.0</v>
      </c>
      <c r="G3" s="102"/>
      <c r="H3" s="15"/>
      <c r="I3" s="15"/>
      <c r="J3" s="15"/>
      <c r="K3" s="15"/>
      <c r="L3" s="16"/>
    </row>
    <row r="4" ht="27.0" customHeight="1">
      <c r="A4" s="9"/>
      <c r="B4" s="10" t="s">
        <v>103</v>
      </c>
      <c r="C4" s="17">
        <v>183740.0</v>
      </c>
      <c r="D4" s="13"/>
      <c r="E4" s="18" t="s">
        <v>90</v>
      </c>
      <c r="F4" s="19">
        <v>3.0</v>
      </c>
      <c r="G4" s="102"/>
      <c r="H4" s="15"/>
      <c r="I4" s="103">
        <v>45812.0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104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105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10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107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2000.0</v>
      </c>
      <c r="E9" s="46"/>
      <c r="F9" s="46">
        <f t="shared" ref="F9:F31" si="1">E9-D9</f>
        <v>-2000</v>
      </c>
      <c r="G9" s="108"/>
      <c r="H9" s="46"/>
      <c r="I9" s="46">
        <f t="shared" ref="I9:I22" si="2">D9/75</f>
        <v>26.66666667</v>
      </c>
      <c r="J9" s="109">
        <v>91.0</v>
      </c>
      <c r="K9" s="48"/>
      <c r="L9" s="49"/>
    </row>
    <row r="10">
      <c r="A10" s="42"/>
      <c r="B10" s="43"/>
      <c r="C10" s="44" t="s">
        <v>19</v>
      </c>
      <c r="D10" s="45">
        <v>2500.0</v>
      </c>
      <c r="E10" s="46"/>
      <c r="F10" s="46">
        <f t="shared" si="1"/>
        <v>-2500</v>
      </c>
      <c r="G10" s="108"/>
      <c r="H10" s="46"/>
      <c r="I10" s="46">
        <f t="shared" si="2"/>
        <v>33.33333333</v>
      </c>
      <c r="J10" s="110">
        <v>125.0</v>
      </c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108"/>
      <c r="H11" s="46"/>
      <c r="I11" s="46">
        <f t="shared" si="2"/>
        <v>13.33333333</v>
      </c>
      <c r="J11" s="109">
        <v>13.0</v>
      </c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108"/>
      <c r="H12" s="46"/>
      <c r="I12" s="46">
        <f t="shared" si="2"/>
        <v>0</v>
      </c>
      <c r="J12" s="111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108"/>
      <c r="H13" s="46"/>
      <c r="I13" s="46">
        <f t="shared" si="2"/>
        <v>0</v>
      </c>
      <c r="J13" s="109">
        <v>16.0</v>
      </c>
      <c r="K13" s="48"/>
      <c r="L13" s="49"/>
    </row>
    <row r="14">
      <c r="A14" s="42"/>
      <c r="B14" s="42"/>
      <c r="C14" s="44" t="s">
        <v>23</v>
      </c>
      <c r="D14" s="45">
        <v>1170.0</v>
      </c>
      <c r="E14" s="46"/>
      <c r="F14" s="46">
        <f t="shared" si="1"/>
        <v>-1170</v>
      </c>
      <c r="G14" s="108"/>
      <c r="H14" s="46"/>
      <c r="I14" s="46">
        <f t="shared" si="2"/>
        <v>15.6</v>
      </c>
      <c r="J14" s="111"/>
      <c r="K14" s="48"/>
      <c r="L14" s="49"/>
    </row>
    <row r="15">
      <c r="A15" s="42"/>
      <c r="B15" s="42"/>
      <c r="C15" s="44" t="s">
        <v>24</v>
      </c>
      <c r="D15" s="45">
        <v>3451.0</v>
      </c>
      <c r="E15" s="46"/>
      <c r="F15" s="46">
        <f t="shared" si="1"/>
        <v>-3451</v>
      </c>
      <c r="G15" s="108"/>
      <c r="H15" s="46"/>
      <c r="I15" s="46">
        <f t="shared" si="2"/>
        <v>46.01333333</v>
      </c>
      <c r="J15" s="109">
        <v>48.0</v>
      </c>
      <c r="K15" s="48"/>
      <c r="L15" s="49"/>
    </row>
    <row r="16">
      <c r="A16" s="42"/>
      <c r="B16" s="42"/>
      <c r="C16" s="44" t="s">
        <v>91</v>
      </c>
      <c r="D16" s="45">
        <f>12075+313</f>
        <v>12388</v>
      </c>
      <c r="E16" s="46"/>
      <c r="F16" s="46">
        <f t="shared" si="1"/>
        <v>-12388</v>
      </c>
      <c r="G16" s="108"/>
      <c r="H16" s="46"/>
      <c r="I16" s="46">
        <f t="shared" si="2"/>
        <v>165.1733333</v>
      </c>
      <c r="J16" s="110">
        <v>309.0</v>
      </c>
      <c r="K16" s="48"/>
      <c r="L16" s="49"/>
    </row>
    <row r="17">
      <c r="A17" s="42"/>
      <c r="B17" s="42"/>
      <c r="C17" s="44" t="s">
        <v>44</v>
      </c>
      <c r="D17" s="45">
        <v>4200.0</v>
      </c>
      <c r="E17" s="46"/>
      <c r="F17" s="46">
        <f t="shared" si="1"/>
        <v>-4200</v>
      </c>
      <c r="G17" s="108"/>
      <c r="H17" s="46"/>
      <c r="I17" s="46">
        <f t="shared" si="2"/>
        <v>56</v>
      </c>
      <c r="J17" s="109">
        <v>34.5</v>
      </c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108"/>
      <c r="H18" s="46"/>
      <c r="I18" s="46">
        <f t="shared" si="2"/>
        <v>0</v>
      </c>
      <c r="J18" s="111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108"/>
      <c r="H19" s="46"/>
      <c r="I19" s="46">
        <f t="shared" si="2"/>
        <v>0</v>
      </c>
      <c r="J19" s="112"/>
      <c r="K19" s="48"/>
      <c r="L19" s="49"/>
    </row>
    <row r="20">
      <c r="A20" s="42"/>
      <c r="B20" s="42"/>
      <c r="C20" s="44" t="s">
        <v>29</v>
      </c>
      <c r="D20" s="45">
        <v>7493.0</v>
      </c>
      <c r="E20" s="46"/>
      <c r="F20" s="46">
        <f t="shared" si="1"/>
        <v>-7493</v>
      </c>
      <c r="G20" s="108"/>
      <c r="H20" s="46"/>
      <c r="I20" s="46">
        <f t="shared" si="2"/>
        <v>99.90666667</v>
      </c>
      <c r="J20" s="110">
        <v>38.0</v>
      </c>
      <c r="K20" s="48"/>
      <c r="L20" s="49"/>
    </row>
    <row r="21">
      <c r="A21" s="42"/>
      <c r="B21" s="42"/>
      <c r="C21" s="44" t="s">
        <v>30</v>
      </c>
      <c r="D21" s="45">
        <v>974.0</v>
      </c>
      <c r="E21" s="46"/>
      <c r="F21" s="46">
        <f t="shared" si="1"/>
        <v>-974</v>
      </c>
      <c r="G21" s="108"/>
      <c r="H21" s="46"/>
      <c r="I21" s="46">
        <f t="shared" si="2"/>
        <v>12.98666667</v>
      </c>
      <c r="J21" s="109">
        <v>104.0</v>
      </c>
      <c r="K21" s="48"/>
      <c r="L21" s="49"/>
    </row>
    <row r="22">
      <c r="A22" s="42"/>
      <c r="B22" s="42"/>
      <c r="C22" s="44" t="s">
        <v>31</v>
      </c>
      <c r="D22" s="46">
        <f>1197+17013</f>
        <v>18210</v>
      </c>
      <c r="E22" s="46"/>
      <c r="F22" s="46">
        <f t="shared" si="1"/>
        <v>-18210</v>
      </c>
      <c r="G22" s="108"/>
      <c r="H22" s="46"/>
      <c r="I22" s="46">
        <f t="shared" si="2"/>
        <v>242.8</v>
      </c>
      <c r="J22" s="111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108"/>
      <c r="H23" s="46"/>
      <c r="I23" s="46">
        <f>D23/65</f>
        <v>0</v>
      </c>
      <c r="J23" s="112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108"/>
      <c r="H24" s="46"/>
      <c r="I24" s="46">
        <f t="shared" ref="I24:I28" si="3">D24/75</f>
        <v>0</v>
      </c>
      <c r="J24" s="111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108"/>
      <c r="H25" s="46"/>
      <c r="I25" s="46">
        <f t="shared" si="3"/>
        <v>0</v>
      </c>
      <c r="J25" s="112"/>
      <c r="K25" s="48"/>
      <c r="L25" s="49"/>
    </row>
    <row r="26">
      <c r="A26" s="42"/>
      <c r="B26" s="42"/>
      <c r="C26" s="44" t="s">
        <v>35</v>
      </c>
      <c r="D26" s="46">
        <f>2150+300+660</f>
        <v>3110</v>
      </c>
      <c r="E26" s="46"/>
      <c r="F26" s="46">
        <f t="shared" si="1"/>
        <v>-3110</v>
      </c>
      <c r="G26" s="108"/>
      <c r="H26" s="46"/>
      <c r="I26" s="46">
        <f t="shared" si="3"/>
        <v>41.46666667</v>
      </c>
      <c r="J26" s="111"/>
      <c r="K26" s="48"/>
      <c r="L26" s="49"/>
    </row>
    <row r="27">
      <c r="A27" s="42"/>
      <c r="B27" s="42"/>
      <c r="C27" s="50" t="s">
        <v>104</v>
      </c>
      <c r="D27" s="46">
        <v>0.0</v>
      </c>
      <c r="E27" s="45">
        <v>9320.83</v>
      </c>
      <c r="F27" s="46">
        <f t="shared" si="1"/>
        <v>9320.83</v>
      </c>
      <c r="G27" s="108"/>
      <c r="H27" s="46"/>
      <c r="I27" s="46">
        <f t="shared" si="3"/>
        <v>0</v>
      </c>
      <c r="J27" s="112"/>
      <c r="K27" s="48"/>
      <c r="L27" s="42"/>
    </row>
    <row r="28">
      <c r="A28" s="42"/>
      <c r="B28" s="42"/>
      <c r="C28" s="44" t="s">
        <v>92</v>
      </c>
      <c r="D28" s="46">
        <v>0.0</v>
      </c>
      <c r="E28" s="45">
        <v>28605.71</v>
      </c>
      <c r="F28" s="46">
        <f t="shared" si="1"/>
        <v>28605.71</v>
      </c>
      <c r="G28" s="108"/>
      <c r="H28" s="46"/>
      <c r="I28" s="46">
        <f t="shared" si="3"/>
        <v>0</v>
      </c>
      <c r="J28" s="111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108"/>
      <c r="H29" s="46"/>
      <c r="I29" s="46"/>
      <c r="J29" s="112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108"/>
      <c r="H30" s="46"/>
      <c r="I30" s="46">
        <f t="shared" ref="I30:I31" si="4">D30/75</f>
        <v>0</v>
      </c>
      <c r="J30" s="110">
        <v>4.0</v>
      </c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108"/>
      <c r="H31" s="46"/>
      <c r="I31" s="46">
        <f t="shared" si="4"/>
        <v>0</v>
      </c>
      <c r="J31" s="112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56496</v>
      </c>
      <c r="E32" s="113">
        <f t="shared" si="5"/>
        <v>37926.54</v>
      </c>
      <c r="F32" s="53">
        <f t="shared" si="5"/>
        <v>-18569.46</v>
      </c>
      <c r="G32" s="62">
        <f>E32/D32</f>
        <v>0.6713137213</v>
      </c>
      <c r="H32" s="53"/>
      <c r="I32" s="53">
        <f t="shared" ref="I32:J32" si="6">SUM(I9:I31)</f>
        <v>753.28</v>
      </c>
      <c r="J32" s="53">
        <f t="shared" si="6"/>
        <v>782.5</v>
      </c>
      <c r="K32" s="53">
        <f>I32-J32</f>
        <v>-29.22</v>
      </c>
      <c r="L32" s="51"/>
    </row>
    <row r="33" ht="20.25" customHeight="1">
      <c r="A33" s="55"/>
      <c r="B33" s="56"/>
      <c r="C33" s="57"/>
      <c r="D33" s="58"/>
      <c r="E33" s="59"/>
      <c r="F33" s="59"/>
      <c r="G33" s="114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108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108"/>
      <c r="H35" s="46"/>
      <c r="I35" s="46"/>
      <c r="J35" s="48"/>
      <c r="K35" s="48"/>
      <c r="L35" s="49"/>
    </row>
    <row r="36" hidden="1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108"/>
      <c r="H36" s="46"/>
      <c r="I36" s="46"/>
      <c r="J36" s="48"/>
      <c r="K36" s="48"/>
      <c r="L36" s="49"/>
    </row>
    <row r="37" hidden="1">
      <c r="A37" s="42"/>
      <c r="B37" s="43"/>
      <c r="C37" s="44" t="s">
        <v>42</v>
      </c>
      <c r="D37" s="46"/>
      <c r="E37" s="46"/>
      <c r="F37" s="46">
        <f t="shared" si="7"/>
        <v>0</v>
      </c>
      <c r="G37" s="108"/>
      <c r="H37" s="46"/>
      <c r="I37" s="46"/>
      <c r="J37" s="48"/>
      <c r="K37" s="48"/>
      <c r="L37" s="49"/>
    </row>
    <row r="38" hidden="1">
      <c r="A38" s="42"/>
      <c r="B38" s="43"/>
      <c r="C38" s="44" t="s">
        <v>43</v>
      </c>
      <c r="D38" s="46"/>
      <c r="E38" s="46"/>
      <c r="F38" s="46">
        <f t="shared" si="7"/>
        <v>0</v>
      </c>
      <c r="G38" s="108"/>
      <c r="H38" s="46"/>
      <c r="I38" s="46"/>
      <c r="J38" s="48"/>
      <c r="K38" s="48"/>
      <c r="L38" s="49"/>
    </row>
    <row r="39" hidden="1">
      <c r="A39" s="42"/>
      <c r="B39" s="43"/>
      <c r="C39" s="44" t="s">
        <v>44</v>
      </c>
      <c r="D39" s="46"/>
      <c r="E39" s="46"/>
      <c r="F39" s="46">
        <f t="shared" si="7"/>
        <v>0</v>
      </c>
      <c r="G39" s="108"/>
      <c r="H39" s="46"/>
      <c r="I39" s="46"/>
      <c r="J39" s="48"/>
      <c r="K39" s="48"/>
      <c r="L39" s="49"/>
    </row>
    <row r="40" hidden="1">
      <c r="A40" s="42"/>
      <c r="B40" s="43"/>
      <c r="C40" s="44" t="s">
        <v>31</v>
      </c>
      <c r="D40" s="45">
        <v>21290.0</v>
      </c>
      <c r="E40" s="46"/>
      <c r="F40" s="46">
        <f t="shared" si="7"/>
        <v>-21290</v>
      </c>
      <c r="G40" s="108"/>
      <c r="H40" s="46"/>
      <c r="I40" s="46"/>
      <c r="J40" s="48"/>
      <c r="K40" s="48"/>
      <c r="L40" s="49"/>
    </row>
    <row r="41" hidden="1">
      <c r="A41" s="42"/>
      <c r="B41" s="42"/>
      <c r="C41" s="44" t="s">
        <v>45</v>
      </c>
      <c r="D41" s="46"/>
      <c r="E41" s="46"/>
      <c r="F41" s="46">
        <f t="shared" si="7"/>
        <v>0</v>
      </c>
      <c r="G41" s="108"/>
      <c r="H41" s="46"/>
      <c r="I41" s="46"/>
      <c r="J41" s="48"/>
      <c r="K41" s="48"/>
      <c r="L41" s="49"/>
    </row>
    <row r="42" hidden="1">
      <c r="A42" s="42"/>
      <c r="B42" s="42"/>
      <c r="C42" s="44" t="s">
        <v>35</v>
      </c>
      <c r="D42" s="46"/>
      <c r="E42" s="46"/>
      <c r="F42" s="46">
        <f t="shared" si="7"/>
        <v>0</v>
      </c>
      <c r="G42" s="108"/>
      <c r="H42" s="46"/>
      <c r="I42" s="46"/>
      <c r="J42" s="48"/>
      <c r="K42" s="48"/>
      <c r="L42" s="49"/>
    </row>
    <row r="43" hidden="1">
      <c r="A43" s="42"/>
      <c r="B43" s="42"/>
      <c r="C43" s="44" t="s">
        <v>46</v>
      </c>
      <c r="D43" s="46"/>
      <c r="E43" s="45">
        <v>12623.32</v>
      </c>
      <c r="F43" s="46">
        <f t="shared" si="7"/>
        <v>12623.32</v>
      </c>
      <c r="G43" s="108"/>
      <c r="H43" s="46"/>
      <c r="I43" s="46"/>
      <c r="J43" s="48"/>
      <c r="K43" s="48"/>
      <c r="L43" s="49"/>
    </row>
    <row r="44" hidden="1">
      <c r="A44" s="42"/>
      <c r="B44" s="42"/>
      <c r="C44" s="44" t="s">
        <v>47</v>
      </c>
      <c r="D44" s="46"/>
      <c r="E44" s="46"/>
      <c r="F44" s="46">
        <f t="shared" si="7"/>
        <v>0</v>
      </c>
      <c r="G44" s="108"/>
      <c r="H44" s="46"/>
      <c r="I44" s="46"/>
      <c r="J44" s="48"/>
      <c r="K44" s="48"/>
      <c r="L44" s="49"/>
    </row>
    <row r="45" hidden="1">
      <c r="A45" s="42"/>
      <c r="B45" s="42"/>
      <c r="C45" s="44" t="s">
        <v>47</v>
      </c>
      <c r="D45" s="46"/>
      <c r="E45" s="46"/>
      <c r="F45" s="46">
        <f t="shared" si="7"/>
        <v>0</v>
      </c>
      <c r="G45" s="108"/>
      <c r="H45" s="46"/>
      <c r="I45" s="46"/>
      <c r="J45" s="48"/>
      <c r="K45" s="48"/>
      <c r="L45" s="49"/>
    </row>
    <row r="46">
      <c r="A46" s="51"/>
      <c r="B46" s="51"/>
      <c r="C46" s="52" t="s">
        <v>48</v>
      </c>
      <c r="D46" s="53">
        <f t="shared" ref="D46:F46" si="8">SUM(D36:D43)</f>
        <v>21290</v>
      </c>
      <c r="E46" s="113">
        <f t="shared" si="8"/>
        <v>12623.32</v>
      </c>
      <c r="F46" s="53">
        <f t="shared" si="8"/>
        <v>-8666.68</v>
      </c>
      <c r="G46" s="62">
        <f>E46/D46</f>
        <v>0.5929224988</v>
      </c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115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108"/>
      <c r="H48" s="46"/>
      <c r="I48" s="46"/>
      <c r="J48" s="48"/>
      <c r="K48" s="48"/>
      <c r="L48" s="49"/>
    </row>
    <row r="49" hidden="1">
      <c r="A49" s="42"/>
      <c r="B49" s="43"/>
      <c r="C49" s="44" t="s">
        <v>94</v>
      </c>
      <c r="D49" s="45">
        <f>9250+53969</f>
        <v>63219</v>
      </c>
      <c r="E49" s="45"/>
      <c r="F49" s="46"/>
      <c r="G49" s="108"/>
      <c r="H49" s="46"/>
      <c r="I49" s="46"/>
      <c r="J49" s="48"/>
      <c r="K49" s="48"/>
      <c r="L49" s="49"/>
    </row>
    <row r="50" hidden="1">
      <c r="A50" s="42"/>
      <c r="B50" s="43"/>
      <c r="C50" s="50" t="s">
        <v>32</v>
      </c>
      <c r="D50" s="45">
        <f>1721+12780</f>
        <v>14501</v>
      </c>
      <c r="E50" s="45">
        <v>70696.1</v>
      </c>
      <c r="F50" s="46">
        <f t="shared" ref="F50:F52" si="9">E50-D50</f>
        <v>56195.1</v>
      </c>
      <c r="G50" s="108"/>
      <c r="H50" s="46"/>
      <c r="I50" s="46"/>
      <c r="J50" s="48"/>
      <c r="K50" s="48"/>
      <c r="L50" s="49"/>
    </row>
    <row r="51" hidden="1">
      <c r="A51" s="42"/>
      <c r="B51" s="43"/>
      <c r="C51" s="44" t="s">
        <v>46</v>
      </c>
      <c r="D51" s="46"/>
      <c r="E51" s="46"/>
      <c r="F51" s="46">
        <f t="shared" si="9"/>
        <v>0</v>
      </c>
      <c r="G51" s="108"/>
      <c r="H51" s="46"/>
      <c r="I51" s="46"/>
      <c r="J51" s="48"/>
      <c r="K51" s="48"/>
      <c r="L51" s="49"/>
    </row>
    <row r="52" hidden="1">
      <c r="A52" s="42"/>
      <c r="B52" s="43"/>
      <c r="C52" s="44" t="s">
        <v>46</v>
      </c>
      <c r="D52" s="46"/>
      <c r="E52" s="46"/>
      <c r="F52" s="46">
        <f t="shared" si="9"/>
        <v>0</v>
      </c>
      <c r="G52" s="108"/>
      <c r="H52" s="46"/>
      <c r="I52" s="46"/>
      <c r="J52" s="48"/>
      <c r="K52" s="48"/>
      <c r="L52" s="49"/>
    </row>
    <row r="53">
      <c r="A53" s="51"/>
      <c r="B53" s="51"/>
      <c r="C53" s="52" t="s">
        <v>52</v>
      </c>
      <c r="D53" s="53">
        <f>SUM(D49:D52)</f>
        <v>77720</v>
      </c>
      <c r="E53" s="113">
        <f t="shared" ref="E53:F53" si="10">SUM(E50:E52)</f>
        <v>70696.1</v>
      </c>
      <c r="F53" s="53">
        <f t="shared" si="10"/>
        <v>56195.1</v>
      </c>
      <c r="G53" s="62">
        <f>E53/D53</f>
        <v>0.909625579</v>
      </c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46</v>
      </c>
      <c r="C55" s="71"/>
      <c r="D55" s="72"/>
      <c r="E55" s="72"/>
      <c r="F55" s="72"/>
      <c r="G55" s="116"/>
      <c r="H55" s="73"/>
      <c r="I55" s="73"/>
      <c r="J55" s="73"/>
      <c r="K55" s="73"/>
      <c r="L55" s="73"/>
    </row>
    <row r="56" hidden="1">
      <c r="A56" s="73"/>
      <c r="B56" s="74"/>
      <c r="C56" s="71" t="s">
        <v>53</v>
      </c>
      <c r="D56" s="72"/>
      <c r="E56" s="72"/>
      <c r="F56" s="72">
        <f t="shared" ref="F56:F63" si="11">E56-D56</f>
        <v>0</v>
      </c>
      <c r="G56" s="116"/>
      <c r="H56" s="73"/>
      <c r="I56" s="73"/>
      <c r="J56" s="73"/>
      <c r="K56" s="73"/>
      <c r="L56" s="73"/>
    </row>
    <row r="57" hidden="1">
      <c r="A57" s="73"/>
      <c r="B57" s="74"/>
      <c r="C57" s="71" t="s">
        <v>95</v>
      </c>
      <c r="D57" s="72"/>
      <c r="E57" s="72"/>
      <c r="F57" s="72">
        <f t="shared" si="11"/>
        <v>0</v>
      </c>
      <c r="G57" s="116"/>
      <c r="H57" s="73"/>
      <c r="I57" s="73"/>
      <c r="J57" s="73"/>
      <c r="K57" s="73"/>
      <c r="L57" s="73"/>
    </row>
    <row r="58" hidden="1">
      <c r="A58" s="73"/>
      <c r="B58" s="74"/>
      <c r="C58" s="71" t="s">
        <v>96</v>
      </c>
      <c r="D58" s="72"/>
      <c r="E58" s="72"/>
      <c r="F58" s="72">
        <f t="shared" si="11"/>
        <v>0</v>
      </c>
      <c r="G58" s="116"/>
      <c r="H58" s="73"/>
      <c r="I58" s="73"/>
      <c r="J58" s="73"/>
      <c r="K58" s="73"/>
      <c r="L58" s="73"/>
    </row>
    <row r="59" hidden="1">
      <c r="A59" s="73"/>
      <c r="B59" s="74"/>
      <c r="C59" s="71" t="s">
        <v>97</v>
      </c>
      <c r="D59" s="72"/>
      <c r="E59" s="72"/>
      <c r="F59" s="72">
        <f t="shared" si="11"/>
        <v>0</v>
      </c>
      <c r="G59" s="116"/>
      <c r="H59" s="73"/>
      <c r="I59" s="73"/>
      <c r="J59" s="73"/>
      <c r="K59" s="73"/>
      <c r="L59" s="73"/>
    </row>
    <row r="60" hidden="1">
      <c r="A60" s="73"/>
      <c r="B60" s="74"/>
      <c r="C60" s="71" t="s">
        <v>54</v>
      </c>
      <c r="D60" s="72"/>
      <c r="E60" s="72"/>
      <c r="F60" s="72">
        <f t="shared" si="11"/>
        <v>0</v>
      </c>
      <c r="G60" s="116"/>
      <c r="H60" s="73"/>
      <c r="I60" s="73"/>
      <c r="J60" s="73"/>
      <c r="K60" s="73"/>
      <c r="L60" s="73"/>
    </row>
    <row r="61" hidden="1">
      <c r="A61" s="73"/>
      <c r="B61" s="74"/>
      <c r="C61" s="71" t="s">
        <v>55</v>
      </c>
      <c r="D61" s="72"/>
      <c r="E61" s="72"/>
      <c r="F61" s="72">
        <f t="shared" si="11"/>
        <v>0</v>
      </c>
      <c r="G61" s="116"/>
      <c r="H61" s="73"/>
      <c r="I61" s="73"/>
      <c r="J61" s="73"/>
      <c r="K61" s="73"/>
      <c r="L61" s="73"/>
    </row>
    <row r="62" hidden="1">
      <c r="A62" s="73"/>
      <c r="B62" s="74"/>
      <c r="C62" s="71" t="s">
        <v>98</v>
      </c>
      <c r="D62" s="72"/>
      <c r="E62" s="72"/>
      <c r="F62" s="72">
        <f t="shared" si="11"/>
        <v>0</v>
      </c>
      <c r="G62" s="116"/>
      <c r="H62" s="73"/>
      <c r="I62" s="73"/>
      <c r="J62" s="73"/>
      <c r="K62" s="73"/>
      <c r="L62" s="73"/>
    </row>
    <row r="63" hidden="1">
      <c r="A63" s="73"/>
      <c r="B63" s="74"/>
      <c r="C63" s="71" t="s">
        <v>99</v>
      </c>
      <c r="D63" s="72"/>
      <c r="E63" s="72"/>
      <c r="F63" s="72">
        <f t="shared" si="11"/>
        <v>0</v>
      </c>
      <c r="G63" s="116"/>
      <c r="H63" s="73"/>
      <c r="I63" s="73"/>
      <c r="J63" s="73"/>
      <c r="K63" s="73"/>
      <c r="L63" s="73"/>
    </row>
    <row r="64">
      <c r="A64" s="78"/>
      <c r="B64" s="78"/>
      <c r="C64" s="79" t="s">
        <v>57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117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58</v>
      </c>
      <c r="E66" s="83" t="s">
        <v>59</v>
      </c>
      <c r="F66" s="83" t="s">
        <v>60</v>
      </c>
      <c r="G66" s="118" t="s">
        <v>61</v>
      </c>
      <c r="H66" s="84" t="s">
        <v>105</v>
      </c>
      <c r="I66" s="70"/>
      <c r="J66" s="70"/>
      <c r="K66" s="70"/>
      <c r="L66" s="70"/>
    </row>
    <row r="67" ht="42.0" customHeight="1">
      <c r="A67" s="85"/>
      <c r="B67" s="86" t="s">
        <v>62</v>
      </c>
      <c r="C67" s="87"/>
      <c r="D67" s="99">
        <f>D64+D53+D46+D32</f>
        <v>155506</v>
      </c>
      <c r="E67" s="99">
        <f>C4</f>
        <v>183740</v>
      </c>
      <c r="F67" s="99">
        <f>E67-D67</f>
        <v>28234</v>
      </c>
      <c r="G67" s="100">
        <f>F67/E67</f>
        <v>0.1536627844</v>
      </c>
      <c r="H67" s="99">
        <f>SUM(E32, E46,E53,E64)</f>
        <v>121245.96</v>
      </c>
      <c r="I67" s="100">
        <f>H67/D67</f>
        <v>0.7796867002</v>
      </c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C67 D5:D8 E5:L67 D32:D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