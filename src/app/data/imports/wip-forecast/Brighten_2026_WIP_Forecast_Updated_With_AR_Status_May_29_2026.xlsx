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161a15f83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4b21aa52f643d8"/>
    <x:sheet xmlns:r="http://schemas.openxmlformats.org/officeDocument/2006/relationships" name="Project Forecast" sheetId="2" r:id="R7208c38e10d345f3"/>
    <x:sheet xmlns:r="http://schemas.openxmlformats.org/officeDocument/2006/relationships" name="Pay Apps Used" sheetId="3" r:id="R76812d48819c44f7"/>
    <x:sheet xmlns:r="http://schemas.openxmlformats.org/officeDocument/2006/relationships" name="Customer Summary" sheetId="4" r:id="R05fa485e8c824d8c"/>
    <x:sheet xmlns:r="http://schemas.openxmlformats.org/officeDocument/2006/relationships" name="Self vs Subs 2026" sheetId="5" r:id="Rdf69e963c7e84ac2"/>
    <x:sheet xmlns:r="http://schemas.openxmlformats.org/officeDocument/2006/relationships" name="AR Aging Detail" sheetId="6" r:id="R58819b7a545146c3"/>
    <x:sheet xmlns:r="http://schemas.openxmlformats.org/officeDocument/2006/relationships" name="AP Detail" sheetId="7" r:id="Re30160373c404553"/>
    <x:sheet xmlns:r="http://schemas.openxmlformats.org/officeDocument/2006/relationships" name="Source Checks" sheetId="8" r:id="Rfe5269f20225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0.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3"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814090ed740ee" /><Relationship Type="http://schemas.openxmlformats.org/officeDocument/2006/relationships/theme" Target="/xl/theme/theme1.xml" Id="Rd8e84b2b0d424000" /><Relationship Type="http://schemas.openxmlformats.org/officeDocument/2006/relationships/sharedStrings" Target="/xl/sharedStrings.xml" Id="R60484226d4e54f42" /><Relationship Type="http://schemas.openxmlformats.org/officeDocument/2006/relationships/worksheet" Target="/xl/worksheets/sheet1.xml" Id="R1f4b21aa52f643d8" /><Relationship Type="http://schemas.openxmlformats.org/officeDocument/2006/relationships/worksheet" Target="/xl/worksheets/sheet2.xml" Id="R7208c38e10d345f3" /><Relationship Type="http://schemas.openxmlformats.org/officeDocument/2006/relationships/worksheet" Target="/xl/worksheets/sheet3.xml" Id="R76812d48819c44f7" /><Relationship Type="http://schemas.openxmlformats.org/officeDocument/2006/relationships/worksheet" Target="/xl/worksheets/sheet4.xml" Id="R05fa485e8c824d8c" /><Relationship Type="http://schemas.openxmlformats.org/officeDocument/2006/relationships/worksheet" Target="/xl/worksheets/sheet5.xml" Id="Rdf69e963c7e84ac2" /><Relationship Type="http://schemas.openxmlformats.org/officeDocument/2006/relationships/worksheet" Target="/xl/worksheets/sheet6.xml" Id="R58819b7a545146c3" /><Relationship Type="http://schemas.openxmlformats.org/officeDocument/2006/relationships/worksheet" Target="/xl/worksheets/sheet7.xml" Id="Re30160373c404553" /><Relationship Type="http://schemas.openxmlformats.org/officeDocument/2006/relationships/worksheet" Target="/xl/worksheets/sheet8.xml" Id="Rfe5269f202254e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bdc3245f646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2026 gross revenue scenarios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Projected 2026 Gross Revenue</c:v>
          </c:tx>
          <c:cat>
            <c:strRef>
              <c:f>'Dashboard'!$E$4:$E$7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$#,##0.00;[Red]($#,##0.00);-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bdc3245f646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ForecastTable" displayName="ProjectForecastTable" ref="A1:AB27" headerRowCount="1">
  <x:tableColumns count="28">
    <x:tableColumn id="1" name="Job"/>
    <x:tableColumn id="2" name="Project"/>
    <x:tableColumn id="3" name="Customer"/>
    <x:tableColumn id="4" name="Status"/>
    <x:tableColumn id="5" name="Forecast Treatment"/>
    <x:tableColumn id="6" name="Start Date"/>
    <x:tableColumn id="7" name="End Date"/>
    <x:tableColumn id="8" name="Contract / Budget"/>
    <x:tableColumn id="9" name="Contract Source"/>
    <x:tableColumn id="10" name="Cumulative Billed / Earned"/>
    <x:tableColumn id="11" name="2026 Billings YTD"/>
    <x:tableColumn id="12" name="Open A/R"/>
    <x:tableColumn id="13" name="Remaining Backlog"/>
    <x:tableColumn id="14" name="Low %"/>
    <x:tableColumn id="15" name="Base %"/>
    <x:tableColumn id="16" name="High %"/>
    <x:tableColumn id="17" name="Projected 2026 Low"/>
    <x:tableColumn id="18" name="Projected 2026 Base"/>
    <x:tableColumn id="19" name="Projected 2026 High"/>
    <x:tableColumn id="20" name="2026 COGS YTD"/>
    <x:tableColumn id="21" name="2026 Gross Profit"/>
    <x:tableColumn id="22" name="2026 GP Margin"/>
    <x:tableColumn id="23" name="Self-Performed Labor"/>
    <x:tableColumn id="24" name="Subcontractors"/>
    <x:tableColumn id="25" name="Materials &amp; Supplies"/>
    <x:tableColumn id="26" name="Equipment/Other"/>
    <x:tableColumn id="27" name="Open A/P Identified"/>
    <x:tableColumn id="2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ayAppsTable" displayName="PayAppsTable" ref="A1:J9" headerRowCount="1">
  <x:tableColumns count="10">
    <x:tableColumn id="1" name="Job"/>
    <x:tableColumn id="2" name="Project"/>
    <x:tableColumn id="3" name="Source File"/>
    <x:tableColumn id="4" name="Contract Sum"/>
    <x:tableColumn id="5" name="Completed / Stored to Date"/>
    <x:tableColumn id="6" name="Earned Less Retainage / Billed"/>
    <x:tableColumn id="7" name="Current Due"/>
    <x:tableColumn id="8" name="Balance to Finish"/>
    <x:tableColumn id="9" name="Retainage to Date / Current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ustomerSummaryTable" displayName="CustomerSummaryTable" ref="A1:H13" headerRowCount="1">
  <x:tableColumns count="8">
    <x:tableColumn id="1" name="Customer"/>
    <x:tableColumn id="2" name="2026 Billings YTD"/>
    <x:tableColumn id="3" name="Forecastable Backlog"/>
    <x:tableColumn id="4" name="Projected 2026 Base"/>
    <x:tableColumn id="5" name="Projected 2026 High"/>
    <x:tableColumn id="6" name="Open A/R"/>
    <x:tableColumn id="7" name="2026 Gross Profit"/>
    <x:tableColumn id="8" name="GP Margin"/>
  </x:tableColumns>
  <x:tableStyleInfo name="TableStyleMedium2" showRowStripes="1"/>
</x:table>
</file>

<file path=xl/tables/table4.xml><?xml version="1.0" encoding="utf-8"?>
<x:table xmlns:x="http://schemas.openxmlformats.org/spreadsheetml/2006/main" id="4" name="SelfVsSubsTable" displayName="SelfVsSubsTable" ref="A1:K27" headerRowCount="1">
  <x:tableColumns count="11">
    <x:tableColumn id="1" name="Job"/>
    <x:tableColumn id="2" name="Project"/>
    <x:tableColumn id="3" name="Status"/>
    <x:tableColumn id="4" name="Self-Performed Labor"/>
    <x:tableColumn id="5" name="Subcontractors"/>
    <x:tableColumn id="6" name="Materials &amp; Supplies"/>
    <x:tableColumn id="7" name="Equipment/Other"/>
    <x:tableColumn id="8" name="Total Split Cost"/>
    <x:tableColumn id="9" name="Self %"/>
    <x:tableColumn id="10" name="Sub %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RDetailTable" displayName="ARDetailTable" ref="A1:J17" headerRowCount="1">
  <x:tableColumns count="10">
    <x:tableColumn id="1" name="Job"/>
    <x:tableColumn id="2" name="Project"/>
    <x:tableColumn id="3" name="Status"/>
    <x:tableColumn id="4" name="Current"/>
    <x:tableColumn id="5" name="1-30"/>
    <x:tableColumn id="6" name="31-60"/>
    <x:tableColumn id="7" name="61-90"/>
    <x:tableColumn id="8" name="91+"/>
    <x:tableColumn id="9" name="Total A/R"/>
    <x:tableColumn id="10" name="Treatment"/>
  </x:tableColumns>
  <x:tableStyleInfo name="TableStyleMedium2" showRowStripes="1"/>
</x:table>
</file>

<file path=xl/tables/table6.xml><?xml version="1.0" encoding="utf-8"?>
<x:table xmlns:x="http://schemas.openxmlformats.org/spreadsheetml/2006/main" id="6" name="APDetailTable" displayName="APDetailTable" ref="A1:I30" headerRowCount="1">
  <x:tableColumns count="9">
    <x:tableColumn id="1" name="Vendor"/>
    <x:tableColumn id="2" name="Date"/>
    <x:tableColumn id="3" name="Type"/>
    <x:tableColumn id="4" name="Num"/>
    <x:tableColumn id="5" name="Due Date"/>
    <x:tableColumn id="6" name="Amount"/>
    <x:tableColumn id="7" name="Open Balance"/>
    <x:tableColumn id="8" name="Assigned Job"/>
    <x:tableColumn id="9" name="Assignme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52dbcca59b4a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258d2f5e36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570e485b3b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32c0e783d14e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03a15a182d4a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5f95491d3941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9fbc4e365d4fd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Brighten Builders 2026 Billing Forecast — Updated with PA files + A/R status corrections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Metric</x:v>
      </x:c>
      <x:c r="B3" s="11" t="str">
        <x:v>Amount</x:v>
      </x:c>
      <x:c r="C3" s="11" t="str">
        <x:v>Why it matters</x:v>
      </x:c>
      <x:c r="E3" s="11" t="str">
        <x:v>Scenario</x:v>
      </x:c>
      <x:c r="F3" s="11" t="str">
        <x:v>Projected 2026 Gross Revenue</x:v>
      </x:c>
    </x:row>
    <x:row r="4">
      <x:c r="A4" t="str">
        <x:v>Total 2026 billings YTD</x:v>
      </x:c>
      <x:c r="B4" s="14" t="n">
        <x:v>1287593.7100000002</x:v>
      </x:c>
      <x:c r="C4" t="str">
        <x:v>Hard actual from P&amp;L / income reports through May 29.</x:v>
      </x:c>
      <x:c r="E4" t="str">
        <x:v>Low</x:v>
      </x:c>
      <x:c r="F4" s="14" t="n">
        <x:v>2832560.4350000005</x:v>
      </x:c>
    </x:row>
    <x:row r="5">
      <x:c r="A5" t="str">
        <x:v>Current project list billings YTD</x:v>
      </x:c>
      <x:c r="B5" s="14" t="n">
        <x:v>1120874.26</x:v>
      </x:c>
      <x:c r="C5" t="str">
        <x:v>Billings tied to the project/status list you provided.</x:v>
      </x:c>
      <x:c r="E5" t="str">
        <x:v>Base</x:v>
      </x:c>
      <x:c r="F5" s="14" t="n">
        <x:v>3592923.3600000003</x:v>
      </x:c>
    </x:row>
    <x:row r="6">
      <x:c r="A6" t="str">
        <x:v>Forecastable active billings YTD</x:v>
      </x:c>
      <x:c r="B6" s="14" t="n">
        <x:v>1024327.86</x:v>
      </x:c>
      <x:c r="C6" t="str">
        <x:v>In Progress/PreCon only; excludes Waiting on A/R from future backlog.</x:v>
      </x:c>
      <x:c r="E6" t="str">
        <x:v>High</x:v>
      </x:c>
      <x:c r="F6" s="14" t="n">
        <x:v>4329045.41</x:v>
      </x:c>
    </x:row>
    <x:row r="7">
      <x:c r="A7" t="str">
        <x:v>Waiting on A/R billings YTD</x:v>
      </x:c>
      <x:c r="B7" s="14" t="n">
        <x:v>96546.4</x:v>
      </x:c>
      <x:c r="C7" t="str">
        <x:v>Already billed; treat as collections, not new revenue.</x:v>
      </x:c>
      <x:c r="E7" t="str">
        <x:v>Already billed YTD</x:v>
      </x:c>
      <x:c r="F7" s="14" t="n">
        <x:v>1287593.7100000002</x:v>
      </x:c>
    </x:row>
    <x:row r="8">
      <x:c r="A8" t="str">
        <x:v>Forecastable active backlog captured</x:v>
      </x:c>
      <x:c r="B8" s="14" t="n">
        <x:v>3041451.7</x:v>
      </x:c>
      <x:c r="C8" t="str">
        <x:v>Remaining contract balance for In Progress/PreCon projects with contract data.</x:v>
      </x:c>
    </x:row>
    <x:row r="9">
      <x:c r="A9" t="str">
        <x:v>Projected 2026 gross revenue - low</x:v>
      </x:c>
      <x:c r="B9" s="14" t="n">
        <x:v>2832560.4350000005</x:v>
      </x:c>
      <x:c r="C9" t="str">
        <x:v>YTD actual + conservative share of forecastable backlog.</x:v>
      </x:c>
    </x:row>
    <x:row r="10">
      <x:c r="A10" t="str">
        <x:v>Projected 2026 gross revenue - base</x:v>
      </x:c>
      <x:c r="B10" s="14" t="n">
        <x:v>3592923.3600000003</x:v>
      </x:c>
      <x:c r="C10" t="str">
        <x:v>YTD actual + base share of forecastable backlog.</x:v>
      </x:c>
    </x:row>
    <x:row r="11">
      <x:c r="A11" t="str">
        <x:v>Projected 2026 gross revenue - high</x:v>
      </x:c>
      <x:c r="B11" s="14" t="n">
        <x:v>4329045.41</x:v>
      </x:c>
      <x:c r="C11" t="str">
        <x:v>YTD actual + high share of forecastable backlog.</x:v>
      </x:c>
    </x:row>
    <x:row r="12">
      <x:c r="A12" t="str">
        <x:v>Open A/R</x:v>
      </x:c>
      <x:c r="B12" s="14" t="n">
        <x:v>419961.27999999997</x:v>
      </x:c>
      <x:c r="C12" t="str">
        <x:v>Already billed; track for collections, do not add again to revenue.</x:v>
      </x:c>
    </x:row>
    <x:row r="13">
      <x:c r="A13" t="str">
        <x:v>Open vendor A/P</x:v>
      </x:c>
      <x:c r="B13" s="14" t="n">
        <x:v>126862.91</x:v>
      </x:c>
      <x:c r="C13" t="str">
        <x:v>Total open vendor balance from vendor balance report.</x:v>
      </x:c>
    </x:row>
    <x:row r="14">
      <x:c r="A14" t="str">
        <x:v>Job-tied A/P identified</x:v>
      </x:c>
      <x:c r="B14" s="14" t="n">
        <x:v>37034.4</x:v>
      </x:c>
      <x:c r="C14" t="str">
        <x:v>Only bills with clear J### in bill number could be assigned to a job.</x:v>
      </x:c>
    </x:row>
    <x:row r="16">
      <x:c r="A16" s="11" t="str">
        <x:v>Top forecast drivers</x:v>
      </x:c>
      <x:c r="B16" s="11"/>
      <x:c r="C16" s="11"/>
      <x:c r="D16" s="11"/>
      <x:c r="E16" s="11"/>
      <x:c r="F16" s="11"/>
      <x:c r="G16" s="11"/>
    </x:row>
    <x:row r="17">
      <x:c r="A17" s="11" t="str">
        <x:v>Job</x:v>
      </x:c>
      <x:c r="B17" s="11" t="str">
        <x:v>Project</x:v>
      </x:c>
      <x:c r="C17" s="11" t="str">
        <x:v>Status</x:v>
      </x:c>
      <x:c r="D17" s="11" t="str">
        <x:v>2026 Billings YTD</x:v>
      </x:c>
      <x:c r="E17" s="11" t="str">
        <x:v>Remaining Backlog</x:v>
      </x:c>
      <x:c r="F17" s="11" t="str">
        <x:v>Base Future Billing</x:v>
      </x:c>
      <x:c r="G17" s="11" t="str">
        <x:v>Projected Base 2026</x:v>
      </x:c>
    </x:row>
    <x:row r="18">
      <x:c r="A18" t="n">
        <x:v>222</x:v>
      </x:c>
      <x:c r="B18" t="str">
        <x:v>222 - ISD Fairmount 26</x:v>
      </x:c>
      <x:c r="C18" t="str">
        <x:v>In Progress</x:v>
      </x:c>
      <x:c r="D18" s="14" t="n">
        <x:v>9500</x:v>
      </x:c>
      <x:c r="E18" s="14" t="n">
        <x:v>2000500</x:v>
      </x:c>
      <x:c r="F18" s="14" t="n">
        <x:v>1500375</x:v>
      </x:c>
      <x:c r="G18" s="14" t="n">
        <x:v>1509875</x:v>
      </x:c>
    </x:row>
    <x:row r="19">
      <x:c r="A19" t="n">
        <x:v>208</x:v>
      </x:c>
      <x:c r="B19" t="str">
        <x:v>208 - Park Hill 2026</x:v>
      </x:c>
      <x:c r="C19" t="str">
        <x:v>In Progress</x:v>
      </x:c>
      <x:c r="D19" s="14" t="n">
        <x:v>16487.72</x:v>
      </x:c>
      <x:c r="E19" s="14" t="n">
        <x:v>343732.28</x:v>
      </x:c>
      <x:c r="F19" s="14" t="n">
        <x:v>257799.21000000002</x:v>
      </x:c>
      <x:c r="G19" s="14" t="n">
        <x:v>274286.93000000005</x:v>
      </x:c>
    </x:row>
    <x:row r="20">
      <x:c r="A20" t="n">
        <x:v>206</x:v>
      </x:c>
      <x:c r="B20" t="str">
        <x:v>206 - LVV Heritage - 211A, 311A &amp; 317A</x:v>
      </x:c>
      <x:c r="C20" t="str">
        <x:v>In Progress</x:v>
      </x:c>
      <x:c r="D20" s="14" t="n">
        <x:v>406731.43</x:v>
      </x:c>
      <x:c r="E20" s="14" t="n">
        <x:v>258268.57</x:v>
      </x:c>
      <x:c r="F20" s="14" t="n">
        <x:v>193701.4275</x:v>
      </x:c>
      <x:c r="G20" s="14" t="n">
        <x:v>600432.8574999999</x:v>
      </x:c>
    </x:row>
    <x:row r="21">
      <x:c r="A21" t="n">
        <x:v>158</x:v>
      </x:c>
      <x:c r="B21" t="str">
        <x:v>158 - Blue Valley CTE 2026</x:v>
      </x:c>
      <x:c r="C21" t="str">
        <x:v>In Progress</x:v>
      </x:c>
      <x:c r="D21" s="14" t="n">
        <x:v>5188.5</x:v>
      </x:c>
      <x:c r="E21" s="14" t="n">
        <x:v>162471.5</x:v>
      </x:c>
      <x:c r="F21" s="14" t="n">
        <x:v>121853.625</x:v>
      </x:c>
      <x:c r="G21" s="14" t="n">
        <x:v>127042.125</x:v>
      </x:c>
    </x:row>
    <x:row r="22">
      <x:c r="A22" t="n">
        <x:v>189</x:v>
      </x:c>
      <x:c r="B22" t="str">
        <x:v>189 - Topeka VAMC - Anesthesia Unit</x:v>
      </x:c>
      <x:c r="C22" t="str">
        <x:v>In Progress</x:v>
      </x:c>
      <x:c r="D22" s="14" t="n">
        <x:v>0</x:v>
      </x:c>
      <x:c r="E22" s="14" t="n">
        <x:v>85020</x:v>
      </x:c>
      <x:c r="F22" s="14" t="n">
        <x:v>85020</x:v>
      </x:c>
      <x:c r="G22" s="14" t="n">
        <x:v>85020</x:v>
      </x:c>
    </x:row>
    <x:row r="23">
      <x:c r="A23" t="n">
        <x:v>212</x:v>
      </x:c>
      <x:c r="B23" t="str">
        <x:v>212 - LPS Lewis &amp; Clark Restroom Reno</x:v>
      </x:c>
      <x:c r="C23" t="str">
        <x:v>In Progress</x:v>
      </x:c>
      <x:c r="D23" s="14" t="n">
        <x:v>4750</x:v>
      </x:c>
      <x:c r="E23" s="14" t="n">
        <x:v>87025</x:v>
      </x:c>
      <x:c r="F23" s="14" t="n">
        <x:v>65268.75</x:v>
      </x:c>
      <x:c r="G23" s="14" t="n">
        <x:v>70018.75</x:v>
      </x:c>
    </x:row>
    <x:row r="24">
      <x:c r="A24" t="n">
        <x:v>204</x:v>
      </x:c>
      <x:c r="B24" t="str">
        <x:v>204 - LightEdge Data Center</x:v>
      </x:c>
      <x:c r="C24" t="str">
        <x:v>In Progress</x:v>
      </x:c>
      <x:c r="D24" s="14" t="n">
        <x:v>250741.13</x:v>
      </x:c>
      <x:c r="E24" s="14" t="n">
        <x:v>84708.87</x:v>
      </x:c>
      <x:c r="F24" s="14" t="n">
        <x:v>63531.6525</x:v>
      </x:c>
      <x:c r="G24" s="14" t="n">
        <x:v>314272.7825</x:v>
      </x:c>
    </x:row>
    <x:row r="25">
      <x:c r="A25" t="n">
        <x:v>223</x:v>
      </x:c>
      <x:c r="B25" t="str">
        <x:v>223 - Kearney Deferred Maint</x:v>
      </x:c>
      <x:c r="C25" t="str">
        <x:v>In Progress</x:v>
      </x:c>
      <x:c r="D25" s="14" t="n">
        <x:v>4000</x:v>
      </x:c>
      <x:c r="E25" s="14" t="n">
        <x:v>6550</x:v>
      </x:c>
      <x:c r="F25" s="14" t="n">
        <x:v>6550</x:v>
      </x:c>
      <x:c r="G25" s="14" t="n">
        <x:v>10550</x:v>
      </x:c>
    </x:row>
    <x:row r="26">
      <x:c r="A26" t="n">
        <x:v>186</x:v>
      </x:c>
      <x:c r="B26" t="str">
        <x:v>186 - LVV 3 &amp; 5</x:v>
      </x:c>
      <x:c r="C26" t="str">
        <x:v>In Progress</x:v>
      </x:c>
      <x:c r="D26" s="14" t="n">
        <x:v>308448.68</x:v>
      </x:c>
      <x:c r="E26" s="14" t="n">
        <x:v>7781.979999999981</x:v>
      </x:c>
      <x:c r="F26" s="14" t="n">
        <x:v>5836.484999999986</x:v>
      </x:c>
      <x:c r="G26" s="14" t="n">
        <x:v>314285.165</x:v>
      </x:c>
    </x:row>
    <x:row r="27">
      <x:c r="A27" t="n">
        <x:v>210</x:v>
      </x:c>
      <x:c r="B27" t="str">
        <x:v>210 - Benedictine Library Toilet Partitions</x:v>
      </x:c>
      <x:c r="C27" t="str">
        <x:v>In Progress</x:v>
      </x:c>
      <x:c r="D27" s="14" t="n">
        <x:v>13366.5</x:v>
      </x:c>
      <x:c r="E27" s="14" t="n">
        <x:v>5393.5</x:v>
      </x:c>
      <x:c r="F27" s="14" t="n">
        <x:v>5393.5</x:v>
      </x:c>
      <x:c r="G27" s="14" t="n">
        <x:v>18760</x:v>
      </x:c>
    </x:row>
    <x:row r="30">
      <x:c r="A30" s="11" t="str">
        <x:v>Cleanup / status notes</x:v>
      </x:c>
      <x:c r="B30" s="11"/>
      <x:c r="C30" s="11"/>
      <x:c r="D30" s="11"/>
    </x:row>
    <x:row r="31">
      <x:c r="A31" s="11" t="str">
        <x:v>Job</x:v>
      </x:c>
      <x:c r="B31" s="11" t="str">
        <x:v>Project</x:v>
      </x:c>
      <x:c r="C31" s="11" t="str">
        <x:v>Status</x:v>
      </x:c>
      <x:c r="D31" s="11" t="str">
        <x:v>Note</x:v>
      </x:c>
    </x:row>
    <x:row r="32">
      <x:c r="A32" t="n">
        <x:v>193</x:v>
      </x:c>
      <x:c r="B32" t="str">
        <x:v>193 - Pulse Design 9th Floor</x:v>
      </x:c>
      <x:c r="C32" t="str">
        <x:v>Waiting on A/R</x:v>
      </x:c>
      <x:c r="D32" s="16" t="str">
        <x:v>Moved to Waiting on A/R per your update; no future revenue projected unless additional scope is added.</x:v>
      </x:c>
    </x:row>
    <x:row r="33">
      <x:c r="A33" t="n">
        <x:v>197</x:v>
      </x:c>
      <x:c r="B33" t="str">
        <x:v>197 - Administrative Hallway Reno</x:v>
      </x:c>
      <x:c r="C33" t="str">
        <x:v>Waiting on A/R</x:v>
      </x:c>
      <x:c r="D33" s="16" t="str">
        <x:v>Moved to Waiting on A/R per your update; no future revenue projected unless additional scope is added.</x:v>
      </x:c>
    </x:row>
    <x:row r="34">
      <x:c r="A34" t="n">
        <x:v>209</x:v>
      </x:c>
      <x:c r="B34" t="str">
        <x:v>209 - Capital Electric Fab Shop</x:v>
      </x:c>
      <x:c r="C34" t="str">
        <x:v>Waiting on A/R</x:v>
      </x:c>
      <x:c r="D34" s="16" t="str">
        <x:v>Moved to Waiting on A/R per your update; no future revenue projected unless additional scope is added.</x:v>
      </x:c>
    </x:row>
    <x:row r="35">
      <x:c r="A35" t="n">
        <x:v>215</x:v>
      </x:c>
      <x:c r="B35" t="str">
        <x:v>215 - 2306 Visitor Center</x:v>
      </x:c>
      <x:c r="C35" t="str">
        <x:v>Waiting on A/R</x:v>
      </x:c>
      <x:c r="D35" s="16" t="str">
        <x:v>Moved to Waiting on A/R per your update; no future revenue projected unless additional scope is added.</x:v>
      </x:c>
    </x:row>
    <x:row r="36">
      <x:c r="A36" t="n">
        <x:v>216</x:v>
      </x:c>
      <x:c r="B36" t="str">
        <x:v>216 - Unilever Phase II Demo</x:v>
      </x:c>
      <x:c r="C36" t="str">
        <x:v>Waiting on A/R</x:v>
      </x:c>
      <x:c r="D36" s="16" t="str">
        <x:v>Moved to Waiting on A/R per your update; no future revenue projected unless additional scope is added.</x:v>
      </x:c>
    </x:row>
    <x:row r="37">
      <x:c r="A37" t="n">
        <x:v>217</x:v>
      </x:c>
      <x:c r="B37" t="str">
        <x:v>217 - Catalent Summer 2026 Shutdown</x:v>
      </x:c>
      <x:c r="C37" t="str">
        <x:v>In Progress</x:v>
      </x:c>
      <x:c r="D37" s="16" t="str">
        <x:v>Needs contract/budget amount and expected 2026 billing.</x:v>
      </x:c>
    </x:row>
    <x:row r="38">
      <x:c r="A38" t="n">
        <x:v>218</x:v>
      </x:c>
      <x:c r="B38" t="str">
        <x:v>218 - Dole Grand Jury Room - Water Damage</x:v>
      </x:c>
      <x:c r="C38" t="str">
        <x:v>Waiting on A/R</x:v>
      </x:c>
      <x:c r="D38" s="16" t="str">
        <x:v>Moved to Waiting on A/R per your update; no future revenue projected unless additional scope is added.</x:v>
      </x:c>
    </x:row>
    <x:row r="39">
      <x:c r="A39" t="n">
        <x:v>219</x:v>
      </x:c>
      <x:c r="B39" t="str">
        <x:v>219 - T&amp;M Partitions @ Fox Ridge</x:v>
      </x:c>
      <x:c r="C39" t="str">
        <x:v>Waiting on A/R</x:v>
      </x:c>
      <x:c r="D39" s="16" t="str">
        <x:v>Moved to Waiting on A/R per your update; no future revenue projected unless additional scope is added.</x:v>
      </x:c>
    </x:row>
    <x:row r="40">
      <x:c r="A40" t="n">
        <x:v>220</x:v>
      </x:c>
      <x:c r="B40" t="str">
        <x:v>220 - KC VA Medical Center</x:v>
      </x:c>
      <x:c r="C40" t="str">
        <x:v>In Progress</x:v>
      </x:c>
      <x:c r="D40" s="16" t="str">
        <x:v>Needs contract/budget amount and expected 2026 billing.</x:v>
      </x:c>
    </x:row>
    <x:row r="41">
      <x:c r="A41" t="n">
        <x:v>221</x:v>
      </x:c>
      <x:c r="B41" t="str">
        <x:v>221 - Whitaker USMS Vault Door</x:v>
      </x:c>
      <x:c r="C41" t="str">
        <x:v>Waiting on A/R</x:v>
      </x:c>
      <x:c r="D41" s="16" t="str">
        <x:v>Moved to Waiting on A/R per your update; no future revenue projected unless additional scope is added.</x:v>
      </x:c>
    </x:row>
    <x:row r="42">
      <x:c r="A42" t="n">
        <x:v>225</x:v>
      </x:c>
      <x:c r="B42" t="str">
        <x:v>225 - LV VA Bldg-89</x:v>
      </x:c>
      <x:c r="C42" t="str">
        <x:v>In Progress</x:v>
      </x:c>
      <x:c r="D42" s="16" t="str">
        <x:v>Needs contract/budget amount and expected 2026 billing.</x:v>
      </x:c>
    </x:row>
    <x:row r="43">
      <x:c r="A43" t="n">
        <x:v>226</x:v>
      </x:c>
      <x:c r="B43" t="str">
        <x:v>226 - Stowers Grad Classroom Ceilings</x:v>
      </x:c>
      <x:c r="C43" t="str">
        <x:v>In Progress</x:v>
      </x:c>
      <x:c r="D43" s="16" t="str">
        <x:v>Needs contract/budget amount and expected 2026 billing.</x:v>
      </x:c>
    </x:row>
    <x:row r="44">
      <x:c r="A44" t="n">
        <x:v>227</x:v>
      </x:c>
      <x:c r="B44" t="str">
        <x:v>227 - Dole Misc Painting 4th &amp; 6th</x:v>
      </x:c>
      <x:c r="C44" t="str">
        <x:v>In Progress</x:v>
      </x:c>
      <x:c r="D44" s="16" t="str">
        <x:v>Needs contract/budget amount and expected 2026 billing.</x:v>
      </x:c>
    </x:row>
    <x:row r="45">
      <x:c r="A45" t="n">
        <x:v>228</x:v>
      </x:c>
      <x:c r="B45" t="str">
        <x:v>228 - Third Space Yoga Studio</x:v>
      </x:c>
      <x:c r="C45" t="str">
        <x:v>In Progress</x:v>
      </x:c>
      <x:c r="D45" s="16" t="str">
        <x:v>Needs contract/budget amount and expected 2026 billing.</x:v>
      </x:c>
    </x:row>
    <x:row r="46">
      <x:c r="A46" t="n">
        <x:v>229</x:v>
      </x:c>
      <x:c r="B46" t="str">
        <x:v>229 - Gardenview</x:v>
      </x:c>
      <x:c r="C46" t="str">
        <x:v>PreCon</x:v>
      </x:c>
      <x:c r="D46" s="16" t="str">
        <x:v>Needs contract/budget amount and expected 2026 billing.</x:v>
      </x:c>
    </x:row>
  </x:sheetData>
  <x:mergeCells>
    <x:mergeCell ref="A1:H1"/>
    <x:mergeCell ref="A16:G16"/>
    <x:mergeCell ref="A30:D30"/>
  </x:mergeCells>
  <x:pageMargins left="0.7" right="0.7" top="0.75" bottom="0.75" header="0.3" footer="0.3"/>
  <x:drawing xmlns:r="http://schemas.openxmlformats.org/officeDocument/2006/relationships" r:id="R0652dbcca59b4a70"/>
</x:worksheet>
</file>

<file path=xl/worksheets/sheet2.xml><?xml version="1.0" encoding="utf-8"?>
<x:worksheet xmlns:x="http://schemas.openxmlformats.org/spreadsheetml/2006/main">
  <x:sheetFormatPr defaultRowHeight="15"/>
  <x:cols>
    <x:col min="2" max="2" width="38" hidden="0" customWidth="1"/>
    <x:col min="3" max="3" width="26" hidden="0" customWidth="1"/>
    <x:col min="4" max="4" width="18" hidden="0" customWidth="1"/>
    <x:col min="5" max="5" width="18" hidden="0" customWidth="1"/>
    <x:col min="9" max="9" width="22" hidden="0" customWidth="1"/>
    <x:col min="28" max="28" width="55" hidden="0" customWidth="1"/>
  </x:cols>
  <x:sheetData>
    <x:row r="1">
      <x:c r="A1" s="20" t="str">
        <x:v>Job</x:v>
      </x:c>
      <x:c r="B1" s="20" t="str">
        <x:v>Project</x:v>
      </x:c>
      <x:c r="C1" s="20" t="str">
        <x:v>Customer</x:v>
      </x:c>
      <x:c r="D1" s="20" t="str">
        <x:v>Status</x:v>
      </x:c>
      <x:c r="E1" s="20" t="str">
        <x:v>Forecast Treatment</x:v>
      </x:c>
      <x:c r="F1" s="20" t="str">
        <x:v>Start Date</x:v>
      </x:c>
      <x:c r="G1" s="20" t="str">
        <x:v>End Date</x:v>
      </x:c>
      <x:c r="H1" s="20" t="str">
        <x:v>Contract / Budget</x:v>
      </x:c>
      <x:c r="I1" s="20" t="str">
        <x:v>Contract Source</x:v>
      </x:c>
      <x:c r="J1" s="20" t="str">
        <x:v>Cumulative Billed / Earned</x:v>
      </x:c>
      <x:c r="K1" s="20" t="str">
        <x:v>2026 Billings YTD</x:v>
      </x:c>
      <x:c r="L1" s="20" t="str">
        <x:v>Open A/R</x:v>
      </x:c>
      <x:c r="M1" s="20" t="str">
        <x:v>Remaining Backlog</x:v>
      </x:c>
      <x:c r="N1" s="20" t="str">
        <x:v>Low %</x:v>
      </x:c>
      <x:c r="O1" s="20" t="str">
        <x:v>Base %</x:v>
      </x:c>
      <x:c r="P1" s="20" t="str">
        <x:v>High %</x:v>
      </x:c>
      <x:c r="Q1" s="20" t="str">
        <x:v>Projected 2026 Low</x:v>
      </x:c>
      <x:c r="R1" s="20" t="str">
        <x:v>Projected 2026 Base</x:v>
      </x:c>
      <x:c r="S1" s="20" t="str">
        <x:v>Projected 2026 High</x:v>
      </x:c>
      <x:c r="T1" s="20" t="str">
        <x:v>2026 COGS YTD</x:v>
      </x:c>
      <x:c r="U1" s="20" t="str">
        <x:v>2026 Gross Profit</x:v>
      </x:c>
      <x:c r="V1" s="20" t="str">
        <x:v>2026 GP Margin</x:v>
      </x:c>
      <x:c r="W1" s="20" t="str">
        <x:v>Self-Performed Labor</x:v>
      </x:c>
      <x:c r="X1" s="20" t="str">
        <x:v>Subcontractors</x:v>
      </x:c>
      <x:c r="Y1" s="20" t="str">
        <x:v>Materials &amp; Supplies</x:v>
      </x:c>
      <x:c r="Z1" s="20" t="str">
        <x:v>Equipment/Other</x:v>
      </x:c>
      <x:c r="AA1" s="20" t="str">
        <x:v>Open A/P Identified</x:v>
      </x:c>
      <x:c r="AB1" s="20" t="str">
        <x:v>Notes</x:v>
      </x:c>
    </x:row>
    <x:row r="2">
      <x:c r="A2" t="n">
        <x:v>158</x:v>
      </x:c>
      <x:c r="B2" t="str">
        <x:v>158 - Blue Valley CTE 2026</x:v>
      </x:c>
      <x:c r="C2" t="str">
        <x:v>McCown Gordon</x:v>
      </x:c>
      <x:c r="D2" t="str">
        <x:v>In Progress</x:v>
      </x:c>
      <x:c r="E2" t="str">
        <x:v>Forecast backlog</x:v>
      </x:c>
      <x:c r="F2" t="str">
        <x:v>12/22/2025</x:v>
      </x:c>
      <x:c r="G2" t="str"/>
      <x:c r="H2" s="14" t="n">
        <x:v>167660</x:v>
      </x:c>
      <x:c r="I2" s="14" t="str">
        <x:v>J158 PA002 May 2026</x:v>
      </x:c>
      <x:c r="J2" s="14" t="n">
        <x:v>5188.5</x:v>
      </x:c>
      <x:c r="K2" s="14" t="n">
        <x:v>5188.5</x:v>
      </x:c>
      <x:c r="L2" s="14" t="n">
        <x:v>5188.5</x:v>
      </x:c>
      <x:c r="M2" s="14" t="n">
        <x:f>MAX(0,H2-J2)</x:f>
        <x:v>162471.5</x:v>
      </x:c>
      <x:c r="N2" s="24" t="n">
        <x:v>0.5</x:v>
      </x:c>
      <x:c r="O2" s="24" t="n">
        <x:v>0.75</x:v>
      </x:c>
      <x:c r="P2" s="24" t="n">
        <x:v>1</x:v>
      </x:c>
      <x:c r="Q2" s="14" t="n">
        <x:f>K2+M2*N2</x:f>
        <x:v>86424.25</x:v>
      </x:c>
      <x:c r="R2" s="14" t="n">
        <x:f>K2+M2*O2</x:f>
        <x:v>127042.125</x:v>
      </x:c>
      <x:c r="S2" s="14" t="n">
        <x:f>K2+M2*P2</x:f>
        <x:v>167660</x:v>
      </x:c>
      <x:c r="T2" s="14" t="n">
        <x:v>159.3</x:v>
      </x:c>
      <x:c r="U2" s="14" t="n">
        <x:f>K2-T2</x:f>
        <x:v>5029.2</x:v>
      </x:c>
      <x:c r="V2" s="24" t="n">
        <x:f>IFERROR(U2/K2,"")</x:f>
        <x:v>0.9692974848222029</x:v>
      </x:c>
      <x:c r="W2" s="14" t="n">
        <x:v>159.3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6" t="str">
        <x:v>Contract updated from J158 PA002; open A/R.</x:v>
      </x:c>
    </x:row>
    <x:row r="3">
      <x:c r="A3" t="n">
        <x:v>186</x:v>
      </x:c>
      <x:c r="B3" t="str">
        <x:v>186 - LVV 3 &amp; 5</x:v>
      </x:c>
      <x:c r="C3" t="str">
        <x:v>Lakeview Village</x:v>
      </x:c>
      <x:c r="D3" t="str">
        <x:v>In Progress</x:v>
      </x:c>
      <x:c r="E3" t="str">
        <x:v>Forecast backlog</x:v>
      </x:c>
      <x:c r="F3" t="str">
        <x:v>09/02/2025</x:v>
      </x:c>
      <x:c r="G3" t="str"/>
      <x:c r="H3" s="14" t="n">
        <x:v>740000</x:v>
      </x:c>
      <x:c r="I3" s="14" t="n">
        <x:v>740000</x:v>
      </x:c>
      <x:c r="J3" s="14" t="n">
        <x:v>732218.02</x:v>
      </x:c>
      <x:c r="K3" s="14" t="n">
        <x:v>308448.68</x:v>
      </x:c>
      <x:c r="L3" s="14" t="n">
        <x:v>0</x:v>
      </x:c>
      <x:c r="M3" s="14" t="n">
        <x:f>MAX(0,H3-J3)</x:f>
        <x:v>7781.979999999981</x:v>
      </x:c>
      <x:c r="N3" s="24" t="n">
        <x:v>0.5</x:v>
      </x:c>
      <x:c r="O3" s="24" t="n">
        <x:v>0.75</x:v>
      </x:c>
      <x:c r="P3" s="24" t="n">
        <x:v>1</x:v>
      </x:c>
      <x:c r="Q3" s="14" t="n">
        <x:f>K3+M3*N3</x:f>
        <x:v>312339.67</x:v>
      </x:c>
      <x:c r="R3" s="14" t="n">
        <x:f>K3+M3*O3</x:f>
        <x:v>314285.165</x:v>
      </x:c>
      <x:c r="S3" s="14" t="n">
        <x:f>K3+M3*P3</x:f>
        <x:v>316230.66</x:v>
      </x:c>
      <x:c r="T3" s="14" t="n">
        <x:v>309421.99</x:v>
      </x:c>
      <x:c r="U3" s="14" t="n">
        <x:f>K3-T3</x:f>
        <x:v>-973.3099999999977</x:v>
      </x:c>
      <x:c r="V3" s="24" t="n">
        <x:f>IFERROR(U3/K3,"")</x:f>
        <x:v>-0.0031555006168286982</x:v>
      </x:c>
      <x:c r="W3" s="14" t="n">
        <x:v>61369.94</x:v>
      </x:c>
      <x:c r="X3" s="14" t="n">
        <x:v>202177.89</x:v>
      </x:c>
      <x:c r="Y3" s="14" t="n">
        <x:v>44689.16000000001</x:v>
      </x:c>
      <x:c r="Z3" s="14" t="n">
        <x:v>1185</x:v>
      </x:c>
      <x:c r="AA3" s="14" t="n">
        <x:v>0</x:v>
      </x:c>
      <x:c r="AB3" s="16" t="str"/>
    </x:row>
    <x:row r="4">
      <x:c r="A4" t="n">
        <x:v>189</x:v>
      </x:c>
      <x:c r="B4" t="str">
        <x:v>189 - Topeka VAMC - Anesthesia Unit</x:v>
      </x:c>
      <x:c r="C4" t="str">
        <x:v>BKM Contruction LLC</x:v>
      </x:c>
      <x:c r="D4" t="str">
        <x:v>In Progress</x:v>
      </x:c>
      <x:c r="E4" t="str">
        <x:v>Forecast backlog</x:v>
      </x:c>
      <x:c r="F4" t="str">
        <x:v>10/01/2025</x:v>
      </x:c>
      <x:c r="G4" t="str">
        <x:v>09/19/2026</x:v>
      </x:c>
      <x:c r="H4" s="14" t="n">
        <x:v>85020</x:v>
      </x:c>
      <x:c r="I4" s="14" t="n">
        <x:v>85020</x:v>
      </x:c>
      <x:c r="J4" s="14" t="n">
        <x:v>0</x:v>
      </x:c>
      <x:c r="K4" s="14" t="n">
        <x:v>0</x:v>
      </x:c>
      <x:c r="L4" s="14" t="n">
        <x:v>0</x:v>
      </x:c>
      <x:c r="M4" s="14" t="n">
        <x:f>MAX(0,H4-J4)</x:f>
        <x:v>85020</x:v>
      </x:c>
      <x:c r="N4" s="24" t="n">
        <x:v>0.75</x:v>
      </x:c>
      <x:c r="O4" s="24" t="n">
        <x:v>1</x:v>
      </x:c>
      <x:c r="P4" s="24" t="n">
        <x:v>1</x:v>
      </x:c>
      <x:c r="Q4" s="14" t="n">
        <x:f>K4+M4*N4</x:f>
        <x:v>63765</x:v>
      </x:c>
      <x:c r="R4" s="14" t="n">
        <x:f>K4+M4*O4</x:f>
        <x:v>85020</x:v>
      </x:c>
      <x:c r="S4" s="14" t="n">
        <x:f>K4+M4*P4</x:f>
        <x:v>85020</x:v>
      </x:c>
      <x:c r="T4" s="14" t="n">
        <x:v>0</x:v>
      </x:c>
      <x:c r="U4" s="14" t="n">
        <x:f>K4-T4</x:f>
        <x:v>0</x:v>
      </x:c>
      <x:c r="V4" s="24" t="str">
        <x:f>IFERROR(U4/K4,"")</x:f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6" t="str"/>
    </x:row>
    <x:row r="5">
      <x:c r="A5" t="n">
        <x:v>193</x:v>
      </x:c>
      <x:c r="B5" t="str">
        <x:v>193 - Pulse Design 9th Floor</x:v>
      </x:c>
      <x:c r="C5" t="str">
        <x:v>Newkirk Novak</x:v>
      </x:c>
      <x:c r="D5" t="str">
        <x:v>Waiting on A/R</x:v>
      </x:c>
      <x:c r="E5" t="str">
        <x:v>Collections only</x:v>
      </x:c>
      <x:c r="F5" t="str">
        <x:v>10/16/2025</x:v>
      </x:c>
      <x:c r="G5" t="str"/>
      <x:c r="H5" s="14" t="n">
        <x:v>77491</x:v>
      </x:c>
      <x:c r="I5" s="14" t="n">
        <x:v>73455</x:v>
      </x:c>
      <x:c r="J5" s="14" t="n">
        <x:v>77491</x:v>
      </x:c>
      <x:c r="K5" s="14" t="n">
        <x:v>21590.15</x:v>
      </x:c>
      <x:c r="L5" s="14" t="n">
        <x:v>0</x:v>
      </x:c>
      <x:c r="M5" s="14" t="n">
        <x:f>MAX(0,H5-J5)</x:f>
        <x:v>0</x:v>
      </x:c>
      <x:c r="N5" s="24" t="n">
        <x:v>0</x:v>
      </x:c>
      <x:c r="O5" s="24" t="n">
        <x:v>0</x:v>
      </x:c>
      <x:c r="P5" s="24" t="n">
        <x:v>0</x:v>
      </x:c>
      <x:c r="Q5" s="14" t="n">
        <x:f>K5+M5*N5</x:f>
        <x:v>21590.15</x:v>
      </x:c>
      <x:c r="R5" s="14" t="n">
        <x:f>K5+M5*O5</x:f>
        <x:v>21590.15</x:v>
      </x:c>
      <x:c r="S5" s="14" t="n">
        <x:f>K5+M5*P5</x:f>
        <x:v>21590.15</x:v>
      </x:c>
      <x:c r="T5" s="14" t="n">
        <x:v>20877.17</x:v>
      </x:c>
      <x:c r="U5" s="14" t="n">
        <x:f>K5-T5</x:f>
        <x:v>712.9800000000032</x:v>
      </x:c>
      <x:c r="V5" s="24" t="n">
        <x:f>IFERROR(U5/K5,"")</x:f>
        <x:v>0.033023392611908814</x:v>
      </x:c>
      <x:c r="W5" s="14" t="n">
        <x:v>6187.620000000001</x:v>
      </x:c>
      <x:c r="X5" s="14" t="n">
        <x:v>13853.78</x:v>
      </x:c>
      <x:c r="Y5" s="14" t="n">
        <x:v>435.77</x:v>
      </x:c>
      <x:c r="Z5" s="14" t="n">
        <x:v>400</x:v>
      </x:c>
      <x:c r="AA5" s="14" t="n">
        <x:v>0</x:v>
      </x:c>
      <x:c r="AB5" s="16" t="str">
        <x:v>Moved to Waiting on A/R per your update; no future revenue projected unless additional scope is added.</x:v>
      </x:c>
    </x:row>
    <x:row r="6">
      <x:c r="A6" t="n">
        <x:v>197</x:v>
      </x:c>
      <x:c r="B6" t="str">
        <x:v>197 - Administrative Hallway Reno</x:v>
      </x:c>
      <x:c r="C6" t="str">
        <x:v>Lakeview Village</x:v>
      </x:c>
      <x:c r="D6" t="str">
        <x:v>Waiting on A/R</x:v>
      </x:c>
      <x:c r="E6" t="str">
        <x:v>Collections only</x:v>
      </x:c>
      <x:c r="F6" t="str">
        <x:v>11/13/2025</x:v>
      </x:c>
      <x:c r="G6" t="str"/>
      <x:c r="H6" s="14" t="n">
        <x:v>28485</x:v>
      </x:c>
      <x:c r="I6" s="14" t="str">
        <x:v>J197 PA005 May 2026</x:v>
      </x:c>
      <x:c r="J6" s="14" t="n">
        <x:v>28485</x:v>
      </x:c>
      <x:c r="K6" s="14" t="n">
        <x:v>28485</x:v>
      </x:c>
      <x:c r="L6" s="14" t="n">
        <x:v>6000</x:v>
      </x:c>
      <x:c r="M6" s="14" t="n">
        <x:f>MAX(0,H6-J6)</x:f>
        <x:v>0</x:v>
      </x:c>
      <x:c r="N6" s="24" t="n">
        <x:v>0</x:v>
      </x:c>
      <x:c r="O6" s="24" t="n">
        <x:v>0</x:v>
      </x:c>
      <x:c r="P6" s="24" t="n">
        <x:v>0</x:v>
      </x:c>
      <x:c r="Q6" s="14" t="n">
        <x:f>K6+M6*N6</x:f>
        <x:v>28485</x:v>
      </x:c>
      <x:c r="R6" s="14" t="n">
        <x:f>K6+M6*O6</x:f>
        <x:v>28485</x:v>
      </x:c>
      <x:c r="S6" s="14" t="n">
        <x:f>K6+M6*P6</x:f>
        <x:v>28485</x:v>
      </x:c>
      <x:c r="T6" s="14" t="n">
        <x:v>16622.510000000002</x:v>
      </x:c>
      <x:c r="U6" s="14" t="n">
        <x:f>K6-T6</x:f>
        <x:v>11862.489999999998</x:v>
      </x:c>
      <x:c r="V6" s="24" t="n">
        <x:f>IFERROR(U6/K6,"")</x:f>
        <x:v>0.41644690187818145</x:v>
      </x:c>
      <x:c r="W6" s="14" t="n">
        <x:v>8955.420000000002</x:v>
      </x:c>
      <x:c r="X6" s="14" t="n">
        <x:v>2241</x:v>
      </x:c>
      <x:c r="Y6" s="14" t="n">
        <x:v>5247.7300000000005</x:v>
      </x:c>
      <x:c r="Z6" s="14" t="n">
        <x:v>178.36</x:v>
      </x:c>
      <x:c r="AA6" s="14" t="n">
        <x:v>0</x:v>
      </x:c>
      <x:c r="AB6" s="16" t="str">
        <x:v>Moved to Waiting on A/R per your update; no future revenue projected unless additional scope is added.</x:v>
      </x:c>
    </x:row>
    <x:row r="7">
      <x:c r="A7" t="n">
        <x:v>204</x:v>
      </x:c>
      <x:c r="B7" t="str">
        <x:v>204 - LightEdge Data Center</x:v>
      </x:c>
      <x:c r="C7" t="str">
        <x:v>XEC</x:v>
      </x:c>
      <x:c r="D7" t="str">
        <x:v>In Progress</x:v>
      </x:c>
      <x:c r="E7" t="str">
        <x:v>Forecast backlog</x:v>
      </x:c>
      <x:c r="F7" t="str">
        <x:v>01/01/2026</x:v>
      </x:c>
      <x:c r="G7" t="str"/>
      <x:c r="H7" s="14" t="n">
        <x:v>335450</x:v>
      </x:c>
      <x:c r="I7" s="14" t="str">
        <x:v>J204 PA005 May 2026</x:v>
      </x:c>
      <x:c r="J7" s="14" t="n">
        <x:v>250741.13</x:v>
      </x:c>
      <x:c r="K7" s="14" t="n">
        <x:v>250741.13</x:v>
      </x:c>
      <x:c r="L7" s="14" t="n">
        <x:v>216238.72999999998</x:v>
      </x:c>
      <x:c r="M7" s="14" t="n">
        <x:f>MAX(0,H7-J7)</x:f>
        <x:v>84708.87</x:v>
      </x:c>
      <x:c r="N7" s="24" t="n">
        <x:v>0.5</x:v>
      </x:c>
      <x:c r="O7" s="24" t="n">
        <x:v>0.75</x:v>
      </x:c>
      <x:c r="P7" s="24" t="n">
        <x:v>1</x:v>
      </x:c>
      <x:c r="Q7" s="14" t="n">
        <x:f>K7+M7*N7</x:f>
        <x:v>293095.565</x:v>
      </x:c>
      <x:c r="R7" s="14" t="n">
        <x:f>K7+M7*O7</x:f>
        <x:v>314272.7825</x:v>
      </x:c>
      <x:c r="S7" s="14" t="n">
        <x:f>K7+M7*P7</x:f>
        <x:v>335450</x:v>
      </x:c>
      <x:c r="T7" s="14" t="n">
        <x:v>145779.18</x:v>
      </x:c>
      <x:c r="U7" s="14" t="n">
        <x:f>K7-T7</x:f>
        <x:v>104961.95000000001</x:v>
      </x:c>
      <x:c r="V7" s="24" t="n">
        <x:f>IFERROR(U7/K7,"")</x:f>
        <x:v>0.4186068316753618</x:v>
      </x:c>
      <x:c r="W7" s="14" t="n">
        <x:v>67975.92</x:v>
      </x:c>
      <x:c r="X7" s="14" t="n">
        <x:v>0</x:v>
      </x:c>
      <x:c r="Y7" s="14" t="n">
        <x:v>66974.27000000002</x:v>
      </x:c>
      <x:c r="Z7" s="14" t="n">
        <x:v>10828.99</x:v>
      </x:c>
      <x:c r="AA7" s="14" t="n">
        <x:v>0</x:v>
      </x:c>
      <x:c r="AB7" s="16" t="str">
        <x:v>PA005 current through May; open A/R is collections, not additional revenue.</x:v>
      </x:c>
    </x:row>
    <x:row r="8">
      <x:c r="A8" t="n">
        <x:v>206</x:v>
      </x:c>
      <x:c r="B8" t="str">
        <x:v>206 - LVV Heritage - 211A, 311A &amp; 317A</x:v>
      </x:c>
      <x:c r="C8" t="str">
        <x:v>Lakeview Village</x:v>
      </x:c>
      <x:c r="D8" t="str">
        <x:v>In Progress</x:v>
      </x:c>
      <x:c r="E8" t="str">
        <x:v>Forecast backlog</x:v>
      </x:c>
      <x:c r="F8" t="str">
        <x:v>02/09/2026</x:v>
      </x:c>
      <x:c r="G8" t="str"/>
      <x:c r="H8" s="14" t="n">
        <x:v>665000</x:v>
      </x:c>
      <x:c r="I8" s="14" t="str">
        <x:v>J206 PA004 May 2026</x:v>
      </x:c>
      <x:c r="J8" s="14" t="n">
        <x:v>406731.43</x:v>
      </x:c>
      <x:c r="K8" s="14" t="n">
        <x:v>406731.43</x:v>
      </x:c>
      <x:c r="L8" s="14" t="n">
        <x:v>103745.93</x:v>
      </x:c>
      <x:c r="M8" s="14" t="n">
        <x:f>MAX(0,H8-J8)</x:f>
        <x:v>258268.57</x:v>
      </x:c>
      <x:c r="N8" s="24" t="n">
        <x:v>0.5</x:v>
      </x:c>
      <x:c r="O8" s="24" t="n">
        <x:v>0.75</x:v>
      </x:c>
      <x:c r="P8" s="24" t="n">
        <x:v>1</x:v>
      </x:c>
      <x:c r="Q8" s="14" t="n">
        <x:f>K8+M8*N8</x:f>
        <x:v>535865.715</x:v>
      </x:c>
      <x:c r="R8" s="14" t="n">
        <x:f>K8+M8*O8</x:f>
        <x:v>600432.8574999999</x:v>
      </x:c>
      <x:c r="S8" s="14" t="n">
        <x:f>K8+M8*P8</x:f>
        <x:v>665000</x:v>
      </x:c>
      <x:c r="T8" s="14" t="n">
        <x:v>290040.33999999997</x:v>
      </x:c>
      <x:c r="U8" s="14" t="n">
        <x:f>K8-T8</x:f>
        <x:v>116691.09000000003</x:v>
      </x:c>
      <x:c r="V8" s="24" t="n">
        <x:f>IFERROR(U8/K8,"")</x:f>
        <x:v>0.2868996133394462</x:v>
      </x:c>
      <x:c r="W8" s="14" t="n">
        <x:v>81306.81000000001</x:v>
      </x:c>
      <x:c r="X8" s="14" t="n">
        <x:v>155978.4</x:v>
      </x:c>
      <x:c r="Y8" s="14" t="n">
        <x:v>47311.11999999999</x:v>
      </x:c>
      <x:c r="Z8" s="14" t="n">
        <x:v>5667.85</x:v>
      </x:c>
      <x:c r="AA8" s="14" t="n">
        <x:v>37034.4</x:v>
      </x:c>
      <x:c r="AB8" s="16" t="str">
        <x:v>PA004 current through May; open A/R and job-tied A/P identified.</x:v>
      </x:c>
    </x:row>
    <x:row r="9">
      <x:c r="A9" t="n">
        <x:v>208</x:v>
      </x:c>
      <x:c r="B9" t="str">
        <x:v>208 - Park Hill 2026</x:v>
      </x:c>
      <x:c r="C9" t="str">
        <x:v>Universal Construction</x:v>
      </x:c>
      <x:c r="D9" t="str">
        <x:v>In Progress</x:v>
      </x:c>
      <x:c r="E9" t="str">
        <x:v>Forecast backlog</x:v>
      </x:c>
      <x:c r="F9" t="str">
        <x:v>05/01/2026</x:v>
      </x:c>
      <x:c r="G9" t="str"/>
      <x:c r="H9" s="14" t="n">
        <x:v>360220</x:v>
      </x:c>
      <x:c r="I9" s="14" t="n">
        <x:v>360220</x:v>
      </x:c>
      <x:c r="J9" s="14" t="n">
        <x:v>16487.72</x:v>
      </x:c>
      <x:c r="K9" s="14" t="n">
        <x:v>16487.72</x:v>
      </x:c>
      <x:c r="L9" s="14" t="n">
        <x:v>5586.47</x:v>
      </x:c>
      <x:c r="M9" s="14" t="n">
        <x:f>MAX(0,H9-J9)</x:f>
        <x:v>343732.28</x:v>
      </x:c>
      <x:c r="N9" s="24" t="n">
        <x:v>0.5</x:v>
      </x:c>
      <x:c r="O9" s="24" t="n">
        <x:v>0.75</x:v>
      </x:c>
      <x:c r="P9" s="24" t="n">
        <x:v>1</x:v>
      </x:c>
      <x:c r="Q9" s="14" t="n">
        <x:f>K9+M9*N9</x:f>
        <x:v>188353.86000000002</x:v>
      </x:c>
      <x:c r="R9" s="14" t="n">
        <x:f>K9+M9*O9</x:f>
        <x:v>274286.93000000005</x:v>
      </x:c>
      <x:c r="S9" s="14" t="n">
        <x:f>K9+M9*P9</x:f>
        <x:v>360220</x:v>
      </x:c>
      <x:c r="T9" s="14" t="n">
        <x:v>10253</x:v>
      </x:c>
      <x:c r="U9" s="14" t="n">
        <x:f>K9-T9</x:f>
        <x:v>6234.720000000001</x:v>
      </x:c>
      <x:c r="V9" s="24" t="n">
        <x:f>IFERROR(U9/K9,"")</x:f>
        <x:v>0.3781432484297405</x:v>
      </x:c>
      <x:c r="W9" s="14" t="n">
        <x:v>0</x:v>
      </x:c>
      <x:c r="X9" s="14" t="n">
        <x:v>0</x:v>
      </x:c>
      <x:c r="Y9" s="14" t="n">
        <x:v>0</x:v>
      </x:c>
      <x:c r="Z9" s="14" t="n">
        <x:v>10253</x:v>
      </x:c>
      <x:c r="AA9" s="14" t="n">
        <x:v>0</x:v>
      </x:c>
      <x:c r="AB9" s="16" t="str"/>
    </x:row>
    <x:row r="10">
      <x:c r="A10" t="n">
        <x:v>209</x:v>
      </x:c>
      <x:c r="B10" t="str">
        <x:v>209 - Capital Electric Fab Shop</x:v>
      </x:c>
      <x:c r="C10" t="str">
        <x:v>CWA Specialties, INC.</x:v>
      </x:c>
      <x:c r="D10" t="str">
        <x:v>Waiting on A/R</x:v>
      </x:c>
      <x:c r="E10" t="str">
        <x:v>Collections only</x:v>
      </x:c>
      <x:c r="F10" t="str">
        <x:v>02/09/2026</x:v>
      </x:c>
      <x:c r="G10" t="str"/>
      <x:c r="H10" s="14" t="n">
        <x:v>17350</x:v>
      </x:c>
      <x:c r="I10" s="14" t="n">
        <x:v>17350</x:v>
      </x:c>
      <x:c r="J10" s="14" t="n">
        <x:v>17350</x:v>
      </x:c>
      <x:c r="K10" s="14" t="n">
        <x:v>17350</x:v>
      </x:c>
      <x:c r="L10" s="14" t="n">
        <x:v>17350</x:v>
      </x:c>
      <x:c r="M10" s="14" t="n">
        <x:f>MAX(0,H10-J10)</x:f>
        <x:v>0</x:v>
      </x:c>
      <x:c r="N10" s="24" t="n">
        <x:v>0</x:v>
      </x:c>
      <x:c r="O10" s="24" t="n">
        <x:v>0</x:v>
      </x:c>
      <x:c r="P10" s="24" t="n">
        <x:v>0</x:v>
      </x:c>
      <x:c r="Q10" s="14" t="n">
        <x:f>K10+M10*N10</x:f>
        <x:v>17350</x:v>
      </x:c>
      <x:c r="R10" s="14" t="n">
        <x:f>K10+M10*O10</x:f>
        <x:v>17350</x:v>
      </x:c>
      <x:c r="S10" s="14" t="n">
        <x:f>K10+M10*P10</x:f>
        <x:v>17350</x:v>
      </x:c>
      <x:c r="T10" s="14" t="n">
        <x:v>12852.18</x:v>
      </x:c>
      <x:c r="U10" s="14" t="n">
        <x:f>K10-T10</x:f>
        <x:v>4497.82</x:v>
      </x:c>
      <x:c r="V10" s="24" t="n">
        <x:f>IFERROR(U10/K10,"")</x:f>
        <x:v>0.25924034582132566</x:v>
      </x:c>
      <x:c r="W10" s="14" t="n">
        <x:v>8602.82</x:v>
      </x:c>
      <x:c r="X10" s="14" t="n">
        <x:v>0</x:v>
      </x:c>
      <x:c r="Y10" s="14" t="n">
        <x:v>4249.36</x:v>
      </x:c>
      <x:c r="Z10" s="14" t="n">
        <x:v>0</x:v>
      </x:c>
      <x:c r="AA10" s="14" t="n">
        <x:v>0</x:v>
      </x:c>
      <x:c r="AB10" s="16" t="str">
        <x:v>Moved to Waiting on A/R per your update; no future revenue projected unless additional scope is added.</x:v>
      </x:c>
    </x:row>
    <x:row r="11">
      <x:c r="A11" t="n">
        <x:v>210</x:v>
      </x:c>
      <x:c r="B11" t="str">
        <x:v>210 - Benedictine Library Toilet Partitions</x:v>
      </x:c>
      <x:c r="C11" t="str">
        <x:v>CWA Specialties, INC.</x:v>
      </x:c>
      <x:c r="D11" t="str">
        <x:v>In Progress</x:v>
      </x:c>
      <x:c r="E11" t="str">
        <x:v>Forecast backlog</x:v>
      </x:c>
      <x:c r="F11" t="str"/>
      <x:c r="G11" t="str"/>
      <x:c r="H11" s="14" t="n">
        <x:v>18760</x:v>
      </x:c>
      <x:c r="I11" s="14" t="str">
        <x:v>J210 PA001 May 2026</x:v>
      </x:c>
      <x:c r="J11" s="14" t="n">
        <x:v>13366.5</x:v>
      </x:c>
      <x:c r="K11" s="14" t="n">
        <x:v>13366.5</x:v>
      </x:c>
      <x:c r="L11" s="14" t="n">
        <x:v>13366.5</x:v>
      </x:c>
      <x:c r="M11" s="14" t="n">
        <x:f>MAX(0,H11-J11)</x:f>
        <x:v>5393.5</x:v>
      </x:c>
      <x:c r="N11" s="24" t="n">
        <x:v>0.75</x:v>
      </x:c>
      <x:c r="O11" s="24" t="n">
        <x:v>1</x:v>
      </x:c>
      <x:c r="P11" s="24" t="n">
        <x:v>1</x:v>
      </x:c>
      <x:c r="Q11" s="14" t="n">
        <x:f>K11+M11*N11</x:f>
        <x:v>17411.625</x:v>
      </x:c>
      <x:c r="R11" s="14" t="n">
        <x:f>K11+M11*O11</x:f>
        <x:v>18760</x:v>
      </x:c>
      <x:c r="S11" s="14" t="n">
        <x:f>K11+M11*P11</x:f>
        <x:v>18760</x:v>
      </x:c>
      <x:c r="T11" s="14" t="n">
        <x:v>7798.47</x:v>
      </x:c>
      <x:c r="U11" s="14" t="n">
        <x:f>K11-T11</x:f>
        <x:v>5568.03</x:v>
      </x:c>
      <x:c r="V11" s="24" t="n">
        <x:f>IFERROR(U11/K11,"")</x:f>
        <x:v>0.4165660419705981</x:v>
      </x:c>
      <x:c r="W11" s="14" t="n">
        <x:v>7755.01</x:v>
      </x:c>
      <x:c r="X11" s="14" t="n">
        <x:v>0</x:v>
      </x:c>
      <x:c r="Y11" s="14" t="n">
        <x:v>43.46</x:v>
      </x:c>
      <x:c r="Z11" s="14" t="n">
        <x:v>0</x:v>
      </x:c>
      <x:c r="AA11" s="14" t="n">
        <x:v>0</x:v>
      </x:c>
      <x:c r="AB11" s="16" t="str">
        <x:v>PA001 indicates 75% complete and $5,393.50 balance to finish.</x:v>
      </x:c>
    </x:row>
    <x:row r="12">
      <x:c r="A12" t="n">
        <x:v>212</x:v>
      </x:c>
      <x:c r="B12" t="str">
        <x:v>212 - LPS Lewis &amp; Clark Restroom Reno</x:v>
      </x:c>
      <x:c r="C12" t="str">
        <x:v>Newkirk Novak</x:v>
      </x:c>
      <x:c r="D12" t="str">
        <x:v>In Progress</x:v>
      </x:c>
      <x:c r="E12" t="str">
        <x:v>Forecast backlog</x:v>
      </x:c>
      <x:c r="F12" t="str">
        <x:v>03/09/2026</x:v>
      </x:c>
      <x:c r="G12" t="str"/>
      <x:c r="H12" s="14" t="n">
        <x:v>91775</x:v>
      </x:c>
      <x:c r="I12" s="14" t="n">
        <x:v>91775</x:v>
      </x:c>
      <x:c r="J12" s="14" t="n">
        <x:v>4750</x:v>
      </x:c>
      <x:c r="K12" s="14" t="n">
        <x:v>4750</x:v>
      </x:c>
      <x:c r="L12" s="14" t="n">
        <x:v>4750</x:v>
      </x:c>
      <x:c r="M12" s="14" t="n">
        <x:f>MAX(0,H12-J12)</x:f>
        <x:v>87025</x:v>
      </x:c>
      <x:c r="N12" s="24" t="n">
        <x:v>0.5</x:v>
      </x:c>
      <x:c r="O12" s="24" t="n">
        <x:v>0.75</x:v>
      </x:c>
      <x:c r="P12" s="24" t="n">
        <x:v>1</x:v>
      </x:c>
      <x:c r="Q12" s="14" t="n">
        <x:f>K12+M12*N12</x:f>
        <x:v>48262.5</x:v>
      </x:c>
      <x:c r="R12" s="14" t="n">
        <x:f>K12+M12*O12</x:f>
        <x:v>70018.75</x:v>
      </x:c>
      <x:c r="S12" s="14" t="n">
        <x:f>K12+M12*P12</x:f>
        <x:v>91775</x:v>
      </x:c>
      <x:c r="T12" s="14" t="n">
        <x:v>4136</x:v>
      </x:c>
      <x:c r="U12" s="14" t="n">
        <x:f>K12-T12</x:f>
        <x:v>614</x:v>
      </x:c>
      <x:c r="V12" s="24" t="n">
        <x:f>IFERROR(U12/K12,"")</x:f>
        <x:v>0.12926315789473683</x:v>
      </x:c>
      <x:c r="W12" s="14" t="n">
        <x:v>0</x:v>
      </x:c>
      <x:c r="X12" s="14" t="n">
        <x:v>0</x:v>
      </x:c>
      <x:c r="Y12" s="14" t="n">
        <x:v>2155</x:v>
      </x:c>
      <x:c r="Z12" s="14" t="n">
        <x:v>1981</x:v>
      </x:c>
      <x:c r="AA12" s="14" t="n">
        <x:v>0</x:v>
      </x:c>
      <x:c r="AB12" s="16" t="str"/>
    </x:row>
    <x:row r="13">
      <x:c r="A13" t="n">
        <x:v>215</x:v>
      </x:c>
      <x:c r="B13" t="str">
        <x:v>215 - 2306 Visitor Center</x:v>
      </x:c>
      <x:c r="C13" t="str">
        <x:v>BKM Contruction LLC</x:v>
      </x:c>
      <x:c r="D13" t="str">
        <x:v>Waiting on A/R</x:v>
      </x:c>
      <x:c r="E13" t="str">
        <x:v>Collections only</x:v>
      </x:c>
      <x:c r="F13" t="str"/>
      <x:c r="G13" t="str"/>
      <x:c r="H13" s="14" t="n">
        <x:v>12720</x:v>
      </x:c>
      <x:c r="I13" s="14" t="n">
        <x:v>12720</x:v>
      </x:c>
      <x:c r="J13" s="14" t="n">
        <x:v>12720</x:v>
      </x:c>
      <x:c r="K13" s="14" t="n">
        <x:v>12720</x:v>
      </x:c>
      <x:c r="L13" s="14" t="n">
        <x:v>12720</x:v>
      </x:c>
      <x:c r="M13" s="14" t="n">
        <x:f>MAX(0,H13-J13)</x:f>
        <x:v>0</x:v>
      </x:c>
      <x:c r="N13" s="24" t="n">
        <x:v>0</x:v>
      </x:c>
      <x:c r="O13" s="24" t="n">
        <x:v>0</x:v>
      </x:c>
      <x:c r="P13" s="24" t="n">
        <x:v>0</x:v>
      </x:c>
      <x:c r="Q13" s="14" t="n">
        <x:f>K13+M13*N13</x:f>
        <x:v>12720</x:v>
      </x:c>
      <x:c r="R13" s="14" t="n">
        <x:f>K13+M13*O13</x:f>
        <x:v>12720</x:v>
      </x:c>
      <x:c r="S13" s="14" t="n">
        <x:f>K13+M13*P13</x:f>
        <x:v>12720</x:v>
      </x:c>
      <x:c r="T13" s="14" t="n">
        <x:v>8002.59</x:v>
      </x:c>
      <x:c r="U13" s="14" t="n">
        <x:f>K13-T13</x:f>
        <x:v>4717.41</x:v>
      </x:c>
      <x:c r="V13" s="24" t="n">
        <x:f>IFERROR(U13/K13,"")</x:f>
        <x:v>0.37086556603773585</x:v>
      </x:c>
      <x:c r="W13" s="14" t="n">
        <x:v>4790.889999999999</x:v>
      </x:c>
      <x:c r="X13" s="14" t="n">
        <x:v>0</x:v>
      </x:c>
      <x:c r="Y13" s="14" t="n">
        <x:v>3211.7</x:v>
      </x:c>
      <x:c r="Z13" s="14" t="n">
        <x:v>0</x:v>
      </x:c>
      <x:c r="AA13" s="14" t="n">
        <x:v>0</x:v>
      </x:c>
      <x:c r="AB13" s="16" t="str">
        <x:v>Moved to Waiting on A/R per your update; no future revenue projected unless additional scope is added.</x:v>
      </x:c>
    </x:row>
    <x:row r="14">
      <x:c r="A14" t="n">
        <x:v>216</x:v>
      </x:c>
      <x:c r="B14" t="str">
        <x:v>216 - Unilever Phase II Demo</x:v>
      </x:c>
      <x:c r="C14" t="str">
        <x:v>Purdum</x:v>
      </x:c>
      <x:c r="D14" t="str">
        <x:v>Waiting on A/R</x:v>
      </x:c>
      <x:c r="E14" t="str">
        <x:v>Collections only</x:v>
      </x:c>
      <x:c r="F14" t="str">
        <x:v>03/31/2026</x:v>
      </x:c>
      <x:c r="G14" t="str"/>
      <x:c r="H14" s="14" t="n">
        <x:v>3478.7</x:v>
      </x:c>
      <x:c r="I14" s="14" t="str">
        <x:v>J216 PA002 May 2026</x:v>
      </x:c>
      <x:c r="J14" s="14" t="n">
        <x:v>3478.7</x:v>
      </x:c>
      <x:c r="K14" s="14" t="n">
        <x:v>3478.7</x:v>
      </x:c>
      <x:c r="L14" s="14" t="n">
        <x:v>3478.7</x:v>
      </x:c>
      <x:c r="M14" s="14" t="n">
        <x:f>MAX(0,H14-J14)</x:f>
        <x:v>0</x:v>
      </x:c>
      <x:c r="N14" s="24" t="n">
        <x:v>0</x:v>
      </x:c>
      <x:c r="O14" s="24" t="n">
        <x:v>0</x:v>
      </x:c>
      <x:c r="P14" s="24" t="n">
        <x:v>0</x:v>
      </x:c>
      <x:c r="Q14" s="14" t="n">
        <x:f>K14+M14*N14</x:f>
        <x:v>3478.7</x:v>
      </x:c>
      <x:c r="R14" s="14" t="n">
        <x:f>K14+M14*O14</x:f>
        <x:v>3478.7</x:v>
      </x:c>
      <x:c r="S14" s="14" t="n">
        <x:f>K14+M14*P14</x:f>
        <x:v>3478.7</x:v>
      </x:c>
      <x:c r="T14" s="14" t="n">
        <x:v>2824.02</x:v>
      </x:c>
      <x:c r="U14" s="14" t="n">
        <x:f>K14-T14</x:f>
        <x:v>654.6799999999998</x:v>
      </x:c>
      <x:c r="V14" s="24" t="n">
        <x:f>IFERROR(U14/K14,"")</x:f>
        <x:v>0.18819674016155458</x:v>
      </x:c>
      <x:c r="W14" s="14" t="n">
        <x:v>1213.05</x:v>
      </x:c>
      <x:c r="X14" s="14" t="n">
        <x:v>1105</x:v>
      </x:c>
      <x:c r="Y14" s="14" t="n">
        <x:v>505.97</x:v>
      </x:c>
      <x:c r="Z14" s="14" t="n">
        <x:v>0</x:v>
      </x:c>
      <x:c r="AA14" s="14" t="n">
        <x:v>0</x:v>
      </x:c>
      <x:c r="AB14" s="16" t="str">
        <x:v>Moved to Waiting on A/R per your update; no future revenue projected unless additional scope is added.</x:v>
      </x:c>
    </x:row>
    <x:row r="15">
      <x:c r="A15" t="n">
        <x:v>217</x:v>
      </x:c>
      <x:c r="B15" t="str">
        <x:v>217 - Catalent Summer 2026 Shutdown</x:v>
      </x:c>
      <x:c r="C15" t="str">
        <x:v>Purdum</x:v>
      </x:c>
      <x:c r="D15" t="str">
        <x:v>In Progress</x:v>
      </x:c>
      <x:c r="E15" t="str">
        <x:v>Needs contract</x:v>
      </x:c>
      <x:c r="F15" t="str">
        <x:v>03/31/2026</x:v>
      </x:c>
      <x:c r="G15" t="str"/>
      <x:c r="H15" s="14" t="str"/>
      <x:c r="I15" s="14" t="str"/>
      <x:c r="J15" s="14" t="n">
        <x:v>0</x:v>
      </x:c>
      <x:c r="K15" s="14" t="n">
        <x:v>0</x:v>
      </x:c>
      <x:c r="L15" s="14" t="n">
        <x:v>0</x:v>
      </x:c>
      <x:c r="M15" s="14" t="n">
        <x:f>MAX(0,H15-J15)</x:f>
        <x:v>0</x:v>
      </x:c>
      <x:c r="N15" s="24" t="n">
        <x:v>0</x:v>
      </x:c>
      <x:c r="O15" s="24" t="n">
        <x:v>0</x:v>
      </x:c>
      <x:c r="P15" s="24" t="n">
        <x:v>0</x:v>
      </x:c>
      <x:c r="Q15" s="14" t="n">
        <x:f>K15+M15*N15</x:f>
        <x:v>0</x:v>
      </x:c>
      <x:c r="R15" s="14" t="n">
        <x:f>K15+M15*O15</x:f>
        <x:v>0</x:v>
      </x:c>
      <x:c r="S15" s="14" t="n">
        <x:f>K15+M15*P15</x:f>
        <x:v>0</x:v>
      </x:c>
      <x:c r="T15" s="14" t="n">
        <x:v>0</x:v>
      </x:c>
      <x:c r="U15" s="14" t="n">
        <x:f>K15-T15</x:f>
        <x:v>0</x:v>
      </x:c>
      <x:c r="V15" s="24" t="str">
        <x:f>IFERROR(U15/K15,"")</x:f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6" t="str">
        <x:v>Needs contract/budget amount and expected 2026 billing.</x:v>
      </x:c>
    </x:row>
    <x:row r="16">
      <x:c r="A16" t="n">
        <x:v>218</x:v>
      </x:c>
      <x:c r="B16" t="str">
        <x:v>218 - Dole Grand Jury Room - Water Damage</x:v>
      </x:c>
      <x:c r="C16" t="str">
        <x:v>U.S. General Services Administration</x:v>
      </x:c>
      <x:c r="D16" t="str">
        <x:v>Waiting on A/R</x:v>
      </x:c>
      <x:c r="E16" t="str">
        <x:v>Collections only</x:v>
      </x:c>
      <x:c r="F16" t="str"/>
      <x:c r="G16" t="str"/>
      <x:c r="H16" s="14" t="n">
        <x:v>10999.55</x:v>
      </x:c>
      <x:c r="I16" s="14" t="n">
        <x:v>10999.55</x:v>
      </x:c>
      <x:c r="J16" s="14" t="n">
        <x:v>10999.55</x:v>
      </x:c>
      <x:c r="K16" s="14" t="n">
        <x:v>10999.55</x:v>
      </x:c>
      <x:c r="L16" s="14" t="n">
        <x:v>10999.55</x:v>
      </x:c>
      <x:c r="M16" s="14" t="n">
        <x:f>MAX(0,H16-J16)</x:f>
        <x:v>0</x:v>
      </x:c>
      <x:c r="N16" s="24" t="n">
        <x:v>0</x:v>
      </x:c>
      <x:c r="O16" s="24" t="n">
        <x:v>0</x:v>
      </x:c>
      <x:c r="P16" s="24" t="n">
        <x:v>0</x:v>
      </x:c>
      <x:c r="Q16" s="14" t="n">
        <x:f>K16+M16*N16</x:f>
        <x:v>10999.55</x:v>
      </x:c>
      <x:c r="R16" s="14" t="n">
        <x:f>K16+M16*O16</x:f>
        <x:v>10999.55</x:v>
      </x:c>
      <x:c r="S16" s="14" t="n">
        <x:f>K16+M16*P16</x:f>
        <x:v>10999.55</x:v>
      </x:c>
      <x:c r="T16" s="14" t="n">
        <x:v>4098.860000000001</x:v>
      </x:c>
      <x:c r="U16" s="14" t="n">
        <x:f>K16-T16</x:f>
        <x:v>6900.689999999999</x:v>
      </x:c>
      <x:c r="V16" s="24" t="n">
        <x:f>IFERROR(U16/K16,"")</x:f>
        <x:v>0.6273611193185175</x:v>
      </x:c>
      <x:c r="W16" s="14" t="n">
        <x:v>2862.0099999999998</x:v>
      </x:c>
      <x:c r="X16" s="14" t="n">
        <x:v>0</x:v>
      </x:c>
      <x:c r="Y16" s="14" t="n">
        <x:v>1236.8500000000001</x:v>
      </x:c>
      <x:c r="Z16" s="14" t="n">
        <x:v>0</x:v>
      </x:c>
      <x:c r="AA16" s="14" t="n">
        <x:v>0</x:v>
      </x:c>
      <x:c r="AB16" s="16" t="str">
        <x:v>Moved to Waiting on A/R per your update; no future revenue projected unless additional scope is added.</x:v>
      </x:c>
    </x:row>
    <x:row r="17">
      <x:c r="A17" t="n">
        <x:v>219</x:v>
      </x:c>
      <x:c r="B17" t="str">
        <x:v>219 - T&amp;M Partitions @ Fox Ridge</x:v>
      </x:c>
      <x:c r="C17" t="str">
        <x:v>CWA Specialties, INC.</x:v>
      </x:c>
      <x:c r="D17" t="str">
        <x:v>Waiting on A/R</x:v>
      </x:c>
      <x:c r="E17" t="str">
        <x:v>Collections only</x:v>
      </x:c>
      <x:c r="F17" t="str"/>
      <x:c r="G17" t="str"/>
      <x:c r="H17" s="14" t="n">
        <x:v>1323</x:v>
      </x:c>
      <x:c r="I17" s="14" t="n">
        <x:v>1323</x:v>
      </x:c>
      <x:c r="J17" s="14" t="n">
        <x:v>1323</x:v>
      </x:c>
      <x:c r="K17" s="14" t="n">
        <x:v>1323</x:v>
      </x:c>
      <x:c r="L17" s="14" t="n">
        <x:v>1323</x:v>
      </x:c>
      <x:c r="M17" s="14" t="n">
        <x:f>MAX(0,H17-J17)</x:f>
        <x:v>0</x:v>
      </x:c>
      <x:c r="N17" s="24" t="n">
        <x:v>0</x:v>
      </x:c>
      <x:c r="O17" s="24" t="n">
        <x:v>0</x:v>
      </x:c>
      <x:c r="P17" s="24" t="n">
        <x:v>0</x:v>
      </x:c>
      <x:c r="Q17" s="14" t="n">
        <x:f>K17+M17*N17</x:f>
        <x:v>1323</x:v>
      </x:c>
      <x:c r="R17" s="14" t="n">
        <x:f>K17+M17*O17</x:f>
        <x:v>1323</x:v>
      </x:c>
      <x:c r="S17" s="14" t="n">
        <x:f>K17+M17*P17</x:f>
        <x:v>1323</x:v>
      </x:c>
      <x:c r="T17" s="14" t="n">
        <x:v>918.54</x:v>
      </x:c>
      <x:c r="U17" s="14" t="n">
        <x:f>K17-T17</x:f>
        <x:v>404.46000000000004</x:v>
      </x:c>
      <x:c r="V17" s="24" t="n">
        <x:f>IFERROR(U17/K17,"")</x:f>
        <x:v>0.3057142857142857</x:v>
      </x:c>
      <x:c r="W17" s="14" t="n">
        <x:v>909.8</x:v>
      </x:c>
      <x:c r="X17" s="14" t="n">
        <x:v>0</x:v>
      </x:c>
      <x:c r="Y17" s="14" t="n">
        <x:v>8.74</x:v>
      </x:c>
      <x:c r="Z17" s="14" t="n">
        <x:v>0</x:v>
      </x:c>
      <x:c r="AA17" s="14" t="n">
        <x:v>0</x:v>
      </x:c>
      <x:c r="AB17" s="16" t="str">
        <x:v>Moved to Waiting on A/R per your update; no future revenue projected unless additional scope is added.</x:v>
      </x:c>
    </x:row>
    <x:row r="18">
      <x:c r="A18" t="n">
        <x:v>220</x:v>
      </x:c>
      <x:c r="B18" t="str">
        <x:v>220 - KC VA Medical Center</x:v>
      </x:c>
      <x:c r="C18" t="str">
        <x:v>U.S. General Services Administration</x:v>
      </x:c>
      <x:c r="D18" t="str">
        <x:v>In Progress</x:v>
      </x:c>
      <x:c r="E18" t="str">
        <x:v>Needs contract</x:v>
      </x:c>
      <x:c r="F18" t="str"/>
      <x:c r="G18" t="str"/>
      <x:c r="H18" s="14" t="str"/>
      <x:c r="I18" s="14" t="str"/>
      <x:c r="J18" s="14" t="n">
        <x:v>0</x:v>
      </x:c>
      <x:c r="K18" s="14" t="n">
        <x:v>0</x:v>
      </x:c>
      <x:c r="L18" s="14" t="n">
        <x:v>0</x:v>
      </x:c>
      <x:c r="M18" s="14" t="n">
        <x:f>MAX(0,H18-J18)</x:f>
        <x:v>0</x:v>
      </x:c>
      <x:c r="N18" s="24" t="n">
        <x:v>0</x:v>
      </x:c>
      <x:c r="O18" s="24" t="n">
        <x:v>0</x:v>
      </x:c>
      <x:c r="P18" s="24" t="n">
        <x:v>0</x:v>
      </x:c>
      <x:c r="Q18" s="14" t="n">
        <x:f>K18+M18*N18</x:f>
        <x:v>0</x:v>
      </x:c>
      <x:c r="R18" s="14" t="n">
        <x:f>K18+M18*O18</x:f>
        <x:v>0</x:v>
      </x:c>
      <x:c r="S18" s="14" t="n">
        <x:f>K18+M18*P18</x:f>
        <x:v>0</x:v>
      </x:c>
      <x:c r="T18" s="14" t="n">
        <x:v>0</x:v>
      </x:c>
      <x:c r="U18" s="14" t="n">
        <x:f>K18-T18</x:f>
        <x:v>0</x:v>
      </x:c>
      <x:c r="V18" s="24" t="str">
        <x:f>IFERROR(U18/K18,"")</x:f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6" t="str">
        <x:v>Needs contract/budget amount and expected 2026 billing.</x:v>
      </x:c>
    </x:row>
    <x:row r="19">
      <x:c r="A19" t="n">
        <x:v>221</x:v>
      </x:c>
      <x:c r="B19" t="str">
        <x:v>221 - Whitaker USMS Vault Door</x:v>
      </x:c>
      <x:c r="C19" t="str">
        <x:v>BKM Contruction LLC</x:v>
      </x:c>
      <x:c r="D19" t="str">
        <x:v>Waiting on A/R</x:v>
      </x:c>
      <x:c r="E19" t="str">
        <x:v>Collections only</x:v>
      </x:c>
      <x:c r="F19" t="str">
        <x:v>04/26/2026</x:v>
      </x:c>
      <x:c r="G19" t="str"/>
      <x:c r="H19" s="14" t="n">
        <x:v>600</x:v>
      </x:c>
      <x:c r="I19" s="14" t="n">
        <x:v>600</x:v>
      </x:c>
      <x:c r="J19" s="14" t="n">
        <x:v>600</x:v>
      </x:c>
      <x:c r="K19" s="14" t="n">
        <x:v>600</x:v>
      </x:c>
      <x:c r="L19" s="14" t="n">
        <x:v>600</x:v>
      </x:c>
      <x:c r="M19" s="14" t="n">
        <x:f>MAX(0,H19-J19)</x:f>
        <x:v>0</x:v>
      </x:c>
      <x:c r="N19" s="24" t="n">
        <x:v>0</x:v>
      </x:c>
      <x:c r="O19" s="24" t="n">
        <x:v>0</x:v>
      </x:c>
      <x:c r="P19" s="24" t="n">
        <x:v>0</x:v>
      </x:c>
      <x:c r="Q19" s="14" t="n">
        <x:f>K19+M19*N19</x:f>
        <x:v>600</x:v>
      </x:c>
      <x:c r="R19" s="14" t="n">
        <x:f>K19+M19*O19</x:f>
        <x:v>600</x:v>
      </x:c>
      <x:c r="S19" s="14" t="n">
        <x:f>K19+M19*P19</x:f>
        <x:v>600</x:v>
      </x:c>
      <x:c r="T19" s="14" t="n">
        <x:v>151.24</x:v>
      </x:c>
      <x:c r="U19" s="14" t="n">
        <x:f>K19-T19</x:f>
        <x:v>448.76</x:v>
      </x:c>
      <x:c r="V19" s="24" t="n">
        <x:f>IFERROR(U19/K19,"")</x:f>
        <x:v>0.7479333333333333</x:v>
      </x:c>
      <x:c r="W19" s="14" t="n">
        <x:v>151.24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6" t="str">
        <x:v>Moved to Waiting on A/R per your update; no future revenue projected unless additional scope is added.</x:v>
      </x:c>
    </x:row>
    <x:row r="20">
      <x:c r="A20" t="n">
        <x:v>222</x:v>
      </x:c>
      <x:c r="B20" t="str">
        <x:v>222 - ISD Fairmount 26</x:v>
      </x:c>
      <x:c r="C20" t="str">
        <x:v>Newkirk Novak</x:v>
      </x:c>
      <x:c r="D20" t="str">
        <x:v>In Progress</x:v>
      </x:c>
      <x:c r="E20" t="str">
        <x:v>Forecast backlog</x:v>
      </x:c>
      <x:c r="F20" t="str">
        <x:v>04/26/2026</x:v>
      </x:c>
      <x:c r="G20" t="str"/>
      <x:c r="H20" s="14" t="n">
        <x:v>2010000</x:v>
      </x:c>
      <x:c r="I20" s="14" t="str">
        <x:v>J222 PA001 May 2026</x:v>
      </x:c>
      <x:c r="J20" s="14" t="n">
        <x:v>9500</x:v>
      </x:c>
      <x:c r="K20" s="14" t="n">
        <x:v>9500</x:v>
      </x:c>
      <x:c r="L20" s="14" t="n">
        <x:v>9500</x:v>
      </x:c>
      <x:c r="M20" s="14" t="n">
        <x:f>MAX(0,H20-J20)</x:f>
        <x:v>2000500</x:v>
      </x:c>
      <x:c r="N20" s="24" t="n">
        <x:v>0.5</x:v>
      </x:c>
      <x:c r="O20" s="24" t="n">
        <x:v>0.75</x:v>
      </x:c>
      <x:c r="P20" s="24" t="n">
        <x:v>1</x:v>
      </x:c>
      <x:c r="Q20" s="14" t="n">
        <x:f>K20+M20*N20</x:f>
        <x:v>1009750</x:v>
      </x:c>
      <x:c r="R20" s="14" t="n">
        <x:f>K20+M20*O20</x:f>
        <x:v>1509875</x:v>
      </x:c>
      <x:c r="S20" s="14" t="n">
        <x:f>K20+M20*P20</x:f>
        <x:v>2010000</x:v>
      </x:c>
      <x:c r="T20" s="14" t="n">
        <x:v>0</x:v>
      </x:c>
      <x:c r="U20" s="14" t="n">
        <x:f>K20-T20</x:f>
        <x:v>9500</x:v>
      </x:c>
      <x:c r="V20" s="24" t="n">
        <x:f>IFERROR(U20/K20,"")</x:f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6" t="str">
        <x:v>PA001: $2.01M contract; first billing only, large remaining 2026 backlog.</x:v>
      </x:c>
    </x:row>
    <x:row r="21">
      <x:c r="A21" t="n">
        <x:v>223</x:v>
      </x:c>
      <x:c r="B21" t="str">
        <x:v>223 - Kearney Deferred Maint</x:v>
      </x:c>
      <x:c r="C21" t="str">
        <x:v>Newkirk Novak</x:v>
      </x:c>
      <x:c r="D21" t="str">
        <x:v>In Progress</x:v>
      </x:c>
      <x:c r="E21" t="str">
        <x:v>Forecast backlog</x:v>
      </x:c>
      <x:c r="F21" t="str">
        <x:v>05/16/2026</x:v>
      </x:c>
      <x:c r="G21" t="str"/>
      <x:c r="H21" s="14" t="n">
        <x:v>10550</x:v>
      </x:c>
      <x:c r="I21" s="14" t="str">
        <x:v>J223 PA001 May 2026</x:v>
      </x:c>
      <x:c r="J21" s="14" t="n">
        <x:v>4000</x:v>
      </x:c>
      <x:c r="K21" s="14" t="n">
        <x:v>4000</x:v>
      </x:c>
      <x:c r="L21" s="14" t="n">
        <x:v>4000</x:v>
      </x:c>
      <x:c r="M21" s="14" t="n">
        <x:f>MAX(0,H21-J21)</x:f>
        <x:v>6550</x:v>
      </x:c>
      <x:c r="N21" s="24" t="n">
        <x:v>0.75</x:v>
      </x:c>
      <x:c r="O21" s="24" t="n">
        <x:v>1</x:v>
      </x:c>
      <x:c r="P21" s="24" t="n">
        <x:v>1</x:v>
      </x:c>
      <x:c r="Q21" s="14" t="n">
        <x:f>K21+M21*N21</x:f>
        <x:v>8912.5</x:v>
      </x:c>
      <x:c r="R21" s="14" t="n">
        <x:f>K21+M21*O21</x:f>
        <x:v>10550</x:v>
      </x:c>
      <x:c r="S21" s="14" t="n">
        <x:f>K21+M21*P21</x:f>
        <x:v>10550</x:v>
      </x:c>
      <x:c r="T21" s="14" t="n">
        <x:v>0</x:v>
      </x:c>
      <x:c r="U21" s="14" t="n">
        <x:f>K21-T21</x:f>
        <x:v>4000</x:v>
      </x:c>
      <x:c r="V21" s="24" t="n">
        <x:f>IFERROR(U21/K21,"")</x:f>
        <x:v>1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6" t="str">
        <x:v>PA001 added: $10,550 contract, $6,550 remaining; in progress.</x:v>
      </x:c>
    </x:row>
    <x:row r="22">
      <x:c r="A22" t="n">
        <x:v>224</x:v>
      </x:c>
      <x:c r="B22" t="str">
        <x:v>224 - KUMC Research</x:v>
      </x:c>
      <x:c r="C22" t="str">
        <x:v>XEC</x:v>
      </x:c>
      <x:c r="D22" t="str">
        <x:v>In Progress</x:v>
      </x:c>
      <x:c r="E22" t="str">
        <x:v>Forecast backlog</x:v>
      </x:c>
      <x:c r="F22" t="str"/>
      <x:c r="G22" t="str"/>
      <x:c r="H22" s="14" t="n">
        <x:v>5113.9</x:v>
      </x:c>
      <x:c r="I22" s="14" t="n">
        <x:v>5113.9</x:v>
      </x:c>
      <x:c r="J22" s="14" t="n">
        <x:v>5113.9</x:v>
      </x:c>
      <x:c r="K22" s="14" t="n">
        <x:v>5113.9</x:v>
      </x:c>
      <x:c r="L22" s="14" t="n">
        <x:v>5113.9</x:v>
      </x:c>
      <x:c r="M22" s="14" t="n">
        <x:f>MAX(0,H22-J22)</x:f>
        <x:v>0</x:v>
      </x:c>
      <x:c r="N22" s="24" t="n">
        <x:v>0.5</x:v>
      </x:c>
      <x:c r="O22" s="24" t="n">
        <x:v>0.75</x:v>
      </x:c>
      <x:c r="P22" s="24" t="n">
        <x:v>1</x:v>
      </x:c>
      <x:c r="Q22" s="14" t="n">
        <x:f>K22+M22*N22</x:f>
        <x:v>5113.9</x:v>
      </x:c>
      <x:c r="R22" s="14" t="n">
        <x:f>K22+M22*O22</x:f>
        <x:v>5113.9</x:v>
      </x:c>
      <x:c r="S22" s="14" t="n">
        <x:f>K22+M22*P22</x:f>
        <x:v>5113.9</x:v>
      </x:c>
      <x:c r="T22" s="14" t="n">
        <x:v>298.94</x:v>
      </x:c>
      <x:c r="U22" s="14" t="n">
        <x:f>K22-T22</x:f>
        <x:v>4814.96</x:v>
      </x:c>
      <x:c r="V22" s="24" t="n">
        <x:f>IFERROR(U22/K22,"")</x:f>
        <x:v>0.9415436359725455</x:v>
      </x:c>
      <x:c r="W22" s="14" t="n">
        <x:v>0</x:v>
      </x:c>
      <x:c r="X22" s="14" t="n">
        <x:v>0</x:v>
      </x:c>
      <x:c r="Y22" s="14" t="n">
        <x:v>298.94</x:v>
      </x:c>
      <x:c r="Z22" s="14" t="n">
        <x:v>0</x:v>
      </x:c>
      <x:c r="AA22" s="14" t="n">
        <x:v>0</x:v>
      </x:c>
      <x:c r="AB22" s="16" t="str">
        <x:v>In Progress per your update; needs contract/remaining 2026 billing to forecast beyond billed-to-date.</x:v>
      </x:c>
    </x:row>
    <x:row r="23">
      <x:c r="A23" t="n">
        <x:v>225</x:v>
      </x:c>
      <x:c r="B23" t="str">
        <x:v>225 - LV VA Bldg-89</x:v>
      </x:c>
      <x:c r="C23" t="str">
        <x:v>BKM Contruction LLC</x:v>
      </x:c>
      <x:c r="D23" t="str">
        <x:v>In Progress</x:v>
      </x:c>
      <x:c r="E23" t="str">
        <x:v>Needs contract</x:v>
      </x:c>
      <x:c r="F23" t="str"/>
      <x:c r="G23" t="str"/>
      <x:c r="H23" s="14" t="str"/>
      <x:c r="I23" s="14" t="str"/>
      <x:c r="J23" s="14" t="n">
        <x:v>0</x:v>
      </x:c>
      <x:c r="K23" s="14" t="n">
        <x:v>0</x:v>
      </x:c>
      <x:c r="L23" s="14" t="n">
        <x:v>0</x:v>
      </x:c>
      <x:c r="M23" s="14" t="n">
        <x:f>MAX(0,H23-J23)</x:f>
        <x:v>0</x:v>
      </x:c>
      <x:c r="N23" s="24" t="n">
        <x:v>0</x:v>
      </x:c>
      <x:c r="O23" s="24" t="n">
        <x:v>0</x:v>
      </x:c>
      <x:c r="P23" s="24" t="n">
        <x:v>0</x:v>
      </x:c>
      <x:c r="Q23" s="14" t="n">
        <x:f>K23+M23*N23</x:f>
        <x:v>0</x:v>
      </x:c>
      <x:c r="R23" s="14" t="n">
        <x:f>K23+M23*O23</x:f>
        <x:v>0</x:v>
      </x:c>
      <x:c r="S23" s="14" t="n">
        <x:f>K23+M23*P23</x:f>
        <x:v>0</x:v>
      </x:c>
      <x:c r="T23" s="14" t="n">
        <x:v>0</x:v>
      </x:c>
      <x:c r="U23" s="14" t="n">
        <x:f>K23-T23</x:f>
        <x:v>0</x:v>
      </x:c>
      <x:c r="V23" s="24" t="str">
        <x:f>IFERROR(U23/K23,"")</x:f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4" t="n">
        <x:v>0</x:v>
      </x:c>
      <x:c r="AB23" s="16" t="str">
        <x:v>Needs contract/budget amount and expected 2026 billing.</x:v>
      </x:c>
    </x:row>
    <x:row r="24">
      <x:c r="A24" t="n">
        <x:v>226</x:v>
      </x:c>
      <x:c r="B24" t="str">
        <x:v>226 - Stowers Grad Classroom Ceilings</x:v>
      </x:c>
      <x:c r="C24" t="str">
        <x:v>Stowers Institute</x:v>
      </x:c>
      <x:c r="D24" t="str">
        <x:v>In Progress</x:v>
      </x:c>
      <x:c r="E24" t="str">
        <x:v>Needs contract</x:v>
      </x:c>
      <x:c r="F24" t="str"/>
      <x:c r="G24" t="str"/>
      <x:c r="H24" s="14" t="str"/>
      <x:c r="I24" s="14" t="str"/>
      <x:c r="J24" s="14" t="n">
        <x:v>0</x:v>
      </x:c>
      <x:c r="K24" s="14" t="n">
        <x:v>0</x:v>
      </x:c>
      <x:c r="L24" s="14" t="n">
        <x:v>0</x:v>
      </x:c>
      <x:c r="M24" s="14" t="n">
        <x:f>MAX(0,H24-J24)</x:f>
        <x:v>0</x:v>
      </x:c>
      <x:c r="N24" s="24" t="n">
        <x:v>0</x:v>
      </x:c>
      <x:c r="O24" s="24" t="n">
        <x:v>0</x:v>
      </x:c>
      <x:c r="P24" s="24" t="n">
        <x:v>0</x:v>
      </x:c>
      <x:c r="Q24" s="14" t="n">
        <x:f>K24+M24*N24</x:f>
        <x:v>0</x:v>
      </x:c>
      <x:c r="R24" s="14" t="n">
        <x:f>K24+M24*O24</x:f>
        <x:v>0</x:v>
      </x:c>
      <x:c r="S24" s="14" t="n">
        <x:f>K24+M24*P24</x:f>
        <x:v>0</x:v>
      </x:c>
      <x:c r="T24" s="14" t="n">
        <x:v>0</x:v>
      </x:c>
      <x:c r="U24" s="14" t="n">
        <x:f>K24-T24</x:f>
        <x:v>0</x:v>
      </x:c>
      <x:c r="V24" s="24" t="str">
        <x:f>IFERROR(U24/K24,"")</x:f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6" t="str">
        <x:v>Needs contract/budget amount and expected 2026 billing.</x:v>
      </x:c>
    </x:row>
    <x:row r="25">
      <x:c r="A25" t="n">
        <x:v>227</x:v>
      </x:c>
      <x:c r="B25" t="str">
        <x:v>227 - Dole Misc Painting 4th &amp; 6th</x:v>
      </x:c>
      <x:c r="C25" t="str">
        <x:v>U.S. General Services Administration</x:v>
      </x:c>
      <x:c r="D25" t="str">
        <x:v>In Progress</x:v>
      </x:c>
      <x:c r="E25" t="str">
        <x:v>Needs contract</x:v>
      </x:c>
      <x:c r="F25" t="str"/>
      <x:c r="G25" t="str"/>
      <x:c r="H25" s="14" t="str"/>
      <x:c r="I25" s="14" t="str"/>
      <x:c r="J25" s="14" t="n">
        <x:v>0</x:v>
      </x:c>
      <x:c r="K25" s="14" t="n">
        <x:v>0</x:v>
      </x:c>
      <x:c r="L25" s="14" t="n">
        <x:v>0</x:v>
      </x:c>
      <x:c r="M25" s="14" t="n">
        <x:f>MAX(0,H25-J25)</x:f>
        <x:v>0</x:v>
      </x:c>
      <x:c r="N25" s="24" t="n">
        <x:v>0</x:v>
      </x:c>
      <x:c r="O25" s="24" t="n">
        <x:v>0</x:v>
      </x:c>
      <x:c r="P25" s="24" t="n">
        <x:v>0</x:v>
      </x:c>
      <x:c r="Q25" s="14" t="n">
        <x:f>K25+M25*N25</x:f>
        <x:v>0</x:v>
      </x:c>
      <x:c r="R25" s="14" t="n">
        <x:f>K25+M25*O25</x:f>
        <x:v>0</x:v>
      </x:c>
      <x:c r="S25" s="14" t="n">
        <x:f>K25+M25*P25</x:f>
        <x:v>0</x:v>
      </x:c>
      <x:c r="T25" s="14" t="n">
        <x:v>0</x:v>
      </x:c>
      <x:c r="U25" s="14" t="n">
        <x:f>K25-T25</x:f>
        <x:v>0</x:v>
      </x:c>
      <x:c r="V25" s="24" t="str">
        <x:f>IFERROR(U25/K25,"")</x:f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4" t="n">
        <x:v>0</x:v>
      </x:c>
      <x:c r="AB25" s="16" t="str">
        <x:v>Needs contract/budget amount and expected 2026 billing.</x:v>
      </x:c>
    </x:row>
    <x:row r="26">
      <x:c r="A26" t="n">
        <x:v>228</x:v>
      </x:c>
      <x:c r="B26" t="str">
        <x:v>228 - Third Space Yoga Studio</x:v>
      </x:c>
      <x:c r="C26" t="str">
        <x:v>Third Space Studio</x:v>
      </x:c>
      <x:c r="D26" t="str">
        <x:v>In Progress</x:v>
      </x:c>
      <x:c r="E26" t="str">
        <x:v>Needs contract</x:v>
      </x:c>
      <x:c r="F26" t="str"/>
      <x:c r="G26" t="str"/>
      <x:c r="H26" s="14" t="str"/>
      <x:c r="I26" s="14" t="str"/>
      <x:c r="J26" s="14" t="n">
        <x:v>0</x:v>
      </x:c>
      <x:c r="K26" s="14" t="n">
        <x:v>0</x:v>
      </x:c>
      <x:c r="L26" s="14" t="n">
        <x:v>0</x:v>
      </x:c>
      <x:c r="M26" s="14" t="n">
        <x:f>MAX(0,H26-J26)</x:f>
        <x:v>0</x:v>
      </x:c>
      <x:c r="N26" s="24" t="n">
        <x:v>0</x:v>
      </x:c>
      <x:c r="O26" s="24" t="n">
        <x:v>0</x:v>
      </x:c>
      <x:c r="P26" s="24" t="n">
        <x:v>0</x:v>
      </x:c>
      <x:c r="Q26" s="14" t="n">
        <x:f>K26+M26*N26</x:f>
        <x:v>0</x:v>
      </x:c>
      <x:c r="R26" s="14" t="n">
        <x:f>K26+M26*O26</x:f>
        <x:v>0</x:v>
      </x:c>
      <x:c r="S26" s="14" t="n">
        <x:f>K26+M26*P26</x:f>
        <x:v>0</x:v>
      </x:c>
      <x:c r="T26" s="14" t="n">
        <x:v>0</x:v>
      </x:c>
      <x:c r="U26" s="14" t="n">
        <x:f>K26-T26</x:f>
        <x:v>0</x:v>
      </x:c>
      <x:c r="V26" s="24" t="str">
        <x:f>IFERROR(U26/K26,"")</x:f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4" t="n">
        <x:v>0</x:v>
      </x:c>
      <x:c r="AB26" s="16" t="str">
        <x:v>Needs contract/budget amount and expected 2026 billing.</x:v>
      </x:c>
    </x:row>
    <x:row r="27">
      <x:c r="A27" t="n">
        <x:v>229</x:v>
      </x:c>
      <x:c r="B27" t="str">
        <x:v>229 - Gardenview</x:v>
      </x:c>
      <x:c r="C27"/>
      <x:c r="D27" t="str">
        <x:v>PreCon</x:v>
      </x:c>
      <x:c r="E27" t="str">
        <x:v>PreCon forecast</x:v>
      </x:c>
      <x:c r="F27" t="str"/>
      <x:c r="G27" t="str"/>
      <x:c r="H27" s="14" t="str"/>
      <x:c r="I27" s="14" t="str"/>
      <x:c r="J27" s="14" t="n">
        <x:v>0</x:v>
      </x:c>
      <x:c r="K27" s="14" t="n">
        <x:v>0</x:v>
      </x:c>
      <x:c r="L27" s="14" t="n">
        <x:v>0</x:v>
      </x:c>
      <x:c r="M27" s="14" t="n">
        <x:f>MAX(0,H27-J27)</x:f>
        <x:v>0</x:v>
      </x:c>
      <x:c r="N27" s="24" t="n">
        <x:v>0.25</x:v>
      </x:c>
      <x:c r="O27" s="24" t="n">
        <x:v>0.5</x:v>
      </x:c>
      <x:c r="P27" s="24" t="n">
        <x:v>1</x:v>
      </x:c>
      <x:c r="Q27" s="14" t="n">
        <x:f>K27+M27*N27</x:f>
        <x:v>0</x:v>
      </x:c>
      <x:c r="R27" s="14" t="n">
        <x:f>K27+M27*O27</x:f>
        <x:v>0</x:v>
      </x:c>
      <x:c r="S27" s="14" t="n">
        <x:f>K27+M27*P27</x:f>
        <x:v>0</x:v>
      </x:c>
      <x:c r="T27" s="14" t="n">
        <x:v>0</x:v>
      </x:c>
      <x:c r="U27" s="14" t="n">
        <x:f>K27-T27</x:f>
        <x:v>0</x:v>
      </x:c>
      <x:c r="V27" s="24" t="str">
        <x:f>IFERROR(U27/K27,"")</x:f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0</x:v>
      </x:c>
      <x:c r="AB27" s="16" t="str">
        <x:v>Needs contract/budget amount and expected 2026 billing.</x:v>
      </x:c>
    </x:row>
  </x:sheetData>
  <x:conditionalFormatting sqref="D2:D27">
    <x:cfRule type="expression" dxfId="0" priority="1">
      <x:formula>$D2="Waiting on A/R"</x:formula>
    </x:cfRule>
    <x:cfRule type="expression" dxfId="1" priority="2">
      <x:formula>$D2="In Progress"</x:formula>
    </x:cfRule>
  </x:conditionalFormatting>
  <x:conditionalFormatting sqref="AB2:AB27">
    <x:cfRule type="expression" dxfId="2" priority="3">
      <x:formula>ISNUMBER(SEARCH("Needs contract",$AB2))</x:formula>
    </x:cfRule>
  </x:conditionalFormatting>
  <x:dataValidations count="1">
    <x:dataValidation type="list" sqref="D2:D27">
      <x:formula1>"In Progress,Waiting on A/R,PreCon,Complete,Closed,Needs contract"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258d2f5e364bae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38" hidden="0" customWidth="1"/>
    <x:col min="3" max="3" width="38" hidden="0" customWidth="1"/>
    <x:col min="10" max="10" width="50" hidden="0" customWidth="1"/>
  </x:cols>
  <x:sheetData>
    <x:row r="1">
      <x:c r="A1" s="26" t="str">
        <x:v>Job</x:v>
      </x:c>
      <x:c r="B1" s="26" t="str">
        <x:v>Project</x:v>
      </x:c>
      <x:c r="C1" s="26" t="str">
        <x:v>Source File</x:v>
      </x:c>
      <x:c r="D1" s="26" t="str">
        <x:v>Contract Sum</x:v>
      </x:c>
      <x:c r="E1" s="26" t="str">
        <x:v>Completed / Stored to Date</x:v>
      </x:c>
      <x:c r="F1" s="26" t="str">
        <x:v>Earned Less Retainage / Billed</x:v>
      </x:c>
      <x:c r="G1" s="26" t="str">
        <x:v>Current Due</x:v>
      </x:c>
      <x:c r="H1" s="26" t="str">
        <x:v>Balance to Finish</x:v>
      </x:c>
      <x:c r="I1" s="26" t="str">
        <x:v>Retainage to Date / Current</x:v>
      </x:c>
      <x:c r="J1" s="26" t="str">
        <x:v>Notes</x:v>
      </x:c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n">
        <x:v>158</x:v>
      </x:c>
      <x:c r="B2" t="str">
        <x:v>158 - Blue Valley CTE 2026</x:v>
      </x:c>
      <x:c r="C2" t="str">
        <x:v>J158 - PA002 - May 2026.pdf</x:v>
      </x:c>
      <x:c r="D2" s="14" t="n">
        <x:v>167660</x:v>
      </x:c>
      <x:c r="E2" s="14" t="n">
        <x:v>5765</x:v>
      </x:c>
      <x:c r="F2" s="14" t="n">
        <x:v>5188.5</x:v>
      </x:c>
      <x:c r="G2" s="14" t="n">
        <x:v>2594.25</x:v>
      </x:c>
      <x:c r="H2" s="14" t="n">
        <x:v>162471.5</x:v>
      </x:c>
      <x:c r="I2" s="14" t="n">
        <x:v>576.5</x:v>
      </x:c>
      <x:c r="J2" s="16" t="str">
        <x:v>CO included: $5,395; PA shows 3.44% complete.</x:v>
      </x:c>
    </x:row>
    <x:row r="3">
      <x:c r="A3" t="n">
        <x:v>197</x:v>
      </x:c>
      <x:c r="B3" t="str">
        <x:v>197 - Administrative Hallway Reno</x:v>
      </x:c>
      <x:c r="C3" t="str">
        <x:v>J197 PA005 - May 2026.xlsx</x:v>
      </x:c>
      <x:c r="D3" s="14" t="n">
        <x:v>28485</x:v>
      </x:c>
      <x:c r="E3" s="14" t="n">
        <x:v>28485</x:v>
      </x:c>
      <x:c r="F3" s="14" t="n">
        <x:v>28485</x:v>
      </x:c>
      <x:c r="G3" s="14" t="n">
        <x:v>6000</x:v>
      </x:c>
      <x:c r="H3" s="14" t="n">
        <x:v>0</x:v>
      </x:c>
      <x:c r="I3" s="14" t="n">
        <x:v>0</x:v>
      </x:c>
      <x:c r="J3" s="16" t="str">
        <x:v>Moved to Waiting on A/R; final/current $6,000 still open.</x:v>
      </x:c>
    </x:row>
    <x:row r="4">
      <x:c r="A4" t="n">
        <x:v>204</x:v>
      </x:c>
      <x:c r="B4" t="str">
        <x:v>204 - LightEdge Data Center</x:v>
      </x:c>
      <x:c r="C4" t="str">
        <x:v>J204 - Lightedge PA005 - MAY 2026.xlsx</x:v>
      </x:c>
      <x:c r="D4" s="14" t="n">
        <x:v>335450</x:v>
      </x:c>
      <x:c r="E4" s="14" t="n">
        <x:v>278601.25</x:v>
      </x:c>
      <x:c r="F4" s="14" t="n">
        <x:v>250741.13</x:v>
      </x:c>
      <x:c r="G4" s="14" t="n">
        <x:v>109302.53</x:v>
      </x:c>
      <x:c r="H4" s="14" t="n">
        <x:v>84708.88</x:v>
      </x:c>
      <x:c r="I4" s="14" t="n">
        <x:v>27860.13</x:v>
      </x:c>
      <x:c r="J4" s="16" t="str">
        <x:v>PA005; 83.1% complete. A/R includes current + prior open invoices.</x:v>
      </x:c>
    </x:row>
    <x:row r="5">
      <x:c r="A5" t="n">
        <x:v>206</x:v>
      </x:c>
      <x:c r="B5" t="str">
        <x:v>206 - LVV Heritage - 211A, 311A &amp; 317A</x:v>
      </x:c>
      <x:c r="C5" t="str">
        <x:v>J206 - PA004 - May-signed.pdf</x:v>
      </x:c>
      <x:c r="D5" s="14" t="n">
        <x:v>665000</x:v>
      </x:c>
      <x:c r="E5" s="14" t="n">
        <x:v>451923.8</x:v>
      </x:c>
      <x:c r="F5" s="14" t="n">
        <x:v>406731.43</x:v>
      </x:c>
      <x:c r="G5" s="14" t="n">
        <x:v>103745.93</x:v>
      </x:c>
      <x:c r="H5" s="14" t="n">
        <x:v>258268.57</x:v>
      </x:c>
      <x:c r="I5" s="14" t="n">
        <x:v>45192.38</x:v>
      </x:c>
      <x:c r="J5" s="16" t="str">
        <x:v>PA004; 68% complete; balance to finish includes retainage.</x:v>
      </x:c>
    </x:row>
    <x:row r="6">
      <x:c r="A6" t="n">
        <x:v>210</x:v>
      </x:c>
      <x:c r="B6" t="str">
        <x:v>210 - Benedictine Library Toilet Partitions</x:v>
      </x:c>
      <x:c r="C6" t="str">
        <x:v>J210 - Benedictine - PA001 - May.xlsx</x:v>
      </x:c>
      <x:c r="D6" s="14" t="n">
        <x:v>18760</x:v>
      </x:c>
      <x:c r="E6" s="14" t="n">
        <x:v>14070</x:v>
      </x:c>
      <x:c r="F6" s="14" t="n">
        <x:v>13366.5</x:v>
      </x:c>
      <x:c r="G6" s="14" t="n">
        <x:v>13366.5</x:v>
      </x:c>
      <x:c r="H6" s="14" t="n">
        <x:v>5393.5</x:v>
      </x:c>
      <x:c r="I6" s="14" t="n">
        <x:v>703.5</x:v>
      </x:c>
      <x:c r="J6" s="16" t="str">
        <x:v>PA001; 75% complete; retainage shown on G702.</x:v>
      </x:c>
    </x:row>
    <x:row r="7">
      <x:c r="A7" t="n">
        <x:v>216</x:v>
      </x:c>
      <x:c r="B7" t="str">
        <x:v>216 - Unilever Phase II Demo</x:v>
      </x:c>
      <x:c r="C7" t="str">
        <x:v>216 - PA002 - May.xlsx / signed PDF</x:v>
      </x:c>
      <x:c r="D7" s="14" t="n">
        <x:v>3478.7</x:v>
      </x:c>
      <x:c r="E7" s="14" t="n">
        <x:v>3478.7</x:v>
      </x:c>
      <x:c r="F7" s="14" t="n">
        <x:v>3478.7</x:v>
      </x:c>
      <x:c r="G7" s="14" t="n">
        <x:v>347.87</x:v>
      </x:c>
      <x:c r="H7" s="14" t="n">
        <x:v>0</x:v>
      </x:c>
      <x:c r="I7" s="14" t="n">
        <x:v>0</x:v>
      </x:c>
      <x:c r="J7" s="16" t="str">
        <x:v>Retainage/release billing; moved to Waiting on A/R.</x:v>
      </x:c>
    </x:row>
    <x:row r="8">
      <x:c r="A8" t="n">
        <x:v>222</x:v>
      </x:c>
      <x:c r="B8" t="str">
        <x:v>222 - ISD Fairmount 26</x:v>
      </x:c>
      <x:c r="C8" t="str">
        <x:v>J222 - PA001 - May - signed.pdf</x:v>
      </x:c>
      <x:c r="D8" s="14" t="n">
        <x:v>2010000</x:v>
      </x:c>
      <x:c r="E8" s="14" t="n">
        <x:v>10000</x:v>
      </x:c>
      <x:c r="F8" s="14" t="n">
        <x:v>9500</x:v>
      </x:c>
      <x:c r="G8" s="14" t="n">
        <x:v>9500</x:v>
      </x:c>
      <x:c r="H8" s="14" t="n">
        <x:v>2000500</x:v>
      </x:c>
      <x:c r="I8" s="14" t="n">
        <x:v>500</x:v>
      </x:c>
      <x:c r="J8" s="16" t="str">
        <x:v>First billing; large remaining contract balance.</x:v>
      </x:c>
    </x:row>
    <x:row r="9">
      <x:c r="A9" t="n">
        <x:v>223</x:v>
      </x:c>
      <x:c r="B9" t="str">
        <x:v>223 - Kearney Deferred Maint</x:v>
      </x:c>
      <x:c r="C9" t="str">
        <x:v>PA001 - May - J223 Kearney - Payment Workbook.pdf</x:v>
      </x:c>
      <x:c r="D9" s="14" t="n">
        <x:v>10550</x:v>
      </x:c>
      <x:c r="E9" s="14" t="n">
        <x:v>4000</x:v>
      </x:c>
      <x:c r="F9" s="14" t="n">
        <x:v>4000</x:v>
      </x:c>
      <x:c r="G9" s="14" t="n">
        <x:v>4000</x:v>
      </x:c>
      <x:c r="H9" s="14" t="n">
        <x:v>6550</x:v>
      </x:c>
      <x:c r="I9" s="14" t="n">
        <x:v>0</x:v>
      </x:c>
      <x:c r="J9" s="16" t="str">
        <x:v>New PA added; project remains in progress per your update.</x:v>
      </x:c>
    </x:row>
  </x:sheetData>
  <x:pageMargins left="0.7" right="0.7" top="0.75" bottom="0.75" header="0.3" footer="0.3"/>
  <x:tableParts count="1">
    <x:tablePart xmlns:r="http://schemas.openxmlformats.org/officeDocument/2006/relationships" r:id="Rc0570e485b3b40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>
      <x:c r="A1" s="26" t="str">
        <x:v>Customer</x:v>
      </x:c>
      <x:c r="B1" s="26" t="str">
        <x:v>2026 Billings YTD</x:v>
      </x:c>
      <x:c r="C1" s="26" t="str">
        <x:v>Forecastable Backlog</x:v>
      </x:c>
      <x:c r="D1" s="26" t="str">
        <x:v>Projected 2026 Base</x:v>
      </x:c>
      <x:c r="E1" s="26" t="str">
        <x:v>Projected 2026 High</x:v>
      </x:c>
      <x:c r="F1" s="26" t="str">
        <x:v>Open A/R</x:v>
      </x:c>
      <x:c r="G1" s="26" t="str">
        <x:v>2026 Gross Profit</x:v>
      </x:c>
      <x:c r="H1" s="26" t="str">
        <x:v>GP Margin</x:v>
      </x:c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Newkirk Novak</x:v>
      </x:c>
      <x:c r="B2" s="14" t="n">
        <x:v>39840.15</x:v>
      </x:c>
      <x:c r="C2" s="14" t="n">
        <x:v>2094075</x:v>
      </x:c>
      <x:c r="D2" s="14" t="n">
        <x:v>1612033.9</x:v>
      </x:c>
      <x:c r="E2" s="14" t="n">
        <x:v>2133915.15</x:v>
      </x:c>
      <x:c r="F2" s="14" t="n">
        <x:v>18250</x:v>
      </x:c>
      <x:c r="G2" s="14" t="n">
        <x:v>14826.980000000003</x:v>
      </x:c>
      <x:c r="H2" s="24" t="n">
        <x:v>0.3721617513990284</x:v>
      </x:c>
    </x:row>
    <x:row r="3">
      <x:c r="A3" t="str">
        <x:v>Lakeview Village</x:v>
      </x:c>
      <x:c r="B3" s="14" t="n">
        <x:v>743665.11</x:v>
      </x:c>
      <x:c r="C3" s="14" t="n">
        <x:v>266050.55</x:v>
      </x:c>
      <x:c r="D3" s="14" t="n">
        <x:v>943203.0225</x:v>
      </x:c>
      <x:c r="E3" s="14" t="n">
        <x:v>1009715.6599999999</x:v>
      </x:c>
      <x:c r="F3" s="14" t="n">
        <x:v>109745.93</x:v>
      </x:c>
      <x:c r="G3" s="14" t="n">
        <x:v>127580.27000000002</x:v>
      </x:c>
      <x:c r="H3" s="24" t="n">
        <x:v>0.1715560785149649</x:v>
      </x:c>
    </x:row>
    <x:row r="4">
      <x:c r="A4" t="str">
        <x:v>XEC</x:v>
      </x:c>
      <x:c r="B4" s="14" t="n">
        <x:v>255855.03</x:v>
      </x:c>
      <x:c r="C4" s="14" t="n">
        <x:v>84708.87</x:v>
      </x:c>
      <x:c r="D4" s="14" t="n">
        <x:v>319386.6825</x:v>
      </x:c>
      <x:c r="E4" s="14" t="n">
        <x:v>340563.9</x:v>
      </x:c>
      <x:c r="F4" s="14" t="n">
        <x:v>221352.62999999998</x:v>
      </x:c>
      <x:c r="G4" s="14" t="n">
        <x:v>109776.91000000002</x:v>
      </x:c>
      <x:c r="H4" s="24" t="n">
        <x:v>0.42905902612115937</x:v>
      </x:c>
    </x:row>
    <x:row r="5">
      <x:c r="A5" t="str">
        <x:v>Universal Construction</x:v>
      </x:c>
      <x:c r="B5" s="14" t="n">
        <x:v>16487.72</x:v>
      </x:c>
      <x:c r="C5" s="14" t="n">
        <x:v>343732.28</x:v>
      </x:c>
      <x:c r="D5" s="14" t="n">
        <x:v>274286.93000000005</x:v>
      </x:c>
      <x:c r="E5" s="14" t="n">
        <x:v>360220</x:v>
      </x:c>
      <x:c r="F5" s="14" t="n">
        <x:v>5586.47</x:v>
      </x:c>
      <x:c r="G5" s="14" t="n">
        <x:v>6234.720000000001</x:v>
      </x:c>
      <x:c r="H5" s="24" t="n">
        <x:v>0.3781432484297405</x:v>
      </x:c>
    </x:row>
    <x:row r="6">
      <x:c r="A6" t="str">
        <x:v>McCown Gordon</x:v>
      </x:c>
      <x:c r="B6" s="14" t="n">
        <x:v>5188.5</x:v>
      </x:c>
      <x:c r="C6" s="14" t="n">
        <x:v>162471.5</x:v>
      </x:c>
      <x:c r="D6" s="14" t="n">
        <x:v>127042.125</x:v>
      </x:c>
      <x:c r="E6" s="14" t="n">
        <x:v>167660</x:v>
      </x:c>
      <x:c r="F6" s="14" t="n">
        <x:v>5188.5</x:v>
      </x:c>
      <x:c r="G6" s="14" t="n">
        <x:v>5029.2</x:v>
      </x:c>
      <x:c r="H6" s="24" t="n">
        <x:v>0.9692974848222029</x:v>
      </x:c>
    </x:row>
    <x:row r="7">
      <x:c r="A7" t="str">
        <x:v>BKM Contruction LLC</x:v>
      </x:c>
      <x:c r="B7" s="14" t="n">
        <x:v>13320</x:v>
      </x:c>
      <x:c r="C7" s="14" t="n">
        <x:v>85020</x:v>
      </x:c>
      <x:c r="D7" s="14" t="n">
        <x:v>98340</x:v>
      </x:c>
      <x:c r="E7" s="14" t="n">
        <x:v>98340</x:v>
      </x:c>
      <x:c r="F7" s="14" t="n">
        <x:v>13320</x:v>
      </x:c>
      <x:c r="G7" s="14" t="n">
        <x:v>5166.17</x:v>
      </x:c>
      <x:c r="H7" s="24" t="n">
        <x:v>0.3878506006006006</x:v>
      </x:c>
    </x:row>
    <x:row r="8">
      <x:c r="A8" t="str">
        <x:v>CWA Specialties, INC.</x:v>
      </x:c>
      <x:c r="B8" s="14" t="n">
        <x:v>32039.5</x:v>
      </x:c>
      <x:c r="C8" s="14" t="n">
        <x:v>5393.5</x:v>
      </x:c>
      <x:c r="D8" s="14" t="n">
        <x:v>37433</x:v>
      </x:c>
      <x:c r="E8" s="14" t="n">
        <x:v>37433</x:v>
      </x:c>
      <x:c r="F8" s="14" t="n">
        <x:v>32039.5</x:v>
      </x:c>
      <x:c r="G8" s="14" t="n">
        <x:v>10470.309999999998</x:v>
      </x:c>
      <x:c r="H8" s="24" t="n">
        <x:v>0.3267938014013951</x:v>
      </x:c>
    </x:row>
    <x:row r="9">
      <x:c r="A9" t="str">
        <x:v>U.S. General Services Administration</x:v>
      </x:c>
      <x:c r="B9" s="14" t="n">
        <x:v>10999.55</x:v>
      </x:c>
      <x:c r="C9" s="14" t="n">
        <x:v>0</x:v>
      </x:c>
      <x:c r="D9" s="14" t="n">
        <x:v>10999.55</x:v>
      </x:c>
      <x:c r="E9" s="14" t="n">
        <x:v>10999.55</x:v>
      </x:c>
      <x:c r="F9" s="14" t="n">
        <x:v>10999.55</x:v>
      </x:c>
      <x:c r="G9" s="14" t="n">
        <x:v>6900.689999999999</x:v>
      </x:c>
      <x:c r="H9" s="24" t="n">
        <x:v>0.6273611193185175</x:v>
      </x:c>
    </x:row>
    <x:row r="10">
      <x:c r="A10" t="str">
        <x:v>Purdum</x:v>
      </x:c>
      <x:c r="B10" s="14" t="n">
        <x:v>3478.7</x:v>
      </x:c>
      <x:c r="C10" s="14" t="n">
        <x:v>0</x:v>
      </x:c>
      <x:c r="D10" s="14" t="n">
        <x:v>3478.7</x:v>
      </x:c>
      <x:c r="E10" s="14" t="n">
        <x:v>3478.7</x:v>
      </x:c>
      <x:c r="F10" s="14" t="n">
        <x:v>3478.7</x:v>
      </x:c>
      <x:c r="G10" s="14" t="n">
        <x:v>654.6799999999998</x:v>
      </x:c>
      <x:c r="H10" s="24" t="n">
        <x:v>0.18819674016155458</x:v>
      </x:c>
    </x:row>
    <x:row r="11">
      <x:c r="A11" t="str">
        <x:v>Stowers Institute</x:v>
      </x:c>
      <x:c r="B11" s="14" t="n">
        <x:v>0</x:v>
      </x:c>
      <x:c r="C11" s="14" t="n">
        <x:v>0</x:v>
      </x:c>
      <x:c r="D11" s="14" t="n">
        <x:v>0</x:v>
      </x:c>
      <x:c r="E11" s="14" t="n">
        <x:v>0</x:v>
      </x:c>
      <x:c r="F11" s="14" t="n">
        <x:v>0</x:v>
      </x:c>
      <x:c r="G11" s="14" t="n">
        <x:v>0</x:v>
      </x:c>
      <x:c r="H11" s="24" t="str"/>
    </x:row>
    <x:row r="12">
      <x:c r="A12" t="str">
        <x:v>Third Space Studio</x:v>
      </x:c>
      <x:c r="B12" s="14" t="n">
        <x:v>0</x:v>
      </x:c>
      <x:c r="C12" s="14" t="n">
        <x:v>0</x:v>
      </x:c>
      <x:c r="D12" s="14" t="n">
        <x:v>0</x:v>
      </x:c>
      <x:c r="E12" s="14" t="n">
        <x:v>0</x:v>
      </x:c>
      <x:c r="F12" s="14" t="n">
        <x:v>0</x:v>
      </x:c>
      <x:c r="G12" s="14" t="n">
        <x:v>0</x:v>
      </x:c>
      <x:c r="H12" s="24" t="str"/>
    </x:row>
    <x:row r="13">
      <x:c r="A13" t="str">
        <x:v>Unassigned</x:v>
      </x:c>
      <x:c r="B13" s="14" t="n">
        <x:v>0</x:v>
      </x:c>
      <x:c r="C13" s="14" t="n">
        <x:v>0</x:v>
      </x:c>
      <x:c r="D13" s="14" t="n">
        <x:v>0</x:v>
      </x:c>
      <x:c r="E13" s="14" t="n">
        <x:v>0</x:v>
      </x:c>
      <x:c r="F13" s="14" t="n">
        <x:v>0</x:v>
      </x:c>
      <x:c r="G13" s="14" t="n">
        <x:v>0</x:v>
      </x:c>
      <x:c r="H13" s="24" t="str"/>
    </x:row>
  </x:sheetData>
  <x:pageMargins left="0.7" right="0.7" top="0.75" bottom="0.75" header="0.3" footer="0.3"/>
  <x:tableParts count="1">
    <x:tablePart xmlns:r="http://schemas.openxmlformats.org/officeDocument/2006/relationships" r:id="R5932c0e783d14eed"/>
  </x:tableParts>
</x:worksheet>
</file>

<file path=xl/worksheets/sheet5.xml><?xml version="1.0" encoding="utf-8"?>
<x:worksheet xmlns:x="http://schemas.openxmlformats.org/spreadsheetml/2006/main">
  <x:sheetFormatPr defaultRowHeight="15"/>
  <x:cols>
    <x:col min="2" max="2" width="38" hidden="0" customWidth="1"/>
    <x:col min="11" max="11" width="50" hidden="0" customWidth="1"/>
  </x:cols>
  <x:sheetData>
    <x:row r="1">
      <x:c r="A1" s="26" t="str">
        <x:v>Job</x:v>
      </x:c>
      <x:c r="B1" s="26" t="str">
        <x:v>Project</x:v>
      </x:c>
      <x:c r="C1" s="26" t="str">
        <x:v>Status</x:v>
      </x:c>
      <x:c r="D1" s="26" t="str">
        <x:v>Self-Performed Labor</x:v>
      </x:c>
      <x:c r="E1" s="26" t="str">
        <x:v>Subcontractors</x:v>
      </x:c>
      <x:c r="F1" s="26" t="str">
        <x:v>Materials &amp; Supplies</x:v>
      </x:c>
      <x:c r="G1" s="26" t="str">
        <x:v>Equipment/Other</x:v>
      </x:c>
      <x:c r="H1" s="26" t="str">
        <x:v>Total Split Cost</x:v>
      </x:c>
      <x:c r="I1" s="26" t="str">
        <x:v>Self %</x:v>
      </x:c>
      <x:c r="J1" s="26" t="str">
        <x:v>Sub %</x:v>
      </x:c>
      <x:c r="K1" s="26" t="str">
        <x:v>Notes</x:v>
      </x:c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n">
        <x:v>158</x:v>
      </x:c>
      <x:c r="B2" t="str">
        <x:v>158 - Blue Valley CTE 2026</x:v>
      </x:c>
      <x:c r="C2" t="str">
        <x:v>In Progress</x:v>
      </x:c>
      <x:c r="D2" s="14" t="n">
        <x:v>159.3</x:v>
      </x:c>
      <x:c r="E2" s="14" t="n">
        <x:v>0</x:v>
      </x:c>
      <x:c r="F2" s="14" t="n">
        <x:v>0</x:v>
      </x:c>
      <x:c r="G2" s="14" t="n">
        <x:v>0</x:v>
      </x:c>
      <x:c r="H2" s="14" t="n">
        <x:v>159.3</x:v>
      </x:c>
      <x:c r="I2" s="24" t="n">
        <x:v>1</x:v>
      </x:c>
      <x:c r="J2" s="24" t="n">
        <x:v>0</x:v>
      </x:c>
      <x:c r="K2" s="16" t="str">
        <x:v>From Project costs detail (7); split may not tie exactly to P&amp;L COGS if QBO category/report timing differs.</x:v>
      </x:c>
    </x:row>
    <x:row r="3">
      <x:c r="A3" t="n">
        <x:v>186</x:v>
      </x:c>
      <x:c r="B3" t="str">
        <x:v>186 - LVV 3 &amp; 5</x:v>
      </x:c>
      <x:c r="C3" t="str">
        <x:v>In Progress</x:v>
      </x:c>
      <x:c r="D3" s="14" t="n">
        <x:v>61369.94</x:v>
      </x:c>
      <x:c r="E3" s="14" t="n">
        <x:v>202177.89</x:v>
      </x:c>
      <x:c r="F3" s="14" t="n">
        <x:v>44689.16000000001</x:v>
      </x:c>
      <x:c r="G3" s="14" t="n">
        <x:v>1185</x:v>
      </x:c>
      <x:c r="H3" s="14" t="n">
        <x:v>309421.99000000005</x:v>
      </x:c>
      <x:c r="I3" s="24" t="n">
        <x:v>0.19833735798803437</x:v>
      </x:c>
      <x:c r="J3" s="24" t="n">
        <x:v>0.653405047262478</x:v>
      </x:c>
      <x:c r="K3" s="16" t="str">
        <x:v>From Project costs detail (7); split may not tie exactly to P&amp;L COGS if QBO category/report timing differs.</x:v>
      </x:c>
    </x:row>
    <x:row r="4">
      <x:c r="A4" t="n">
        <x:v>189</x:v>
      </x:c>
      <x:c r="B4" t="str">
        <x:v>189 - Topeka VAMC - Anesthesia Unit</x:v>
      </x:c>
      <x:c r="C4" t="str">
        <x:v>In Progress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24" t="str"/>
      <x:c r="J4" s="24" t="str"/>
      <x:c r="K4" s="16" t="str">
        <x:v>From Project costs detail (7); split may not tie exactly to P&amp;L COGS if QBO category/report timing differs.</x:v>
      </x:c>
    </x:row>
    <x:row r="5">
      <x:c r="A5" t="n">
        <x:v>193</x:v>
      </x:c>
      <x:c r="B5" t="str">
        <x:v>193 - Pulse Design 9th Floor</x:v>
      </x:c>
      <x:c r="C5" t="str">
        <x:v>Waiting on A/R</x:v>
      </x:c>
      <x:c r="D5" s="14" t="n">
        <x:v>6187.620000000001</x:v>
      </x:c>
      <x:c r="E5" s="14" t="n">
        <x:v>13853.78</x:v>
      </x:c>
      <x:c r="F5" s="14" t="n">
        <x:v>435.77</x:v>
      </x:c>
      <x:c r="G5" s="14" t="n">
        <x:v>400</x:v>
      </x:c>
      <x:c r="H5" s="14" t="n">
        <x:v>20877.170000000002</x:v>
      </x:c>
      <x:c r="I5" s="24" t="n">
        <x:v>0.2963821245887254</x:v>
      </x:c>
      <x:c r="J5" s="24" t="n">
        <x:v>0.6635851506693675</x:v>
      </x:c>
      <x:c r="K5" s="16" t="str">
        <x:v>From Project costs detail (7); split may not tie exactly to P&amp;L COGS if QBO category/report timing differs.</x:v>
      </x:c>
    </x:row>
    <x:row r="6">
      <x:c r="A6" t="n">
        <x:v>197</x:v>
      </x:c>
      <x:c r="B6" t="str">
        <x:v>197 - Administrative Hallway Reno</x:v>
      </x:c>
      <x:c r="C6" t="str">
        <x:v>Waiting on A/R</x:v>
      </x:c>
      <x:c r="D6" s="14" t="n">
        <x:v>8955.420000000002</x:v>
      </x:c>
      <x:c r="E6" s="14" t="n">
        <x:v>2241</x:v>
      </x:c>
      <x:c r="F6" s="14" t="n">
        <x:v>5247.7300000000005</x:v>
      </x:c>
      <x:c r="G6" s="14" t="n">
        <x:v>178.36</x:v>
      </x:c>
      <x:c r="H6" s="14" t="n">
        <x:v>16622.510000000002</x:v>
      </x:c>
      <x:c r="I6" s="24" t="n">
        <x:v>0.5387525710617711</x:v>
      </x:c>
      <x:c r="J6" s="24" t="n">
        <x:v>0.13481718464900908</x:v>
      </x:c>
      <x:c r="K6" s="16" t="str">
        <x:v>From Project costs detail (7); split may not tie exactly to P&amp;L COGS if QBO category/report timing differs.</x:v>
      </x:c>
    </x:row>
    <x:row r="7">
      <x:c r="A7" t="n">
        <x:v>204</x:v>
      </x:c>
      <x:c r="B7" t="str">
        <x:v>204 - LightEdge Data Center</x:v>
      </x:c>
      <x:c r="C7" t="str">
        <x:v>In Progress</x:v>
      </x:c>
      <x:c r="D7" s="14" t="n">
        <x:v>67975.92</x:v>
      </x:c>
      <x:c r="E7" s="14" t="n">
        <x:v>0</x:v>
      </x:c>
      <x:c r="F7" s="14" t="n">
        <x:v>66974.27000000002</x:v>
      </x:c>
      <x:c r="G7" s="14" t="n">
        <x:v>10828.99</x:v>
      </x:c>
      <x:c r="H7" s="14" t="n">
        <x:v>145779.18</x:v>
      </x:c>
      <x:c r="I7" s="24" t="n">
        <x:v>0.4662937464732618</x:v>
      </x:c>
      <x:c r="J7" s="24" t="n">
        <x:v>0</x:v>
      </x:c>
      <x:c r="K7" s="16" t="str">
        <x:v>From Project costs detail (7); split may not tie exactly to P&amp;L COGS if QBO category/report timing differs.</x:v>
      </x:c>
    </x:row>
    <x:row r="8">
      <x:c r="A8" t="n">
        <x:v>206</x:v>
      </x:c>
      <x:c r="B8" t="str">
        <x:v>206 - LVV Heritage - 211A, 311A &amp; 317A</x:v>
      </x:c>
      <x:c r="C8" t="str">
        <x:v>In Progress</x:v>
      </x:c>
      <x:c r="D8" s="14" t="n">
        <x:v>81306.81000000001</x:v>
      </x:c>
      <x:c r="E8" s="14" t="n">
        <x:v>155978.4</x:v>
      </x:c>
      <x:c r="F8" s="14" t="n">
        <x:v>47311.11999999999</x:v>
      </x:c>
      <x:c r="G8" s="14" t="n">
        <x:v>5667.85</x:v>
      </x:c>
      <x:c r="H8" s="14" t="n">
        <x:v>290264.18</x:v>
      </x:c>
      <x:c r="I8" s="24" t="n">
        <x:v>0.2801131369361525</x:v>
      </x:c>
      <x:c r="J8" s="24" t="n">
        <x:v>0.5373670288907161</x:v>
      </x:c>
      <x:c r="K8" s="16" t="str">
        <x:v>From Project costs detail (7); split may not tie exactly to P&amp;L COGS if QBO category/report timing differs.</x:v>
      </x:c>
    </x:row>
    <x:row r="9">
      <x:c r="A9" t="n">
        <x:v>208</x:v>
      </x:c>
      <x:c r="B9" t="str">
        <x:v>208 - Park Hill 2026</x:v>
      </x:c>
      <x:c r="C9" t="str">
        <x:v>In Progress</x:v>
      </x:c>
      <x:c r="D9" s="14" t="n">
        <x:v>0</x:v>
      </x:c>
      <x:c r="E9" s="14" t="n">
        <x:v>0</x:v>
      </x:c>
      <x:c r="F9" s="14" t="n">
        <x:v>0</x:v>
      </x:c>
      <x:c r="G9" s="14" t="n">
        <x:v>10253</x:v>
      </x:c>
      <x:c r="H9" s="14" t="n">
        <x:v>10253</x:v>
      </x:c>
      <x:c r="I9" s="24" t="n">
        <x:v>0</x:v>
      </x:c>
      <x:c r="J9" s="24" t="n">
        <x:v>0</x:v>
      </x:c>
      <x:c r="K9" s="16" t="str">
        <x:v>From Project costs detail (7); split may not tie exactly to P&amp;L COGS if QBO category/report timing differs.</x:v>
      </x:c>
    </x:row>
    <x:row r="10">
      <x:c r="A10" t="n">
        <x:v>209</x:v>
      </x:c>
      <x:c r="B10" t="str">
        <x:v>209 - Capital Electric Fab Shop</x:v>
      </x:c>
      <x:c r="C10" t="str">
        <x:v>Waiting on A/R</x:v>
      </x:c>
      <x:c r="D10" s="14" t="n">
        <x:v>8602.82</x:v>
      </x:c>
      <x:c r="E10" s="14" t="n">
        <x:v>0</x:v>
      </x:c>
      <x:c r="F10" s="14" t="n">
        <x:v>4249.36</x:v>
      </x:c>
      <x:c r="G10" s="14" t="n">
        <x:v>0</x:v>
      </x:c>
      <x:c r="H10" s="14" t="n">
        <x:v>12852.18</x:v>
      </x:c>
      <x:c r="I10" s="24" t="n">
        <x:v>0.6693665977289456</x:v>
      </x:c>
      <x:c r="J10" s="24" t="n">
        <x:v>0</x:v>
      </x:c>
      <x:c r="K10" s="16" t="str">
        <x:v>From Project costs detail (7); split may not tie exactly to P&amp;L COGS if QBO category/report timing differs.</x:v>
      </x:c>
    </x:row>
    <x:row r="11">
      <x:c r="A11" t="n">
        <x:v>210</x:v>
      </x:c>
      <x:c r="B11" t="str">
        <x:v>210 - Benedictine Library Toilet Partitions</x:v>
      </x:c>
      <x:c r="C11" t="str">
        <x:v>In Progress</x:v>
      </x:c>
      <x:c r="D11" s="14" t="n">
        <x:v>7755.01</x:v>
      </x:c>
      <x:c r="E11" s="14" t="n">
        <x:v>0</x:v>
      </x:c>
      <x:c r="F11" s="14" t="n">
        <x:v>43.46</x:v>
      </x:c>
      <x:c r="G11" s="14" t="n">
        <x:v>0</x:v>
      </x:c>
      <x:c r="H11" s="14" t="n">
        <x:v>7798.47</x:v>
      </x:c>
      <x:c r="I11" s="24" t="n">
        <x:v>0.9944271119847867</x:v>
      </x:c>
      <x:c r="J11" s="24" t="n">
        <x:v>0</x:v>
      </x:c>
      <x:c r="K11" s="16" t="str">
        <x:v>From Project costs detail (7); split may not tie exactly to P&amp;L COGS if QBO category/report timing differs.</x:v>
      </x:c>
    </x:row>
    <x:row r="12">
      <x:c r="A12" t="n">
        <x:v>212</x:v>
      </x:c>
      <x:c r="B12" t="str">
        <x:v>212 - LPS Lewis &amp; Clark Restroom Reno</x:v>
      </x:c>
      <x:c r="C12" t="str">
        <x:v>In Progress</x:v>
      </x:c>
      <x:c r="D12" s="14" t="n">
        <x:v>0</x:v>
      </x:c>
      <x:c r="E12" s="14" t="n">
        <x:v>0</x:v>
      </x:c>
      <x:c r="F12" s="14" t="n">
        <x:v>2155</x:v>
      </x:c>
      <x:c r="G12" s="14" t="n">
        <x:v>1981</x:v>
      </x:c>
      <x:c r="H12" s="14" t="n">
        <x:v>4136</x:v>
      </x:c>
      <x:c r="I12" s="24" t="n">
        <x:v>0</x:v>
      </x:c>
      <x:c r="J12" s="24" t="n">
        <x:v>0</x:v>
      </x:c>
      <x:c r="K12" s="16" t="str">
        <x:v>From Project costs detail (7); split may not tie exactly to P&amp;L COGS if QBO category/report timing differs.</x:v>
      </x:c>
    </x:row>
    <x:row r="13">
      <x:c r="A13" t="n">
        <x:v>215</x:v>
      </x:c>
      <x:c r="B13" t="str">
        <x:v>215 - 2306 Visitor Center</x:v>
      </x:c>
      <x:c r="C13" t="str">
        <x:v>Waiting on A/R</x:v>
      </x:c>
      <x:c r="D13" s="14" t="n">
        <x:v>4790.889999999999</x:v>
      </x:c>
      <x:c r="E13" s="14" t="n">
        <x:v>0</x:v>
      </x:c>
      <x:c r="F13" s="14" t="n">
        <x:v>3211.7</x:v>
      </x:c>
      <x:c r="G13" s="14" t="n">
        <x:v>0</x:v>
      </x:c>
      <x:c r="H13" s="14" t="n">
        <x:v>8002.589999999999</x:v>
      </x:c>
      <x:c r="I13" s="24" t="n">
        <x:v>0.5986674314190781</x:v>
      </x:c>
      <x:c r="J13" s="24" t="n">
        <x:v>0</x:v>
      </x:c>
      <x:c r="K13" s="16" t="str">
        <x:v>From Project costs detail (7); split may not tie exactly to P&amp;L COGS if QBO category/report timing differs.</x:v>
      </x:c>
    </x:row>
    <x:row r="14">
      <x:c r="A14" t="n">
        <x:v>216</x:v>
      </x:c>
      <x:c r="B14" t="str">
        <x:v>216 - Unilever Phase II Demo</x:v>
      </x:c>
      <x:c r="C14" t="str">
        <x:v>Waiting on A/R</x:v>
      </x:c>
      <x:c r="D14" s="14" t="n">
        <x:v>1213.05</x:v>
      </x:c>
      <x:c r="E14" s="14" t="n">
        <x:v>1105</x:v>
      </x:c>
      <x:c r="F14" s="14" t="n">
        <x:v>505.97</x:v>
      </x:c>
      <x:c r="G14" s="14" t="n">
        <x:v>0</x:v>
      </x:c>
      <x:c r="H14" s="14" t="n">
        <x:v>2824.0200000000004</x:v>
      </x:c>
      <x:c r="I14" s="24" t="n">
        <x:v>0.42954724116684717</x:v>
      </x:c>
      <x:c r="J14" s="24" t="n">
        <x:v>0.3912861806927712</x:v>
      </x:c>
      <x:c r="K14" s="16" t="str">
        <x:v>From Project costs detail (7); split may not tie exactly to P&amp;L COGS if QBO category/report timing differs.</x:v>
      </x:c>
    </x:row>
    <x:row r="15">
      <x:c r="A15" t="n">
        <x:v>217</x:v>
      </x:c>
      <x:c r="B15" t="str">
        <x:v>217 - Catalent Summer 2026 Shutdown</x:v>
      </x:c>
      <x:c r="C15" t="str">
        <x:v>In Progress</x:v>
      </x:c>
      <x:c r="D15" s="14" t="n">
        <x:v>0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24" t="str"/>
      <x:c r="J15" s="24" t="str"/>
      <x:c r="K15" s="16" t="str">
        <x:v>From Project costs detail (7); split may not tie exactly to P&amp;L COGS if QBO category/report timing differs.</x:v>
      </x:c>
    </x:row>
    <x:row r="16">
      <x:c r="A16" t="n">
        <x:v>218</x:v>
      </x:c>
      <x:c r="B16" t="str">
        <x:v>218 - Dole Grand Jury Room - Water Damage</x:v>
      </x:c>
      <x:c r="C16" t="str">
        <x:v>Waiting on A/R</x:v>
      </x:c>
      <x:c r="D16" s="14" t="n">
        <x:v>2862.0099999999998</x:v>
      </x:c>
      <x:c r="E16" s="14" t="n">
        <x:v>0</x:v>
      </x:c>
      <x:c r="F16" s="14" t="n">
        <x:v>1236.8500000000001</x:v>
      </x:c>
      <x:c r="G16" s="14" t="n">
        <x:v>0</x:v>
      </x:c>
      <x:c r="H16" s="14" t="n">
        <x:v>4098.86</x:v>
      </x:c>
      <x:c r="I16" s="24" t="n">
        <x:v>0.6982453657846328</x:v>
      </x:c>
      <x:c r="J16" s="24" t="n">
        <x:v>0</x:v>
      </x:c>
      <x:c r="K16" s="16" t="str">
        <x:v>From Project costs detail (7); split may not tie exactly to P&amp;L COGS if QBO category/report timing differs.</x:v>
      </x:c>
    </x:row>
    <x:row r="17">
      <x:c r="A17" t="n">
        <x:v>219</x:v>
      </x:c>
      <x:c r="B17" t="str">
        <x:v>219 - T&amp;M Partitions @ Fox Ridge</x:v>
      </x:c>
      <x:c r="C17" t="str">
        <x:v>Waiting on A/R</x:v>
      </x:c>
      <x:c r="D17" s="14" t="n">
        <x:v>909.8</x:v>
      </x:c>
      <x:c r="E17" s="14" t="n">
        <x:v>0</x:v>
      </x:c>
      <x:c r="F17" s="14" t="n">
        <x:v>8.74</x:v>
      </x:c>
      <x:c r="G17" s="14" t="n">
        <x:v>0</x:v>
      </x:c>
      <x:c r="H17" s="14" t="n">
        <x:v>918.54</x:v>
      </x:c>
      <x:c r="I17" s="24" t="n">
        <x:v>0.9904848999499205</x:v>
      </x:c>
      <x:c r="J17" s="24" t="n">
        <x:v>0</x:v>
      </x:c>
      <x:c r="K17" s="16" t="str">
        <x:v>From Project costs detail (7); split may not tie exactly to P&amp;L COGS if QBO category/report timing differs.</x:v>
      </x:c>
    </x:row>
    <x:row r="18">
      <x:c r="A18" t="n">
        <x:v>220</x:v>
      </x:c>
      <x:c r="B18" t="str">
        <x:v>220 - KC VA Medical Center</x:v>
      </x:c>
      <x:c r="C18" t="str">
        <x:v>In Progress</x:v>
      </x:c>
      <x:c r="D18" s="14" t="n">
        <x:v>0</x:v>
      </x:c>
      <x:c r="E18" s="14" t="n">
        <x:v>0</x:v>
      </x:c>
      <x:c r="F18" s="14" t="n">
        <x:v>0</x:v>
      </x:c>
      <x:c r="G18" s="14" t="n">
        <x:v>0</x:v>
      </x:c>
      <x:c r="H18" s="14" t="n">
        <x:v>0</x:v>
      </x:c>
      <x:c r="I18" s="24" t="str"/>
      <x:c r="J18" s="24" t="str"/>
      <x:c r="K18" s="16" t="str">
        <x:v>From Project costs detail (7); split may not tie exactly to P&amp;L COGS if QBO category/report timing differs.</x:v>
      </x:c>
    </x:row>
    <x:row r="19">
      <x:c r="A19" t="n">
        <x:v>221</x:v>
      </x:c>
      <x:c r="B19" t="str">
        <x:v>221 - Whitaker USMS Vault Door</x:v>
      </x:c>
      <x:c r="C19" t="str">
        <x:v>Waiting on A/R</x:v>
      </x:c>
      <x:c r="D19" s="14" t="n">
        <x:v>151.24</x:v>
      </x:c>
      <x:c r="E19" s="14" t="n">
        <x:v>0</x:v>
      </x:c>
      <x:c r="F19" s="14" t="n">
        <x:v>0</x:v>
      </x:c>
      <x:c r="G19" s="14" t="n">
        <x:v>0</x:v>
      </x:c>
      <x:c r="H19" s="14" t="n">
        <x:v>151.24</x:v>
      </x:c>
      <x:c r="I19" s="24" t="n">
        <x:v>1</x:v>
      </x:c>
      <x:c r="J19" s="24" t="n">
        <x:v>0</x:v>
      </x:c>
      <x:c r="K19" s="16" t="str">
        <x:v>From Project costs detail (7); split may not tie exactly to P&amp;L COGS if QBO category/report timing differs.</x:v>
      </x:c>
    </x:row>
    <x:row r="20">
      <x:c r="A20" t="n">
        <x:v>222</x:v>
      </x:c>
      <x:c r="B20" t="str">
        <x:v>222 - ISD Fairmount 26</x:v>
      </x:c>
      <x:c r="C20" t="str">
        <x:v>In Progress</x:v>
      </x:c>
      <x:c r="D20" s="14" t="n">
        <x:v>0</x:v>
      </x:c>
      <x:c r="E20" s="14" t="n">
        <x:v>0</x:v>
      </x:c>
      <x:c r="F20" s="14" t="n">
        <x:v>0</x:v>
      </x:c>
      <x:c r="G20" s="14" t="n">
        <x:v>0</x:v>
      </x:c>
      <x:c r="H20" s="14" t="n">
        <x:v>0</x:v>
      </x:c>
      <x:c r="I20" s="24" t="str"/>
      <x:c r="J20" s="24" t="str"/>
      <x:c r="K20" s="16" t="str">
        <x:v>From Project costs detail (7); split may not tie exactly to P&amp;L COGS if QBO category/report timing differs.</x:v>
      </x:c>
    </x:row>
    <x:row r="21">
      <x:c r="A21" t="n">
        <x:v>223</x:v>
      </x:c>
      <x:c r="B21" t="str">
        <x:v>223 - Kearney Deferred Maint</x:v>
      </x:c>
      <x:c r="C21" t="str">
        <x:v>In Progress</x:v>
      </x:c>
      <x:c r="D21" s="14" t="n">
        <x:v>0</x:v>
      </x:c>
      <x:c r="E21" s="14" t="n">
        <x:v>0</x:v>
      </x:c>
      <x:c r="F21" s="14" t="n">
        <x:v>0</x:v>
      </x:c>
      <x:c r="G21" s="14" t="n">
        <x:v>0</x:v>
      </x:c>
      <x:c r="H21" s="14" t="n">
        <x:v>0</x:v>
      </x:c>
      <x:c r="I21" s="24" t="str"/>
      <x:c r="J21" s="24" t="str"/>
      <x:c r="K21" s="16" t="str">
        <x:v>From Project costs detail (7); split may not tie exactly to P&amp;L COGS if QBO category/report timing differs.</x:v>
      </x:c>
    </x:row>
    <x:row r="22">
      <x:c r="A22" t="n">
        <x:v>224</x:v>
      </x:c>
      <x:c r="B22" t="str">
        <x:v>224 - KUMC Research</x:v>
      </x:c>
      <x:c r="C22" t="str">
        <x:v>In Progress</x:v>
      </x:c>
      <x:c r="D22" s="14" t="n">
        <x:v>0</x:v>
      </x:c>
      <x:c r="E22" s="14" t="n">
        <x:v>0</x:v>
      </x:c>
      <x:c r="F22" s="14" t="n">
        <x:v>298.94</x:v>
      </x:c>
      <x:c r="G22" s="14" t="n">
        <x:v>0</x:v>
      </x:c>
      <x:c r="H22" s="14" t="n">
        <x:v>298.94</x:v>
      </x:c>
      <x:c r="I22" s="24" t="n">
        <x:v>0</x:v>
      </x:c>
      <x:c r="J22" s="24" t="n">
        <x:v>0</x:v>
      </x:c>
      <x:c r="K22" s="16" t="str">
        <x:v>From Project costs detail (7); split may not tie exactly to P&amp;L COGS if QBO category/report timing differs.</x:v>
      </x:c>
    </x:row>
    <x:row r="23">
      <x:c r="A23" t="n">
        <x:v>225</x:v>
      </x:c>
      <x:c r="B23" t="str">
        <x:v>225 - LV VA Bldg-89</x:v>
      </x:c>
      <x:c r="C23" t="str">
        <x:v>In Progress</x:v>
      </x:c>
      <x:c r="D23" s="14" t="n">
        <x:v>0</x:v>
      </x:c>
      <x:c r="E23" s="14" t="n">
        <x:v>0</x:v>
      </x:c>
      <x:c r="F23" s="14" t="n">
        <x:v>0</x:v>
      </x:c>
      <x:c r="G23" s="14" t="n">
        <x:v>0</x:v>
      </x:c>
      <x:c r="H23" s="14" t="n">
        <x:v>0</x:v>
      </x:c>
      <x:c r="I23" s="24" t="str"/>
      <x:c r="J23" s="24" t="str"/>
      <x:c r="K23" s="16" t="str">
        <x:v>From Project costs detail (7); split may not tie exactly to P&amp;L COGS if QBO category/report timing differs.</x:v>
      </x:c>
    </x:row>
    <x:row r="24">
      <x:c r="A24" t="n">
        <x:v>226</x:v>
      </x:c>
      <x:c r="B24" t="str">
        <x:v>226 - Stowers Grad Classroom Ceilings</x:v>
      </x:c>
      <x:c r="C24" t="str">
        <x:v>In Progress</x:v>
      </x:c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0</x:v>
      </x:c>
      <x:c r="I24" s="24" t="str"/>
      <x:c r="J24" s="24" t="str"/>
      <x:c r="K24" s="16" t="str">
        <x:v>From Project costs detail (7); split may not tie exactly to P&amp;L COGS if QBO category/report timing differs.</x:v>
      </x:c>
    </x:row>
    <x:row r="25">
      <x:c r="A25" t="n">
        <x:v>227</x:v>
      </x:c>
      <x:c r="B25" t="str">
        <x:v>227 - Dole Misc Painting 4th &amp; 6th</x:v>
      </x:c>
      <x:c r="C25" t="str">
        <x:v>In Progress</x:v>
      </x:c>
      <x:c r="D25" s="14" t="n">
        <x:v>0</x:v>
      </x:c>
      <x:c r="E25" s="14" t="n">
        <x:v>0</x:v>
      </x:c>
      <x:c r="F25" s="14" t="n">
        <x:v>0</x:v>
      </x:c>
      <x:c r="G25" s="14" t="n">
        <x:v>0</x:v>
      </x:c>
      <x:c r="H25" s="14" t="n">
        <x:v>0</x:v>
      </x:c>
      <x:c r="I25" s="24" t="str"/>
      <x:c r="J25" s="24" t="str"/>
      <x:c r="K25" s="16" t="str">
        <x:v>From Project costs detail (7); split may not tie exactly to P&amp;L COGS if QBO category/report timing differs.</x:v>
      </x:c>
    </x:row>
    <x:row r="26">
      <x:c r="A26" t="n">
        <x:v>228</x:v>
      </x:c>
      <x:c r="B26" t="str">
        <x:v>228 - Third Space Yoga Studio</x:v>
      </x:c>
      <x:c r="C26" t="str">
        <x:v>In Progress</x:v>
      </x:c>
      <x:c r="D26" s="14" t="n">
        <x:v>0</x:v>
      </x:c>
      <x:c r="E26" s="14" t="n">
        <x:v>0</x:v>
      </x:c>
      <x:c r="F26" s="14" t="n">
        <x:v>0</x:v>
      </x:c>
      <x:c r="G26" s="14" t="n">
        <x:v>0</x:v>
      </x:c>
      <x:c r="H26" s="14" t="n">
        <x:v>0</x:v>
      </x:c>
      <x:c r="I26" s="24" t="str"/>
      <x:c r="J26" s="24" t="str"/>
      <x:c r="K26" s="16" t="str">
        <x:v>From Project costs detail (7); split may not tie exactly to P&amp;L COGS if QBO category/report timing differs.</x:v>
      </x:c>
    </x:row>
    <x:row r="27">
      <x:c r="A27" t="n">
        <x:v>229</x:v>
      </x:c>
      <x:c r="B27" t="str">
        <x:v>229 - Gardenview</x:v>
      </x:c>
      <x:c r="C27" t="str">
        <x:v>PreCon</x:v>
      </x:c>
      <x:c r="D27" s="14" t="n">
        <x:v>0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24" t="str"/>
      <x:c r="J27" s="24" t="str"/>
      <x:c r="K27" s="16" t="str">
        <x:v>From Project costs detail (7); split may not tie exactly to P&amp;L COGS if QBO category/report timing differs.</x:v>
      </x:c>
    </x:row>
  </x:sheetData>
  <x:pageMargins left="0.7" right="0.7" top="0.75" bottom="0.75" header="0.3" footer="0.3"/>
  <x:tableParts count="1">
    <x:tablePart xmlns:r="http://schemas.openxmlformats.org/officeDocument/2006/relationships" r:id="Re203a15a182d4adc"/>
  </x:tableParts>
</x:worksheet>
</file>

<file path=xl/worksheets/sheet6.xml><?xml version="1.0" encoding="utf-8"?>
<x:worksheet xmlns:x="http://schemas.openxmlformats.org/spreadsheetml/2006/main">
  <x:sheetFormatPr defaultRowHeight="15"/>
  <x:cols>
    <x:col min="2" max="2" width="38" hidden="0" customWidth="1"/>
  </x:cols>
  <x:sheetData>
    <x:row r="1">
      <x:c r="A1" s="26" t="str">
        <x:v>Job</x:v>
      </x:c>
      <x:c r="B1" s="26" t="str">
        <x:v>Project</x:v>
      </x:c>
      <x:c r="C1" s="26" t="str">
        <x:v>Status</x:v>
      </x:c>
      <x:c r="D1" s="26" t="str">
        <x:v>Current</x:v>
      </x:c>
      <x:c r="E1" s="26" t="str">
        <x:v>1-30</x:v>
      </x:c>
      <x:c r="F1" s="26" t="str">
        <x:v>31-60</x:v>
      </x:c>
      <x:c r="G1" s="26" t="str">
        <x:v>61-90</x:v>
      </x:c>
      <x:c r="H1" s="26" t="str">
        <x:v>91+</x:v>
      </x:c>
      <x:c r="I1" s="26" t="str">
        <x:v>Total A/R</x:v>
      </x:c>
      <x:c r="J1" s="26" t="str">
        <x:v>Treatment</x:v>
      </x:c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n">
        <x:v>204</x:v>
      </x:c>
      <x:c r="B2" t="str">
        <x:v>204 - LightEdge Data Center</x:v>
      </x:c>
      <x:c r="C2" t="str">
        <x:v>In Progress</x:v>
      </x:c>
      <x:c r="D2" s="14" t="n">
        <x:v>109302.53</x:v>
      </x:c>
      <x:c r="E2" s="14" t="n">
        <x:v>106936.2</x:v>
      </x:c>
      <x:c r="F2" s="14" t="n">
        <x:v>0</x:v>
      </x:c>
      <x:c r="G2" s="14" t="n">
        <x:v>0</x:v>
      </x:c>
      <x:c r="H2" s="14" t="n">
        <x:v>0</x:v>
      </x:c>
      <x:c r="I2" s="14" t="n">
        <x:v>216238.72999999998</x:v>
      </x:c>
      <x:c r="J2" t="str">
        <x:v>Open receivable</x:v>
      </x:c>
    </x:row>
    <x:row r="3">
      <x:c r="A3" t="n">
        <x:v>206</x:v>
      </x:c>
      <x:c r="B3" t="str">
        <x:v>206 - LVV Heritage - 211A, 311A &amp; 317A</x:v>
      </x:c>
      <x:c r="C3" t="str">
        <x:v>In Progress</x:v>
      </x:c>
      <x:c r="D3" s="14" t="n">
        <x:v>103745.93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103745.93</x:v>
      </x:c>
      <x:c r="J3" t="str">
        <x:v>Open receivable</x:v>
      </x:c>
    </x:row>
    <x:row r="4">
      <x:c r="A4" t="n">
        <x:v>209</x:v>
      </x:c>
      <x:c r="B4" t="str">
        <x:v>209 - Capital Electric Fab Shop</x:v>
      </x:c>
      <x:c r="C4" t="str">
        <x:v>Waiting on A/R</x:v>
      </x:c>
      <x:c r="D4" s="14" t="n">
        <x:v>0</x:v>
      </x:c>
      <x:c r="E4" s="14" t="n">
        <x:v>17350</x:v>
      </x:c>
      <x:c r="F4" s="14" t="n">
        <x:v>0</x:v>
      </x:c>
      <x:c r="G4" s="14" t="n">
        <x:v>0</x:v>
      </x:c>
      <x:c r="H4" s="14" t="n">
        <x:v>0</x:v>
      </x:c>
      <x:c r="I4" s="14" t="n">
        <x:v>17350</x:v>
      </x:c>
      <x:c r="J4" t="str">
        <x:v>Collections only</x:v>
      </x:c>
    </x:row>
    <x:row r="5">
      <x:c r="A5" t="n">
        <x:v>210</x:v>
      </x:c>
      <x:c r="B5" t="str">
        <x:v>210 - Benedictine Library Toilet Partitions</x:v>
      </x:c>
      <x:c r="C5" t="str">
        <x:v>In Progress</x:v>
      </x:c>
      <x:c r="D5" s="14" t="n">
        <x:v>13366.5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13366.5</x:v>
      </x:c>
      <x:c r="J5" t="str">
        <x:v>Open receivable</x:v>
      </x:c>
    </x:row>
    <x:row r="6">
      <x:c r="A6" t="n">
        <x:v>215</x:v>
      </x:c>
      <x:c r="B6" t="str">
        <x:v>215 - 2306 Visitor Center</x:v>
      </x:c>
      <x:c r="C6" t="str">
        <x:v>Waiting on A/R</x:v>
      </x:c>
      <x:c r="D6" s="14" t="n">
        <x:v>12720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12720</x:v>
      </x:c>
      <x:c r="J6" t="str">
        <x:v>Collections only</x:v>
      </x:c>
    </x:row>
    <x:row r="7">
      <x:c r="A7" t="n">
        <x:v>218</x:v>
      </x:c>
      <x:c r="B7" t="str">
        <x:v>218 - Dole Grand Jury Room - Water Damage</x:v>
      </x:c>
      <x:c r="C7" t="str">
        <x:v>Waiting on A/R</x:v>
      </x:c>
      <x:c r="D7" s="14" t="n">
        <x:v>10999.55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10999.55</x:v>
      </x:c>
      <x:c r="J7" t="str">
        <x:v>Collections only</x:v>
      </x:c>
    </x:row>
    <x:row r="8">
      <x:c r="A8" t="n">
        <x:v>222</x:v>
      </x:c>
      <x:c r="B8" t="str">
        <x:v>222 - ISD Fairmount 26</x:v>
      </x:c>
      <x:c r="C8" t="str">
        <x:v>In Progress</x:v>
      </x:c>
      <x:c r="D8" s="14" t="n">
        <x:v>9500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9500</x:v>
      </x:c>
      <x:c r="J8" t="str">
        <x:v>Open receivable</x:v>
      </x:c>
    </x:row>
    <x:row r="9">
      <x:c r="A9" t="n">
        <x:v>197</x:v>
      </x:c>
      <x:c r="B9" t="str">
        <x:v>197 - Administrative Hallway Reno</x:v>
      </x:c>
      <x:c r="C9" t="str">
        <x:v>Waiting on A/R</x:v>
      </x:c>
      <x:c r="D9" s="14" t="n">
        <x:v>6000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6000</x:v>
      </x:c>
      <x:c r="J9" t="str">
        <x:v>Collections only</x:v>
      </x:c>
    </x:row>
    <x:row r="10">
      <x:c r="A10" t="n">
        <x:v>208</x:v>
      </x:c>
      <x:c r="B10" t="str">
        <x:v>208 - Park Hill 2026</x:v>
      </x:c>
      <x:c r="C10" t="str">
        <x:v>In Progress</x:v>
      </x:c>
      <x:c r="D10" s="14" t="n">
        <x:v>5586.47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5586.47</x:v>
      </x:c>
      <x:c r="J10" t="str">
        <x:v>Open receivable</x:v>
      </x:c>
    </x:row>
    <x:row r="11">
      <x:c r="A11" t="n">
        <x:v>158</x:v>
      </x:c>
      <x:c r="B11" t="str">
        <x:v>158 - Blue Valley CTE 2026</x:v>
      </x:c>
      <x:c r="C11" t="str">
        <x:v>In Progress</x:v>
      </x:c>
      <x:c r="D11" s="14" t="n">
        <x:v>2594.25</x:v>
      </x:c>
      <x:c r="E11" s="14" t="n">
        <x:v>2594.25</x:v>
      </x:c>
      <x:c r="F11" s="14" t="n">
        <x:v>0</x:v>
      </x:c>
      <x:c r="G11" s="14" t="n">
        <x:v>0</x:v>
      </x:c>
      <x:c r="H11" s="14" t="n">
        <x:v>0</x:v>
      </x:c>
      <x:c r="I11" s="14" t="n">
        <x:v>5188.5</x:v>
      </x:c>
      <x:c r="J11" t="str">
        <x:v>Open receivable</x:v>
      </x:c>
    </x:row>
    <x:row r="12">
      <x:c r="A12" t="n">
        <x:v>224</x:v>
      </x:c>
      <x:c r="B12" t="str">
        <x:v>224 - KUMC Research</x:v>
      </x:c>
      <x:c r="C12" t="str">
        <x:v>In Progress</x:v>
      </x:c>
      <x:c r="D12" s="14" t="n">
        <x:v>5113.9</x:v>
      </x:c>
      <x:c r="E12" s="14" t="n">
        <x:v>0</x:v>
      </x:c>
      <x:c r="F12" s="14" t="n">
        <x:v>0</x:v>
      </x:c>
      <x:c r="G12" s="14" t="n">
        <x:v>0</x:v>
      </x:c>
      <x:c r="H12" s="14" t="n">
        <x:v>0</x:v>
      </x:c>
      <x:c r="I12" s="14" t="n">
        <x:v>5113.9</x:v>
      </x:c>
      <x:c r="J12" t="str">
        <x:v>Open receivable</x:v>
      </x:c>
    </x:row>
    <x:row r="13">
      <x:c r="A13" t="n">
        <x:v>212</x:v>
      </x:c>
      <x:c r="B13" t="str">
        <x:v>212 - LPS Lewis &amp; Clark Restroom Reno</x:v>
      </x:c>
      <x:c r="C13" t="str">
        <x:v>In Progress</x:v>
      </x:c>
      <x:c r="D13" s="14" t="n">
        <x:v>2375</x:v>
      </x:c>
      <x:c r="E13" s="14" t="n">
        <x:v>2375</x:v>
      </x:c>
      <x:c r="F13" s="14" t="n">
        <x:v>0</x:v>
      </x:c>
      <x:c r="G13" s="14" t="n">
        <x:v>0</x:v>
      </x:c>
      <x:c r="H13" s="14" t="n">
        <x:v>0</x:v>
      </x:c>
      <x:c r="I13" s="14" t="n">
        <x:v>4750</x:v>
      </x:c>
      <x:c r="J13" t="str">
        <x:v>Open receivable</x:v>
      </x:c>
    </x:row>
    <x:row r="14">
      <x:c r="A14" t="n">
        <x:v>223</x:v>
      </x:c>
      <x:c r="B14" t="str">
        <x:v>223 - Kearney Deferred Maint</x:v>
      </x:c>
      <x:c r="C14" t="str">
        <x:v>In Progress</x:v>
      </x:c>
      <x:c r="D14" s="14" t="n">
        <x:v>4000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4000</x:v>
      </x:c>
      <x:c r="J14" t="str">
        <x:v>Open receivable</x:v>
      </x:c>
    </x:row>
    <x:row r="15">
      <x:c r="A15" t="n">
        <x:v>216</x:v>
      </x:c>
      <x:c r="B15" t="str">
        <x:v>216 - Unilever Phase II Demo</x:v>
      </x:c>
      <x:c r="C15" t="str">
        <x:v>Waiting on A/R</x:v>
      </x:c>
      <x:c r="D15" s="14" t="n">
        <x:v>347.87</x:v>
      </x:c>
      <x:c r="E15" s="14" t="n">
        <x:v>3130.83</x:v>
      </x:c>
      <x:c r="F15" s="14" t="n">
        <x:v>0</x:v>
      </x:c>
      <x:c r="G15" s="14" t="n">
        <x:v>0</x:v>
      </x:c>
      <x:c r="H15" s="14" t="n">
        <x:v>0</x:v>
      </x:c>
      <x:c r="I15" s="14" t="n">
        <x:v>3478.7</x:v>
      </x:c>
      <x:c r="J15" t="str">
        <x:v>Collections only</x:v>
      </x:c>
    </x:row>
    <x:row r="16">
      <x:c r="A16" t="n">
        <x:v>219</x:v>
      </x:c>
      <x:c r="B16" t="str">
        <x:v>219 - T&amp;M Partitions @ Fox Ridge</x:v>
      </x:c>
      <x:c r="C16" t="str">
        <x:v>Waiting on A/R</x:v>
      </x:c>
      <x:c r="D16" s="14" t="n">
        <x:v>1323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1323</x:v>
      </x:c>
      <x:c r="J16" t="str">
        <x:v>Collections only</x:v>
      </x:c>
    </x:row>
    <x:row r="17">
      <x:c r="A17" t="n">
        <x:v>221</x:v>
      </x:c>
      <x:c r="B17" t="str">
        <x:v>221 - Whitaker USMS Vault Door</x:v>
      </x:c>
      <x:c r="C17" t="str">
        <x:v>Waiting on A/R</x:v>
      </x:c>
      <x:c r="D17" s="14" t="n">
        <x:v>600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600</x:v>
      </x:c>
      <x:c r="J17" t="str">
        <x:v>Collections only</x:v>
      </x:c>
    </x:row>
  </x:sheetData>
  <x:pageMargins left="0.7" right="0.7" top="0.75" bottom="0.75" header="0.3" footer="0.3"/>
  <x:tableParts count="1">
    <x:tablePart xmlns:r="http://schemas.openxmlformats.org/officeDocument/2006/relationships" r:id="R2b5f95491d39414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4" max="4" width="24" hidden="0" customWidth="1"/>
    <x:col min="9" max="9" width="42" hidden="0" customWidth="1"/>
  </x:cols>
  <x:sheetData>
    <x:row r="1">
      <x:c r="A1" s="26" t="str">
        <x:v>Vendor</x:v>
      </x:c>
      <x:c r="B1" s="26" t="str">
        <x:v>Date</x:v>
      </x:c>
      <x:c r="C1" s="26" t="str">
        <x:v>Type</x:v>
      </x:c>
      <x:c r="D1" s="26" t="str">
        <x:v>Num</x:v>
      </x:c>
      <x:c r="E1" s="26" t="str">
        <x:v>Due Date</x:v>
      </x:c>
      <x:c r="F1" s="26" t="str">
        <x:v>Amount</x:v>
      </x:c>
      <x:c r="G1" s="26" t="str">
        <x:v>Open Balance</x:v>
      </x:c>
      <x:c r="H1" s="26" t="str">
        <x:v>Assigned Job</x:v>
      </x:c>
      <x:c r="I1" s="26" t="str">
        <x:v>Assignment Note</x:v>
      </x:c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ABCO Supply LLC</x:v>
      </x:c>
      <x:c r="B2" t="str">
        <x:v>05/26/2026</x:v>
      </x:c>
      <x:c r="C2" t="str">
        <x:v>Bill</x:v>
      </x:c>
      <x:c r="D2" t="str">
        <x:v>43204</x:v>
      </x:c>
      <x:c r="E2" t="str">
        <x:v>06/25/2026</x:v>
      </x:c>
      <x:c r="F2" s="14" t="n">
        <x:v>267.74</x:v>
      </x:c>
      <x:c r="G2" s="14" t="n">
        <x:v>267.74</x:v>
      </x:c>
      <x:c r="H2" t="str"/>
      <x:c r="I2" s="16" t="str">
        <x:v>Unassigned — bill number did not include clear J###</x:v>
      </x:c>
    </x:row>
    <x:row r="3">
      <x:c r="A3" t="str">
        <x:v>C4 Drywall Finishing LLC</x:v>
      </x:c>
      <x:c r="B3" t="str">
        <x:v>05/11/2026</x:v>
      </x:c>
      <x:c r="C3" t="str">
        <x:v>Bill</x:v>
      </x:c>
      <x:c r="D3" t="str">
        <x:v>WO1094</x:v>
      </x:c>
      <x:c r="E3" t="str">
        <x:v>06/10/2026</x:v>
      </x:c>
      <x:c r="F3" s="14" t="n">
        <x:v>822</x:v>
      </x:c>
      <x:c r="G3" s="14" t="n">
        <x:v>822</x:v>
      </x:c>
      <x:c r="H3" t="str"/>
      <x:c r="I3" s="16" t="str">
        <x:v>Unassigned — bill number did not include clear J###</x:v>
      </x:c>
    </x:row>
    <x:row r="4">
      <x:c r="A4" t="str">
        <x:v>CWA Specialties</x:v>
      </x:c>
      <x:c r="B4" t="str">
        <x:v>05/08/2026</x:v>
      </x:c>
      <x:c r="C4" t="str">
        <x:v>Bill</x:v>
      </x:c>
      <x:c r="D4" t="str">
        <x:v>1765</x:v>
      </x:c>
      <x:c r="E4" t="str">
        <x:v>06/07/2026</x:v>
      </x:c>
      <x:c r="F4" s="14" t="n">
        <x:v>2155</x:v>
      </x:c>
      <x:c r="G4" s="14" t="n">
        <x:v>2155</x:v>
      </x:c>
      <x:c r="H4" t="str"/>
      <x:c r="I4" s="16" t="str">
        <x:v>Unassigned — bill number did not include clear J###</x:v>
      </x:c>
    </x:row>
    <x:row r="5">
      <x:c r="A5" t="str">
        <x:v>DayCo Painting, Inc</x:v>
      </x:c>
      <x:c r="B5" t="str">
        <x:v>05/20/2026</x:v>
      </x:c>
      <x:c r="C5" t="str">
        <x:v>Bill</x:v>
      </x:c>
      <x:c r="D5" t="str">
        <x:v>J206-001-May</x:v>
      </x:c>
      <x:c r="E5" t="str">
        <x:v>06/19/2026</x:v>
      </x:c>
      <x:c r="F5" s="14" t="n">
        <x:v>10800</x:v>
      </x:c>
      <x:c r="G5" s="14" t="n">
        <x:v>10800</x:v>
      </x:c>
      <x:c r="H5" t="n">
        <x:v>206</x:v>
      </x:c>
      <x:c r="I5" s="16" t="str">
        <x:v>Assigned from J### in bill number</x:v>
      </x:c>
    </x:row>
    <x:row r="6">
      <x:c r="A6" t="str">
        <x:v>Duke Rentals</x:v>
      </x:c>
      <x:c r="B6" t="str">
        <x:v>05/18/2026</x:v>
      </x:c>
      <x:c r="C6" t="str">
        <x:v>Bill</x:v>
      </x:c>
      <x:c r="D6" t="str">
        <x:v>713575-0002</x:v>
      </x:c>
      <x:c r="E6" t="str">
        <x:v>06/02/2026</x:v>
      </x:c>
      <x:c r="F6" s="14" t="n">
        <x:v>527.85</x:v>
      </x:c>
      <x:c r="G6" s="14" t="n">
        <x:v>527.85</x:v>
      </x:c>
      <x:c r="H6" t="str"/>
      <x:c r="I6" s="16" t="str">
        <x:v>Unassigned — bill number did not include clear J###</x:v>
      </x:c>
    </x:row>
    <x:row r="7">
      <x:c r="A7" t="str">
        <x:v>Duke Rentals</x:v>
      </x:c>
      <x:c r="B7" t="str">
        <x:v>05/19/2026</x:v>
      </x:c>
      <x:c r="C7" t="str">
        <x:v>Bill</x:v>
      </x:c>
      <x:c r="D7" t="str">
        <x:v>705965-0003</x:v>
      </x:c>
      <x:c r="E7" t="str">
        <x:v>06/03/2026</x:v>
      </x:c>
      <x:c r="F7" s="14" t="n">
        <x:v>441.67</x:v>
      </x:c>
      <x:c r="G7" s="14" t="n">
        <x:v>441.67</x:v>
      </x:c>
      <x:c r="H7" t="str"/>
      <x:c r="I7" s="16" t="str">
        <x:v>Unassigned — bill number did not include clear J###</x:v>
      </x:c>
    </x:row>
    <x:row r="8">
      <x:c r="A8" t="str">
        <x:v>Foundation Building Materials</x:v>
      </x:c>
      <x:c r="B8" t="str">
        <x:v>05/04/2026</x:v>
      </x:c>
      <x:c r="C8" t="str">
        <x:v>Bill</x:v>
      </x:c>
      <x:c r="D8" t="str">
        <x:v>982043416-00</x:v>
      </x:c>
      <x:c r="E8" t="str">
        <x:v>06/30/2026</x:v>
      </x:c>
      <x:c r="F8" s="14" t="n">
        <x:v>2309.96</x:v>
      </x:c>
      <x:c r="G8" s="14" t="n">
        <x:v>2309.96</x:v>
      </x:c>
      <x:c r="H8" t="str"/>
      <x:c r="I8" s="16" t="str">
        <x:v>Unassigned — bill number did not include clear J###</x:v>
      </x:c>
    </x:row>
    <x:row r="9">
      <x:c r="A9" t="str">
        <x:v>Jayhawk Fire Sprinklers</x:v>
      </x:c>
      <x:c r="B9" t="str">
        <x:v>05/21/2026</x:v>
      </x:c>
      <x:c r="C9" t="str">
        <x:v>Bill</x:v>
      </x:c>
      <x:c r="D9" t="str">
        <x:v>21004K*05 -  J206</x:v>
      </x:c>
      <x:c r="E9" t="str">
        <x:v>06/20/2026</x:v>
      </x:c>
      <x:c r="F9" s="14" t="n">
        <x:v>2617.5</x:v>
      </x:c>
      <x:c r="G9" s="14" t="n">
        <x:v>2617.5</x:v>
      </x:c>
      <x:c r="H9" t="n">
        <x:v>206</x:v>
      </x:c>
      <x:c r="I9" s="16" t="str">
        <x:v>Assigned from J### in bill number</x:v>
      </x:c>
    </x:row>
    <x:row r="10">
      <x:c r="A10" t="str">
        <x:v>Jayhawk Fire Sprinklers</x:v>
      </x:c>
      <x:c r="B10" t="str">
        <x:v>05/21/2026</x:v>
      </x:c>
      <x:c r="C10" t="str">
        <x:v>Bill</x:v>
      </x:c>
      <x:c r="D10" t="str">
        <x:v>21004K*04 - J206</x:v>
      </x:c>
      <x:c r="E10" t="str">
        <x:v>07/20/2026</x:v>
      </x:c>
      <x:c r="F10" s="14" t="n">
        <x:v>1651.5</x:v>
      </x:c>
      <x:c r="G10" s="14" t="n">
        <x:v>1651.5</x:v>
      </x:c>
      <x:c r="H10" t="n">
        <x:v>206</x:v>
      </x:c>
      <x:c r="I10" s="16" t="str">
        <x:v>Assigned from J### in bill number</x:v>
      </x:c>
    </x:row>
    <x:row r="11">
      <x:c r="A11" t="str">
        <x:v>JF Denney Inc.</x:v>
      </x:c>
      <x:c r="B11" t="str">
        <x:v>05/31/2026</x:v>
      </x:c>
      <x:c r="C11" t="str">
        <x:v>Bill</x:v>
      </x:c>
      <x:c r="D11" t="str">
        <x:v>30202-003 - J206</x:v>
      </x:c>
      <x:c r="E11" t="str">
        <x:v>06/30/2026</x:v>
      </x:c>
      <x:c r="F11" s="14" t="n">
        <x:v>11615.4</x:v>
      </x:c>
      <x:c r="G11" s="14" t="n">
        <x:v>11615.4</x:v>
      </x:c>
      <x:c r="H11" t="n">
        <x:v>206</x:v>
      </x:c>
      <x:c r="I11" s="16" t="str">
        <x:v>Assigned from J### in bill number</x:v>
      </x:c>
    </x:row>
    <x:row r="12">
      <x:c r="A12" t="str">
        <x:v>Keller Fire &amp; Safety</x:v>
      </x:c>
      <x:c r="B12" t="str">
        <x:v>05/18/2026</x:v>
      </x:c>
      <x:c r="C12" t="str">
        <x:v>Bill</x:v>
      </x:c>
      <x:c r="D12" t="str">
        <x:v>5315100</x:v>
      </x:c>
      <x:c r="E12" t="str">
        <x:v>06/17/2026</x:v>
      </x:c>
      <x:c r="F12" s="14" t="n">
        <x:v>24785.61</x:v>
      </x:c>
      <x:c r="G12" s="14" t="n">
        <x:v>24785.61</x:v>
      </x:c>
      <x:c r="H12" t="str"/>
      <x:c r="I12" s="16" t="str">
        <x:v>Unassigned — bill number did not include clear J###</x:v>
      </x:c>
    </x:row>
    <x:row r="13">
      <x:c r="A13" t="str">
        <x:v>L&amp;W Supply Corporation</x:v>
      </x:c>
      <x:c r="B13" t="str">
        <x:v>01/31/2026</x:v>
      </x:c>
      <x:c r="C13" t="str">
        <x:v>Vendor Credit</x:v>
      </x:c>
      <x:c r="D13" t="str"/>
      <x:c r="E13" t="str"/>
      <x:c r="F13" s="14" t="n">
        <x:v>-28.52</x:v>
      </x:c>
      <x:c r="G13" s="14" t="n">
        <x:v>-28.52</x:v>
      </x:c>
      <x:c r="H13" t="str"/>
      <x:c r="I13" s="16" t="str">
        <x:v>Unassigned — bill number did not include clear J###</x:v>
      </x:c>
    </x:row>
    <x:row r="14">
      <x:c r="A14" t="str">
        <x:v>L&amp;W Supply Corporation</x:v>
      </x:c>
      <x:c r="B14" t="str">
        <x:v>04/02/2026</x:v>
      </x:c>
      <x:c r="C14" t="str">
        <x:v>Bill</x:v>
      </x:c>
      <x:c r="D14" t="str">
        <x:v>1017379006-001</x:v>
      </x:c>
      <x:c r="E14" t="str">
        <x:v>05/30/2026</x:v>
      </x:c>
      <x:c r="F14" s="14" t="n">
        <x:v>5554.42</x:v>
      </x:c>
      <x:c r="G14" s="14" t="n">
        <x:v>5554.42</x:v>
      </x:c>
      <x:c r="H14" t="str"/>
      <x:c r="I14" s="16" t="str">
        <x:v>Unassigned — bill number did not include clear J###</x:v>
      </x:c>
    </x:row>
    <x:row r="15">
      <x:c r="A15" t="str">
        <x:v>L&amp;W Supply Corporation</x:v>
      </x:c>
      <x:c r="B15" t="str">
        <x:v>04/02/2026</x:v>
      </x:c>
      <x:c r="C15" t="str">
        <x:v>Bill</x:v>
      </x:c>
      <x:c r="D15" t="str">
        <x:v>1017414313-001</x:v>
      </x:c>
      <x:c r="E15" t="str">
        <x:v>05/30/2026</x:v>
      </x:c>
      <x:c r="F15" s="14" t="n">
        <x:v>336.64</x:v>
      </x:c>
      <x:c r="G15" s="14" t="n">
        <x:v>336.64</x:v>
      </x:c>
      <x:c r="H15" t="str"/>
      <x:c r="I15" s="16" t="str">
        <x:v>Unassigned — bill number did not include clear J###</x:v>
      </x:c>
    </x:row>
    <x:row r="16">
      <x:c r="A16" t="str">
        <x:v>L&amp;W Supply Corporation</x:v>
      </x:c>
      <x:c r="B16" t="str">
        <x:v>04/07/2026</x:v>
      </x:c>
      <x:c r="C16" t="str">
        <x:v>Bill</x:v>
      </x:c>
      <x:c r="D16" t="str">
        <x:v>1017340250-001</x:v>
      </x:c>
      <x:c r="E16" t="str">
        <x:v>05/25/2026</x:v>
      </x:c>
      <x:c r="F16" s="14" t="n">
        <x:v>19511.07</x:v>
      </x:c>
      <x:c r="G16" s="14" t="n">
        <x:v>19511.07</x:v>
      </x:c>
      <x:c r="H16" t="str"/>
      <x:c r="I16" s="16" t="str">
        <x:v>Unassigned — bill number did not include clear J###</x:v>
      </x:c>
    </x:row>
    <x:row r="17">
      <x:c r="A17" t="str">
        <x:v>L&amp;W Supply Corporation</x:v>
      </x:c>
      <x:c r="B17" t="str">
        <x:v>04/08/2026</x:v>
      </x:c>
      <x:c r="C17" t="str">
        <x:v>Bill</x:v>
      </x:c>
      <x:c r="D17" t="str">
        <x:v>1017358490-002</x:v>
      </x:c>
      <x:c r="E17" t="str">
        <x:v>05/30/2026</x:v>
      </x:c>
      <x:c r="F17" s="14" t="n">
        <x:v>809.03</x:v>
      </x:c>
      <x:c r="G17" s="14" t="n">
        <x:v>809.03</x:v>
      </x:c>
      <x:c r="H17" t="str"/>
      <x:c r="I17" s="16" t="str">
        <x:v>Unassigned — bill number did not include clear J###</x:v>
      </x:c>
    </x:row>
    <x:row r="18">
      <x:c r="A18" t="str">
        <x:v>L&amp;W Supply Corporation</x:v>
      </x:c>
      <x:c r="B18" t="str">
        <x:v>04/08/2026</x:v>
      </x:c>
      <x:c r="C18" t="str">
        <x:v>Bill</x:v>
      </x:c>
      <x:c r="D18" t="str">
        <x:v>1017358490-001</x:v>
      </x:c>
      <x:c r="E18" t="str">
        <x:v>05/30/2026</x:v>
      </x:c>
      <x:c r="F18" s="14" t="n">
        <x:v>3513.65</x:v>
      </x:c>
      <x:c r="G18" s="14" t="n">
        <x:v>3513.65</x:v>
      </x:c>
      <x:c r="H18" t="str"/>
      <x:c r="I18" s="16" t="str">
        <x:v>Unassigned — bill number did not include clear J###</x:v>
      </x:c>
    </x:row>
    <x:row r="19">
      <x:c r="A19" t="str">
        <x:v>L&amp;W Supply Corporation</x:v>
      </x:c>
      <x:c r="B19" t="str">
        <x:v>04/10/2026</x:v>
      </x:c>
      <x:c r="C19" t="str">
        <x:v>Bill</x:v>
      </x:c>
      <x:c r="D19" t="str">
        <x:v>1017451681-001</x:v>
      </x:c>
      <x:c r="E19" t="str">
        <x:v>05/30/2026</x:v>
      </x:c>
      <x:c r="F19" s="14" t="n">
        <x:v>1939.14</x:v>
      </x:c>
      <x:c r="G19" s="14" t="n">
        <x:v>1939.14</x:v>
      </x:c>
      <x:c r="H19" t="str"/>
      <x:c r="I19" s="16" t="str">
        <x:v>Unassigned — bill number did not include clear J###</x:v>
      </x:c>
    </x:row>
    <x:row r="20">
      <x:c r="A20" t="str">
        <x:v>L&amp;W Supply Corporation</x:v>
      </x:c>
      <x:c r="B20" t="str">
        <x:v>04/17/2026</x:v>
      </x:c>
      <x:c r="C20" t="str">
        <x:v>Bill</x:v>
      </x:c>
      <x:c r="D20" t="str">
        <x:v>1017591713-001</x:v>
      </x:c>
      <x:c r="E20" t="str">
        <x:v>05/30/2026</x:v>
      </x:c>
      <x:c r="F20" s="14" t="n">
        <x:v>91.85</x:v>
      </x:c>
      <x:c r="G20" s="14" t="n">
        <x:v>91.85</x:v>
      </x:c>
      <x:c r="H20" t="str"/>
      <x:c r="I20" s="16" t="str">
        <x:v>Unassigned — bill number did not include clear J###</x:v>
      </x:c>
    </x:row>
    <x:row r="21">
      <x:c r="A21" t="str">
        <x:v>L&amp;W Supply Corporation</x:v>
      </x:c>
      <x:c r="B21" t="str">
        <x:v>04/17/2026</x:v>
      </x:c>
      <x:c r="C21" t="str">
        <x:v>Bill</x:v>
      </x:c>
      <x:c r="D21" t="str">
        <x:v>1017513683-001</x:v>
      </x:c>
      <x:c r="E21" t="str">
        <x:v>05/30/2026</x:v>
      </x:c>
      <x:c r="F21" s="14" t="n">
        <x:v>5642.52</x:v>
      </x:c>
      <x:c r="G21" s="14" t="n">
        <x:v>5642.52</x:v>
      </x:c>
      <x:c r="H21" t="str"/>
      <x:c r="I21" s="16" t="str">
        <x:v>Unassigned — bill number did not include clear J###</x:v>
      </x:c>
    </x:row>
    <x:row r="22">
      <x:c r="A22" t="str">
        <x:v>L&amp;W Supply Corporation</x:v>
      </x:c>
      <x:c r="B22" t="str">
        <x:v>04/28/2026</x:v>
      </x:c>
      <x:c r="C22" t="str">
        <x:v>Bill</x:v>
      </x:c>
      <x:c r="D22" t="str">
        <x:v>1017633155-001</x:v>
      </x:c>
      <x:c r="E22" t="str">
        <x:v>05/30/2026</x:v>
      </x:c>
      <x:c r="F22" s="14" t="n">
        <x:v>948.71</x:v>
      </x:c>
      <x:c r="G22" s="14" t="n">
        <x:v>948.71</x:v>
      </x:c>
      <x:c r="H22" t="str"/>
      <x:c r="I22" s="16" t="str">
        <x:v>Unassigned — bill number did not include clear J###</x:v>
      </x:c>
    </x:row>
    <x:row r="23">
      <x:c r="A23" t="str">
        <x:v>L&amp;W Supply Corporation</x:v>
      </x:c>
      <x:c r="B23" t="str">
        <x:v>05/07/2026</x:v>
      </x:c>
      <x:c r="C23" t="str">
        <x:v>Bill</x:v>
      </x:c>
      <x:c r="D23" t="str">
        <x:v>1017790003-001</x:v>
      </x:c>
      <x:c r="E23" t="str">
        <x:v>06/30/2026</x:v>
      </x:c>
      <x:c r="F23" s="14" t="n">
        <x:v>4087.38</x:v>
      </x:c>
      <x:c r="G23" s="14" t="n">
        <x:v>4087.38</x:v>
      </x:c>
      <x:c r="H23" t="str"/>
      <x:c r="I23" s="16" t="str">
        <x:v>Unassigned — bill number did not include clear J###</x:v>
      </x:c>
    </x:row>
    <x:row r="24">
      <x:c r="A24" t="str">
        <x:v>L&amp;W Supply Corporation</x:v>
      </x:c>
      <x:c r="B24" t="str">
        <x:v>05/07/2026</x:v>
      </x:c>
      <x:c r="C24" t="str">
        <x:v>Bill</x:v>
      </x:c>
      <x:c r="D24" t="str">
        <x:v>1017565452-001</x:v>
      </x:c>
      <x:c r="E24" t="str">
        <x:v>06/30/2026</x:v>
      </x:c>
      <x:c r="F24" s="14" t="n">
        <x:v>7273.58</x:v>
      </x:c>
      <x:c r="G24" s="14" t="n">
        <x:v>7273.58</x:v>
      </x:c>
      <x:c r="H24" t="str"/>
      <x:c r="I24" s="16" t="str">
        <x:v>Unassigned — bill number did not include clear J###</x:v>
      </x:c>
    </x:row>
    <x:row r="25">
      <x:c r="A25" t="str">
        <x:v>L&amp;W Supply Corporation</x:v>
      </x:c>
      <x:c r="B25" t="str">
        <x:v>05/08/2026</x:v>
      </x:c>
      <x:c r="C25" t="str">
        <x:v>Bill</x:v>
      </x:c>
      <x:c r="D25" t="str">
        <x:v>1017790022-001</x:v>
      </x:c>
      <x:c r="E25" t="str">
        <x:v>06/07/2026</x:v>
      </x:c>
      <x:c r="F25" s="14" t="n">
        <x:v>3056.16</x:v>
      </x:c>
      <x:c r="G25" s="14" t="n">
        <x:v>3056.16</x:v>
      </x:c>
      <x:c r="H25" t="str"/>
      <x:c r="I25" s="16" t="str">
        <x:v>Unassigned — bill number did not include clear J###</x:v>
      </x:c>
    </x:row>
    <x:row r="26">
      <x:c r="A26" t="str">
        <x:v>McCray Lumber CO</x:v>
      </x:c>
      <x:c r="B26" t="str">
        <x:v>05/06/2026</x:v>
      </x:c>
      <x:c r="C26" t="str">
        <x:v>Bill</x:v>
      </x:c>
      <x:c r="D26" t="str">
        <x:v>FA0002424110-002</x:v>
      </x:c>
      <x:c r="E26" t="str">
        <x:v>06/25/2026</x:v>
      </x:c>
      <x:c r="F26" s="14" t="n">
        <x:v>1860.19</x:v>
      </x:c>
      <x:c r="G26" s="14" t="n">
        <x:v>1860.19</x:v>
      </x:c>
      <x:c r="H26" t="str"/>
      <x:c r="I26" s="16" t="str">
        <x:v>Unassigned — bill number did not include clear J###</x:v>
      </x:c>
    </x:row>
    <x:row r="27">
      <x:c r="A27" t="str">
        <x:v>McCray Lumber CO</x:v>
      </x:c>
      <x:c r="B27" t="str">
        <x:v>05/20/2026</x:v>
      </x:c>
      <x:c r="C27" t="str">
        <x:v>Bill</x:v>
      </x:c>
      <x:c r="D27" t="str">
        <x:v>FA0002451060-001</x:v>
      </x:c>
      <x:c r="E27" t="str">
        <x:v>06/25/2026</x:v>
      </x:c>
      <x:c r="F27" s="14" t="n">
        <x:v>596.7</x:v>
      </x:c>
      <x:c r="G27" s="14" t="n">
        <x:v>596.7</x:v>
      </x:c>
      <x:c r="H27" t="str"/>
      <x:c r="I27" s="16" t="str">
        <x:v>Unassigned — bill number did not include clear J###</x:v>
      </x:c>
    </x:row>
    <x:row r="28">
      <x:c r="A28" t="str">
        <x:v>SCHUTTE LUMBER COMPANY</x:v>
      </x:c>
      <x:c r="B28" t="str">
        <x:v>04/28/2026</x:v>
      </x:c>
      <x:c r="C28" t="str">
        <x:v>Bill</x:v>
      </x:c>
      <x:c r="D28" t="str">
        <x:v>0000403790-001</x:v>
      </x:c>
      <x:c r="E28" t="str">
        <x:v>05/31/2026</x:v>
      </x:c>
      <x:c r="F28" s="14" t="n">
        <x:v>2920.98</x:v>
      </x:c>
      <x:c r="G28" s="14" t="n">
        <x:v>2920.98</x:v>
      </x:c>
      <x:c r="H28" t="str"/>
      <x:c r="I28" s="16" t="str">
        <x:v>Unassigned — bill number did not include clear J###</x:v>
      </x:c>
    </x:row>
    <x:row r="29">
      <x:c r="A29" t="str">
        <x:v>SCHUTTE LUMBER COMPANY</x:v>
      </x:c>
      <x:c r="B29" t="str">
        <x:v>05/04/2026</x:v>
      </x:c>
      <x:c r="C29" t="str">
        <x:v>Bill</x:v>
      </x:c>
      <x:c r="D29" t="str">
        <x:v>0000408517-001</x:v>
      </x:c>
      <x:c r="E29" t="str">
        <x:v>06/30/2026</x:v>
      </x:c>
      <x:c r="F29" s="14" t="n">
        <x:v>405.18</x:v>
      </x:c>
      <x:c r="G29" s="14" t="n">
        <x:v>405.18</x:v>
      </x:c>
      <x:c r="H29" t="str"/>
      <x:c r="I29" s="16" t="str">
        <x:v>Unassigned — bill number did not include clear J###</x:v>
      </x:c>
    </x:row>
    <x:row r="30">
      <x:c r="A30" t="str">
        <x:v>Tech Electric, LLC</x:v>
      </x:c>
      <x:c r="B30" t="str">
        <x:v>05/07/2026</x:v>
      </x:c>
      <x:c r="C30" t="str">
        <x:v>Bill</x:v>
      </x:c>
      <x:c r="D30" t="str">
        <x:v>J206 - #003</x:v>
      </x:c>
      <x:c r="E30" t="str">
        <x:v>07/15/2026</x:v>
      </x:c>
      <x:c r="F30" s="14" t="n">
        <x:v>10350</x:v>
      </x:c>
      <x:c r="G30" s="14" t="n">
        <x:v>10350</x:v>
      </x:c>
      <x:c r="H30" t="n">
        <x:v>206</x:v>
      </x:c>
      <x:c r="I30" s="16" t="str">
        <x:v>Assigned from J### in bill number</x:v>
      </x:c>
    </x:row>
  </x:sheetData>
  <x:pageMargins left="0.7" right="0.7" top="0.75" bottom="0.75" header="0.3" footer="0.3"/>
  <x:tableParts count="1">
    <x:tablePart xmlns:r="http://schemas.openxmlformats.org/officeDocument/2006/relationships" r:id="R609fbc4e365d4f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2" hidden="0" customWidth="1"/>
    <x:col min="3" max="3" width="70" hidden="0" customWidth="1"/>
  </x:cols>
  <x:sheetData>
    <x:row r="1">
      <x:c r="A1" s="20" t="str">
        <x:v>Source / Input</x:v>
      </x:c>
      <x:c r="B1" s="20" t="str">
        <x:v>Use in workbook</x:v>
      </x:c>
      <x:c r="C1" s="20" t="str">
        <x:v>Notes</x:v>
      </x:c>
    </x:row>
    <x:row r="2">
      <x:c r="A2" s="16" t="str">
        <x:v>Brighten Builders LLC_Profit and Loss by Customer.xlsx</x:v>
      </x:c>
      <x:c r="B2" s="16" t="str">
        <x:v>2026 billings YTD and COGS by project/customer</x:v>
      </x:c>
      <x:c r="C2" s="16" t="str">
        <x:v>Date range shown in report: Jan 1–May 29, 2026.</x:v>
      </x:c>
    </x:row>
    <x:row r="3">
      <x:c r="A3" s="16" t="str">
        <x:v>Brighten Builders LLC_Project costs detail (7).xlsx</x:v>
      </x:c>
      <x:c r="B3" s="16" t="str">
        <x:v>Self-performed labor / subs / material / other split</x:v>
      </x:c>
      <x:c r="C3" s="16" t="str">
        <x:v>Used for cost mix; split may differ slightly from P&amp;L totals due to QBO report timing/category filters.</x:v>
      </x:c>
    </x:row>
    <x:row r="4">
      <x:c r="A4" s="16" t="str">
        <x:v>Brighten Builders LLC_A_R Aging Summary Report (2).xlsx</x:v>
      </x:c>
      <x:c r="B4" s="16" t="str">
        <x:v>Open A/R and aging buckets</x:v>
      </x:c>
      <x:c r="C4" s="16" t="str">
        <x:v>A/R is collection risk/working capital, not additional revenue.</x:v>
      </x:c>
    </x:row>
    <x:row r="5">
      <x:c r="A5" s="16" t="str">
        <x:v>Brighten Builders LLC_Vendor Balance Detail Report.xlsx</x:v>
      </x:c>
      <x:c r="B5" s="16" t="str">
        <x:v>Open vendor A/P</x:v>
      </x:c>
      <x:c r="C5" s="16" t="str">
        <x:v>Only bills with J### in bill number were assigned to jobs; the rest remain unassigned.</x:v>
      </x:c>
    </x:row>
    <x:row r="6">
      <x:c r="A6" s="16" t="str">
        <x:v>J158, J197, J204, J206, J210, J216, J222, J223 pay applications</x:v>
      </x:c>
      <x:c r="B6" s="16" t="str">
        <x:v>Contract sums, earned-to-date, current due, balances to finish</x:v>
      </x:c>
      <x:c r="C6" s="16" t="str">
        <x:v>Used to clean contract/backlog for projects with May pay apps.</x:v>
      </x:c>
    </x:row>
    <x:row r="7">
      <x:c r="A7" s="16" t="str">
        <x:v>User status correction in chat</x:v>
      </x:c>
      <x:c r="B7" s="16" t="str">
        <x:v>Moved 193, 197, 209, 215, 216, 218, 219, 221 to Waiting on A/R; kept 223 and 224 In Progress</x:v>
      </x:c>
      <x:c r="C7" s="16" t="str">
        <x:v>Waiting on A/R is excluded from future backlog forecast.</x:v>
      </x:c>
    </x:row>
    <x:row r="8">
      <x:c r="A8" s="16"/>
      <x:c r="B8" s="16"/>
      <x:c r="C8" s="16"/>
    </x:row>
    <x:row r="9">
      <x:c r="A9" s="16"/>
      <x:c r="B9" s="16"/>
      <x:c r="C9" s="16"/>
    </x:row>
    <x:row r="10">
      <x:c r="A10" s="16"/>
      <x:c r="B10" s="16"/>
      <x:c r="C10" s="16"/>
    </x:row>
  </x:sheetData>
  <x:pageMargins left="0.7" right="0.7" top="0.75" bottom="0.75" header="0.3" footer="0.3"/>
</x:worksheet>
</file>