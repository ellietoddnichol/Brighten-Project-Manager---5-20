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693" i="1" l="1"/>
</calcChain>
</file>

<file path=xl/sharedStrings.xml><?xml version="1.0" encoding="utf-8"?>
<sst xmlns="http://schemas.openxmlformats.org/spreadsheetml/2006/main" count="25172" uniqueCount="3686">
  <si>
    <t>Brighten Builders LLC</t>
  </si>
  <si>
    <t>Project costs detail</t>
  </si>
  <si>
    <t>All Dates</t>
  </si>
  <si>
    <t>Direct Costs (COGS)</t>
  </si>
  <si>
    <t>101 - Whittaker Court House</t>
  </si>
  <si>
    <t>Rew Materials, Inc</t>
  </si>
  <si>
    <t>Expense</t>
  </si>
  <si>
    <t>05/17/2024</t>
  </si>
  <si>
    <t/>
  </si>
  <si>
    <t>Cost of Goods Sold</t>
  </si>
  <si>
    <t>No PO Entered REW MATERIALS KANSAS CITY KS XXXX-XXXXXX-X1028</t>
  </si>
  <si>
    <t>Total for Direct Costs (COGS)</t>
  </si>
  <si>
    <t>ABCO Supply LLC</t>
  </si>
  <si>
    <t>Bill</t>
  </si>
  <si>
    <t>02/29/2024</t>
  </si>
  <si>
    <t>38814</t>
  </si>
  <si>
    <t>ABC Supply</t>
  </si>
  <si>
    <t>Grabber</t>
  </si>
  <si>
    <t>04/11/2024</t>
  </si>
  <si>
    <t>1009</t>
  </si>
  <si>
    <t>GRABBER MISSOURI 1375 PO1009</t>
  </si>
  <si>
    <t>L&amp;W Supply Corporation</t>
  </si>
  <si>
    <t>05/10/2024</t>
  </si>
  <si>
    <t>1051</t>
  </si>
  <si>
    <t>L &amp; W Supply Corporation</t>
  </si>
  <si>
    <t>03/07/2024</t>
  </si>
  <si>
    <t>1009310877-001</t>
  </si>
  <si>
    <t>05/13/2024</t>
  </si>
  <si>
    <t>1052-2</t>
  </si>
  <si>
    <t>03/15/2024</t>
  </si>
  <si>
    <t>1005</t>
  </si>
  <si>
    <t>05/08/2024</t>
  </si>
  <si>
    <t>1048</t>
  </si>
  <si>
    <t>1062</t>
  </si>
  <si>
    <t>03/28/2024</t>
  </si>
  <si>
    <t>1008</t>
  </si>
  <si>
    <t>Lowe's</t>
  </si>
  <si>
    <t>05/05/2024</t>
  </si>
  <si>
    <t>1047</t>
  </si>
  <si>
    <t>PO1047</t>
  </si>
  <si>
    <t>Total for Job Supplies - COGS</t>
  </si>
  <si>
    <t>05/21/2024</t>
  </si>
  <si>
    <t>Expenses</t>
  </si>
  <si>
    <t>RPS KANSAS CITY TWO KANSAS CITY MO XXXX-XXXXXX-X1028</t>
  </si>
  <si>
    <t>Total for Parking &amp; tolls</t>
  </si>
  <si>
    <t>Mid-America Carpenters Council</t>
  </si>
  <si>
    <t>04/16/2024</t>
  </si>
  <si>
    <t>COMMERCEBANK IMG, CARPESTAMP</t>
  </si>
  <si>
    <t>07/16/2024</t>
  </si>
  <si>
    <t>06/17/2024</t>
  </si>
  <si>
    <t>Total for Union Benefits - COGS</t>
  </si>
  <si>
    <t>employee</t>
  </si>
  <si>
    <t>06/14/2024</t>
  </si>
  <si>
    <t>ADP WAGE PAY, WAGE PAY</t>
  </si>
  <si>
    <t>05/16/2024</t>
  </si>
  <si>
    <t>04/26/2024</t>
  </si>
  <si>
    <t>03/21/2024</t>
  </si>
  <si>
    <t>05/24/2024</t>
  </si>
  <si>
    <t>06/06/2024</t>
  </si>
  <si>
    <t>04/19/2024</t>
  </si>
  <si>
    <t>05/31/2024</t>
  </si>
  <si>
    <t>04/05/2024</t>
  </si>
  <si>
    <t>05/20/2024</t>
  </si>
  <si>
    <t>ADP WAGE PAY, WAGE PAY Had to run extra payroll due to error on timesheets</t>
  </si>
  <si>
    <t>Clark Drywall</t>
  </si>
  <si>
    <t>05/25/2024</t>
  </si>
  <si>
    <t>003</t>
  </si>
  <si>
    <t>Total for Wages - COGS</t>
  </si>
  <si>
    <t>Total for 101 - Whittaker Court House</t>
  </si>
  <si>
    <t>Background Checks</t>
  </si>
  <si>
    <t>102 - NKC Deferred Maintenance Phase 2B</t>
  </si>
  <si>
    <t>Validity Screening Sol</t>
  </si>
  <si>
    <t>06/01/2024</t>
  </si>
  <si>
    <t>NKC schools J102background checks</t>
  </si>
  <si>
    <t>05/01/2024</t>
  </si>
  <si>
    <t>Validity Screening for NKC Schools j102</t>
  </si>
  <si>
    <t>Total for Background Checks</t>
  </si>
  <si>
    <t>Duke Rentals</t>
  </si>
  <si>
    <t>07/10/2024</t>
  </si>
  <si>
    <t>573331-0001</t>
  </si>
  <si>
    <t>Duke Aerial, Inc.</t>
  </si>
  <si>
    <t>Total for Equipment rental - COGS</t>
  </si>
  <si>
    <t>Eleven Ten Systems</t>
  </si>
  <si>
    <t>05/06/2024</t>
  </si>
  <si>
    <t>1289</t>
  </si>
  <si>
    <t>ElevenTen Systems LLC.</t>
  </si>
  <si>
    <t>Foundation Building Materials</t>
  </si>
  <si>
    <t>06/26/2024</t>
  </si>
  <si>
    <t>982005757-00</t>
  </si>
  <si>
    <t>Foundation Building Materials, LLC</t>
  </si>
  <si>
    <t>982003778-00</t>
  </si>
  <si>
    <t>06/05/2024</t>
  </si>
  <si>
    <t>982003485</t>
  </si>
  <si>
    <t>06/21/2024</t>
  </si>
  <si>
    <t>982003779-00</t>
  </si>
  <si>
    <t>07/15/2024</t>
  </si>
  <si>
    <t>982006684-00</t>
  </si>
  <si>
    <t>07/17/2024</t>
  </si>
  <si>
    <t>982006058-00</t>
  </si>
  <si>
    <t>06/25/2024</t>
  </si>
  <si>
    <t>982005631-00</t>
  </si>
  <si>
    <t>982004759-00</t>
  </si>
  <si>
    <t>06/07/2024</t>
  </si>
  <si>
    <t>982004591-00</t>
  </si>
  <si>
    <t>06/28/2024</t>
  </si>
  <si>
    <t>982005314-00</t>
  </si>
  <si>
    <t>982003774-00</t>
  </si>
  <si>
    <t>982006057-00</t>
  </si>
  <si>
    <t>1087</t>
  </si>
  <si>
    <t>GRABBER MISSOURI XXXXXX-XXX9853 MO XXXX-XXXXXX-X1028</t>
  </si>
  <si>
    <t>07/11/2024</t>
  </si>
  <si>
    <t>1010743882</t>
  </si>
  <si>
    <t>07/03/2024</t>
  </si>
  <si>
    <t>1010662704</t>
  </si>
  <si>
    <t>1010696686-001</t>
  </si>
  <si>
    <t>07/02/2024</t>
  </si>
  <si>
    <t>1010649895</t>
  </si>
  <si>
    <t>Walmart</t>
  </si>
  <si>
    <t>PO1090 WAL-MART SUPERCENTERGLADSTONE MO XXXX-XXXXXX-X1010</t>
  </si>
  <si>
    <t>Home Depot</t>
  </si>
  <si>
    <t>PO 1118 THE HOME DEPOT 3008 GLADSTONE MO XXXX-XXXXXX-X1010</t>
  </si>
  <si>
    <t>PO 1135 THE HOME DEPOT SHAWNEE KS XXXX-XXXXXX-X1028</t>
  </si>
  <si>
    <t>07/05/2024</t>
  </si>
  <si>
    <t>PO 1151 THE HOME DEPOT GLADSTONE MO XXXX-XXXXXX-X1028</t>
  </si>
  <si>
    <t>07/09/2024</t>
  </si>
  <si>
    <t>PO 1158 THE HOME DEPOT 3008 GLADSTONE MO XXXX-XXXXXX-X1028</t>
  </si>
  <si>
    <t>PO1161 THE HOME DEPOT GLADSTONE MO XXXX-XXXXXX-X1028</t>
  </si>
  <si>
    <t>Westlake Hardware</t>
  </si>
  <si>
    <t>07/12/2024</t>
  </si>
  <si>
    <t>PO 1162 WESTLAKE HARDWARE #0GLADSTONE MO XXXX-XXXXXX-X1028</t>
  </si>
  <si>
    <t>PO 1164 LOWES OF GLADSTONE KANSAS CITY MO XXXX-XXXXXX-X1028</t>
  </si>
  <si>
    <t>07/14/2024</t>
  </si>
  <si>
    <t>PO 1165 WESTLAKE HARDWARE #0LENEXA KS XXXX-XXXXXX-X1028</t>
  </si>
  <si>
    <t>07/18/2024</t>
  </si>
  <si>
    <t>PO1180 WESTLAKE HARDWARE #0KANSAS CITY MO XXXX-XXXXXX-X1028</t>
  </si>
  <si>
    <t>PO1181 LOWES OF GLADSTONE KANSAS CITY MO XXXX-XXXXXX-X1028</t>
  </si>
  <si>
    <t>PO1182 LOWES OF GLADSTONE KANSAS CITY MO XXXX-XXXXXX-X1028</t>
  </si>
  <si>
    <t>07/19/2024</t>
  </si>
  <si>
    <t>PO1185 LOWES OF GLADSTONE KANSAS CITY MO XXXX-XXXXXX-X1028</t>
  </si>
  <si>
    <t>Credit Card Credit</t>
  </si>
  <si>
    <t>Return GRABBER MISSOURI XXXXXX-XXX9853 MO XXXX-XXXXXX-X1028</t>
  </si>
  <si>
    <t>Vendor Credit</t>
  </si>
  <si>
    <t>09/16/2024</t>
  </si>
  <si>
    <t>returns or corrections</t>
  </si>
  <si>
    <t>Popeye's</t>
  </si>
  <si>
    <t>06/24/2024</t>
  </si>
  <si>
    <t>POPEYES XXXX 0000 KANSAS CITY MO XXXX-XXXXXX-X1028</t>
  </si>
  <si>
    <t>The Big Biscuit</t>
  </si>
  <si>
    <t>TST* THE BIG BISCUITKANSAS CITY MO XXXX-XXXXXX-X1028</t>
  </si>
  <si>
    <t>Total for Meals with clients</t>
  </si>
  <si>
    <t>Check</t>
  </si>
  <si>
    <t>06/10/2024</t>
  </si>
  <si>
    <t>1200</t>
  </si>
  <si>
    <t>Fee for shops and engineering of the lift platform</t>
  </si>
  <si>
    <t>Total for Other Costs of Services - COS</t>
  </si>
  <si>
    <t>Drexel Technologies</t>
  </si>
  <si>
    <t>Inv139234</t>
  </si>
  <si>
    <t>Drexel TECHNOLOGIES</t>
  </si>
  <si>
    <t>Total for Printing &amp; photocopying</t>
  </si>
  <si>
    <t>CDF Contracting LLC</t>
  </si>
  <si>
    <t>08/19/2024</t>
  </si>
  <si>
    <t>J102-CDF</t>
  </si>
  <si>
    <t>Change order001</t>
  </si>
  <si>
    <t>Drywall Finishing</t>
  </si>
  <si>
    <t>Total for Sub Contract Labor - COGS</t>
  </si>
  <si>
    <t>08/15/2024</t>
  </si>
  <si>
    <t>08/01/2024</t>
  </si>
  <si>
    <t>ADP WAGE PAY BRIGHTEN BUILDERS L ACH WITHDRAWAL ADP WAGE PAY BRIGHTEN BUILDERS LLC ACH DEBIT WAGE PAY XXXXXXXX7070R4Q</t>
  </si>
  <si>
    <t>07/25/2024</t>
  </si>
  <si>
    <t>ADP WAGE PAY BRIGHTEN BUILDERS L ACH WITHDRAWAL ADP WAGE PAY BRIGHTEN BUILDERS LLC ACH DEBIT WAGE PAY XXXXXXXX9371R4Q</t>
  </si>
  <si>
    <t>06/27/2024</t>
  </si>
  <si>
    <t>Total for 102 - NKC Deferred Maintenance Phase 2B</t>
  </si>
  <si>
    <t>Equipment rental - COGS</t>
  </si>
  <si>
    <t>103 - Liberty High Reno</t>
  </si>
  <si>
    <t>08/23/2024</t>
  </si>
  <si>
    <t>573622-0002</t>
  </si>
  <si>
    <t>08/30/2024</t>
  </si>
  <si>
    <t>573622-0003</t>
  </si>
  <si>
    <t>07/26/2024</t>
  </si>
  <si>
    <t>573622-0001</t>
  </si>
  <si>
    <t>09/13/2024</t>
  </si>
  <si>
    <t>1011307071-001</t>
  </si>
  <si>
    <t>1011307192-001</t>
  </si>
  <si>
    <t>08/29/2024</t>
  </si>
  <si>
    <t>Cut off blades THE HOME DEPOT KANSAS CITY MO XXXX-XXXXXX-X1036</t>
  </si>
  <si>
    <t>Gloves for Kyle LOWES #X1565*</t>
  </si>
  <si>
    <t>Hilti</t>
  </si>
  <si>
    <t>HILTI</t>
  </si>
  <si>
    <t>PO1152</t>
  </si>
  <si>
    <t>07/06/2024</t>
  </si>
  <si>
    <t>Kyle charged need receipt/po THE HOME DEPOT KANSAS CITY MO XXXX-XXXXXX-X1010</t>
  </si>
  <si>
    <t>Ross</t>
  </si>
  <si>
    <t>Line set spray for Kyle ROSS STORES #1640</t>
  </si>
  <si>
    <t>1010559031-001</t>
  </si>
  <si>
    <t>10/31/2024</t>
  </si>
  <si>
    <t>1011985414-001</t>
  </si>
  <si>
    <t>1081</t>
  </si>
  <si>
    <t>06/19/2024</t>
  </si>
  <si>
    <t>1010489832-001</t>
  </si>
  <si>
    <t>1010839670-001</t>
  </si>
  <si>
    <t>07/22/2024</t>
  </si>
  <si>
    <t>1010855437</t>
  </si>
  <si>
    <t>1010846289</t>
  </si>
  <si>
    <t>1010883862</t>
  </si>
  <si>
    <t>10/18/2024</t>
  </si>
  <si>
    <t>1011839383-001</t>
  </si>
  <si>
    <t>06/13/2024</t>
  </si>
  <si>
    <t>1010434485</t>
  </si>
  <si>
    <t>1010743728-001</t>
  </si>
  <si>
    <t>07/30/2024</t>
  </si>
  <si>
    <t>1010927580-001</t>
  </si>
  <si>
    <t>1010651562-001</t>
  </si>
  <si>
    <t>1010649777</t>
  </si>
  <si>
    <t>1010649777-003</t>
  </si>
  <si>
    <t>1010714922</t>
  </si>
  <si>
    <t>06/11/2024</t>
  </si>
  <si>
    <t>1096</t>
  </si>
  <si>
    <t>08/14/2024</t>
  </si>
  <si>
    <t>1011078393-001</t>
  </si>
  <si>
    <t>1011126611-001</t>
  </si>
  <si>
    <t>1010985192-001</t>
  </si>
  <si>
    <t>1011129727-001</t>
  </si>
  <si>
    <t>1010674415-001</t>
  </si>
  <si>
    <t>1010649777-002</t>
  </si>
  <si>
    <t>PO1091 THE HOME DEPOT KANSAS CITY MO XXXX-XXXXXX-X1010</t>
  </si>
  <si>
    <t>PO1099 THE HOME DEPOT KANSAS CITY MO XXXX-XXXXXX-X1028</t>
  </si>
  <si>
    <t>06/30/2024</t>
  </si>
  <si>
    <t>PO1140 THE HOME DEPOT SHAWNEE KS XXXX-XXXXXX-X1028</t>
  </si>
  <si>
    <t>PO1147 THE HOME DEPOT KANSAS CITY MO XXXX-XXXXXX-X1010</t>
  </si>
  <si>
    <t>PO1160 THE HOME DEPOT KANSAS CITY MO XXXX-XXXXXX-X1036</t>
  </si>
  <si>
    <t>PO 1187 HILTI INC, 800-879-8000, OK</t>
  </si>
  <si>
    <t>PO 1188 THE HOME DEPOT SHAWNEE KS XXXX-XXXXXX-X1028</t>
  </si>
  <si>
    <t>PO 1194 THE HOME DEPOT 2213 SHAWNEE KS XXXX-XXXXXX-X1028</t>
  </si>
  <si>
    <t>PO 1196LOWE'S LIBERTY MO XXXX-XXXXXX-X1002</t>
  </si>
  <si>
    <t>PO1203 Temp classroom THE HOME DEPOT KANSAS CITY MO XXXX-XXXXXX-X1036</t>
  </si>
  <si>
    <t>08/08/2024</t>
  </si>
  <si>
    <t>PO1204 LOWE'S LIBERTY MO XXXX-XXXXXX-X1036</t>
  </si>
  <si>
    <t>PO1220 Work OrderTHE HOME DEPOT 3019 KANSAS CITY MO XXXX-XXXXXX-X1028</t>
  </si>
  <si>
    <t>PO 1228 WESTLAKE HARDWARE #0LENEXA KS XXXX-XXXXXX-X1028</t>
  </si>
  <si>
    <t>Menard's</t>
  </si>
  <si>
    <t>10/17/2024</t>
  </si>
  <si>
    <t>PO1370 MENARDS XXXX XXX0033KANSAS CITY MO XXXX1028</t>
  </si>
  <si>
    <t>THE HOME DEPOT KANSAS CITY MO XXXX-XXXXXX-X1010</t>
  </si>
  <si>
    <t>07/23/2024</t>
  </si>
  <si>
    <t>THE HOME DEPOT KANSAS CITY MO XXXX-XXXXXX-X1036</t>
  </si>
  <si>
    <t>08/28/2024</t>
  </si>
  <si>
    <t>THE HOME DEPOT LEAVENWORTH KS XXXX-XXXXXX-X1036</t>
  </si>
  <si>
    <t>10/07/2024</t>
  </si>
  <si>
    <t>1011724244-001</t>
  </si>
  <si>
    <t>Vendor Credit for returns</t>
  </si>
  <si>
    <t>Gas Station</t>
  </si>
  <si>
    <t>07/01/2024</t>
  </si>
  <si>
    <t>Water QT 277 INSIDE/QUIKTRKANSAS CITY MO XXXX-XXXXXX-X1010</t>
  </si>
  <si>
    <t>Saints Pub and Patio</t>
  </si>
  <si>
    <t>11/08/2024</t>
  </si>
  <si>
    <t>Briarwood</t>
  </si>
  <si>
    <t>Price Chopper</t>
  </si>
  <si>
    <t>Drinks and lunch for guys PRICE CHOPPER KANSAS CITY MO XXXX-XXXXXX-X1028</t>
  </si>
  <si>
    <t>Mason Jar</t>
  </si>
  <si>
    <t>09/04/2024</t>
  </si>
  <si>
    <t>Lunch with Paul to get check MASON JAR XXXXXX0013KANSAS CITY KS XXXX-XXXXXX-X1028</t>
  </si>
  <si>
    <t>Pizza Hut</t>
  </si>
  <si>
    <t>08/09/2024</t>
  </si>
  <si>
    <t>PIZZA HUT XXXXX1 000LIBERTY MO XXXX-XXXXXX-X1036</t>
  </si>
  <si>
    <t>06/18/2024</t>
  </si>
  <si>
    <t>INV139235</t>
  </si>
  <si>
    <t>1010672034</t>
  </si>
  <si>
    <t>Total for Shop Supplies - COGS</t>
  </si>
  <si>
    <t>12/01/2024</t>
  </si>
  <si>
    <t>103-CDF004</t>
  </si>
  <si>
    <t>08/16/2024</t>
  </si>
  <si>
    <t>J103CDF</t>
  </si>
  <si>
    <t>12/24/2024</t>
  </si>
  <si>
    <t>09/17/2024</t>
  </si>
  <si>
    <t>11/19/2024</t>
  </si>
  <si>
    <t>ADP WAGE PAY BRIGHTEN BUILDERS L ACH WITHDRAWAL ADP WAGE PAY BRIGHTEN BUILDERS LLC ACH DEBIT WAGE PAY XXXXXXXX0972R4Q</t>
  </si>
  <si>
    <t>08/22/2024</t>
  </si>
  <si>
    <t>ADP WAGE PAY BRIGHTEN BUILDERS L ACH WITHDRAWAL ADP WAGE PAY BRIGHTEN BUILDERS LLC ACH DEBIT WAGE PAY XXXXXXXX1380R4Q</t>
  </si>
  <si>
    <t>ADP WAGE PAY BRIGHTEN BUILDERS L ACH WITHDRAWAL ADP WAGE PAY BRIGHTEN BUILDERS LLC ACH DEBIT WAGE PAY XXXXXXXX3500R4Q</t>
  </si>
  <si>
    <t>ADP WAGE PAY BRIGHTEN BUILDERS L ACH WITHDRAWAL ADP WAGE PAY BRIGHTEN BUILDERS LLC ACH DEBIT WAGE PAY XXXXXXXX9760R4Q</t>
  </si>
  <si>
    <t>11/01/2024</t>
  </si>
  <si>
    <t>09/12/2024</t>
  </si>
  <si>
    <t>10/10/2024</t>
  </si>
  <si>
    <t>09/19/2024</t>
  </si>
  <si>
    <t>11/15/2024</t>
  </si>
  <si>
    <t>09/05/2024</t>
  </si>
  <si>
    <t>10/25/2024</t>
  </si>
  <si>
    <t>09/27/2024</t>
  </si>
  <si>
    <t>Total for 103 - Liberty High Reno</t>
  </si>
  <si>
    <t>104 - Catalent - Shower Patchback</t>
  </si>
  <si>
    <t>04/01/2024</t>
  </si>
  <si>
    <t>1010</t>
  </si>
  <si>
    <t>THE HOME DEPOT KANSAS CITY MO XXXX-XXXXXX-X1028 PO1010</t>
  </si>
  <si>
    <t>DK Hardware Supply LLC</t>
  </si>
  <si>
    <t>04/21/2024</t>
  </si>
  <si>
    <t>1031</t>
  </si>
  <si>
    <t>05/15/2024</t>
  </si>
  <si>
    <t>1059</t>
  </si>
  <si>
    <t>1021</t>
  </si>
  <si>
    <t>04/03/2024</t>
  </si>
  <si>
    <t>1009653158-001</t>
  </si>
  <si>
    <t>147958-0001</t>
  </si>
  <si>
    <t>04/04/2024</t>
  </si>
  <si>
    <t>1015</t>
  </si>
  <si>
    <t>PO 1015</t>
  </si>
  <si>
    <t>1025</t>
  </si>
  <si>
    <t>PO 1025</t>
  </si>
  <si>
    <t>04/18/2024</t>
  </si>
  <si>
    <t>1026</t>
  </si>
  <si>
    <t>PO 1026</t>
  </si>
  <si>
    <t>1027</t>
  </si>
  <si>
    <t>PO 1027</t>
  </si>
  <si>
    <t>Virginia Tile</t>
  </si>
  <si>
    <t>1030</t>
  </si>
  <si>
    <t>PO 1030</t>
  </si>
  <si>
    <t>PO1094 THE HOME DEPOT KANSAS CITY MO XXXX-XXXXXX-X1028</t>
  </si>
  <si>
    <t>Sherwin Williams</t>
  </si>
  <si>
    <t>PO1019</t>
  </si>
  <si>
    <t>1016</t>
  </si>
  <si>
    <t>THE HOME DEPOT KANSAS CITY MO XXXX-XXXXXX-X1028</t>
  </si>
  <si>
    <t>1011</t>
  </si>
  <si>
    <t>THE HOME DEPOT 3016 KANSAS CITY MO XXXX-XXXXXX-X1028</t>
  </si>
  <si>
    <t>04/12/2024</t>
  </si>
  <si>
    <t>Total for 104 - Catalent - Shower Patchback</t>
  </si>
  <si>
    <t>Job Supplies - COGS</t>
  </si>
  <si>
    <t>105 - Catalent - 10400 Patching &amp; painting</t>
  </si>
  <si>
    <t>South Town Glass</t>
  </si>
  <si>
    <t>06/12/2024</t>
  </si>
  <si>
    <t>GLASS &amp; MORE LLC, KANSAS CITY, MO</t>
  </si>
  <si>
    <t>04/15/2024</t>
  </si>
  <si>
    <t>1023</t>
  </si>
  <si>
    <t>04/10/2024</t>
  </si>
  <si>
    <t>1009732057-001</t>
  </si>
  <si>
    <t>EJ WELCH CO</t>
  </si>
  <si>
    <t>PO1050</t>
  </si>
  <si>
    <t>Total for 105 - Catalent - 10400 Patching &amp; painting</t>
  </si>
  <si>
    <t>106 - Catalent IT closet</t>
  </si>
  <si>
    <t>1052-1</t>
  </si>
  <si>
    <t>1058</t>
  </si>
  <si>
    <t>05/12/2024</t>
  </si>
  <si>
    <t>1053</t>
  </si>
  <si>
    <t>PO1053</t>
  </si>
  <si>
    <t>1055</t>
  </si>
  <si>
    <t>PO1055 THE HOME DEPOT KANSAS CITY MO XXXX-XXXXXX-X1028</t>
  </si>
  <si>
    <t>1056</t>
  </si>
  <si>
    <t>PO1056 THE HOME DEPOT KANSAS CITY MO XXXX-XXXXXX-X1028</t>
  </si>
  <si>
    <t>05/14/2024</t>
  </si>
  <si>
    <t>1057</t>
  </si>
  <si>
    <t>PO1057 THE HOME DEPOT OLATHE KS XXXX-XXXXXX-X1028</t>
  </si>
  <si>
    <t>1064</t>
  </si>
  <si>
    <t>PO 1064 WESTLAKE HARDWARE #0LENEXA KS XXXX-XXXXXX-X1028</t>
  </si>
  <si>
    <t>05/22/2024</t>
  </si>
  <si>
    <t>1072</t>
  </si>
  <si>
    <t>THE HOME DEPOT SHAWNEE KS XXXX-XXXXXX-X1028</t>
  </si>
  <si>
    <t>Total for 106 - Catalent IT closet</t>
  </si>
  <si>
    <t>107 - Bray Residence - Floors</t>
  </si>
  <si>
    <t>1041</t>
  </si>
  <si>
    <t>05/02/2024</t>
  </si>
  <si>
    <t>1042</t>
  </si>
  <si>
    <t>1043</t>
  </si>
  <si>
    <t>PO1043</t>
  </si>
  <si>
    <t>Total for 107 - Bray Residence - Floors</t>
  </si>
  <si>
    <t>Sub Contract Labor - COGS</t>
  </si>
  <si>
    <t>108 - Groom Residence</t>
  </si>
  <si>
    <t>Total for 108 - Groom Residence</t>
  </si>
  <si>
    <t>109 - Bonner High - Toilet Partitions</t>
  </si>
  <si>
    <t>1028</t>
  </si>
  <si>
    <t>Ace Hardware</t>
  </si>
  <si>
    <t>04/20/2024</t>
  </si>
  <si>
    <t>1032</t>
  </si>
  <si>
    <t>PO1032</t>
  </si>
  <si>
    <t>04/22/2024</t>
  </si>
  <si>
    <t>PO1033</t>
  </si>
  <si>
    <t>04/23/2024</t>
  </si>
  <si>
    <t>1034</t>
  </si>
  <si>
    <t>PO1034</t>
  </si>
  <si>
    <t>05/03/2024</t>
  </si>
  <si>
    <t>Total for 109 - Bonner High - Toilet Partitions</t>
  </si>
  <si>
    <t>110 - JOCO Library Shawnee - Toilet Partitions</t>
  </si>
  <si>
    <t>04/24/2024</t>
  </si>
  <si>
    <t>1035</t>
  </si>
  <si>
    <t>PO1035</t>
  </si>
  <si>
    <t>Total for 110 - JOCO Library Shawnee - Toilet Partitions</t>
  </si>
  <si>
    <t>Union Benefits - COGS</t>
  </si>
  <si>
    <t>112 - JCCC CWA T&amp;M</t>
  </si>
  <si>
    <t>Total for 112 - JCCC CWA T&amp;M</t>
  </si>
  <si>
    <t>113 - Cameron Veterans Home - Clean up and Repair</t>
  </si>
  <si>
    <t>1063</t>
  </si>
  <si>
    <t>05/29/2024</t>
  </si>
  <si>
    <t>PO1079 THE HOME DEPOT SHAWNEE KS XXXX-XXXXXX-X1028</t>
  </si>
  <si>
    <t>Sutherlands</t>
  </si>
  <si>
    <t>PO 1089 Caulk Dust mop ScapperSUTHERLANDS XXX2 084CAMERON MO XXXX-XXXXXX-X1028</t>
  </si>
  <si>
    <t>05/28/2024</t>
  </si>
  <si>
    <t>PO1221 SUTHERLANDS XXX2 084CAMERON MO XXXX-XXXXXX-X1028</t>
  </si>
  <si>
    <t>1070</t>
  </si>
  <si>
    <t>SUTHERLANDS XXX2 084CAMERON MO XXXX-XXXXXX-X1028</t>
  </si>
  <si>
    <t>1073</t>
  </si>
  <si>
    <t>Total for 113 - Cameron Veterans Home - Clean up and Repair</t>
  </si>
  <si>
    <t>114 - Sam Rodgers - Toilet Partitions</t>
  </si>
  <si>
    <t>1067</t>
  </si>
  <si>
    <t>Total for 114 - Sam Rodgers - Toilet Partitions</t>
  </si>
  <si>
    <t>115 - Bolling Childcare Firewall Upgrades</t>
  </si>
  <si>
    <t>574622-0001</t>
  </si>
  <si>
    <t>1011482443-001</t>
  </si>
  <si>
    <t>07/08/2024</t>
  </si>
  <si>
    <t>1010693420</t>
  </si>
  <si>
    <t>PO 1156 HILTI 6341 KANSAS CITY</t>
  </si>
  <si>
    <t>PO1159 THE HOME DEPOT MERRIAM KS XXXX-XXXXXX-X1028</t>
  </si>
  <si>
    <t>PO 1172 HILTI 6341 KANSAS CITY</t>
  </si>
  <si>
    <t>09/21/2024</t>
  </si>
  <si>
    <t>PO1261 THE HOME DEPOT KANSAS CITY MO XXXX-XXXXXX-X1028</t>
  </si>
  <si>
    <t>PO1262 LOWE'S SHAWNEE KS XXXX-XXXXXX-X1028</t>
  </si>
  <si>
    <t>10/16/2024</t>
  </si>
  <si>
    <t>PO1292 SHERWIN WILLIAMS 707LENEXA KS XXXX1028</t>
  </si>
  <si>
    <t>PO1293 WESTLAKE HARDWARE #0LENEXA KS XXXX1028</t>
  </si>
  <si>
    <t>PO1294 EJ WELCH CO - EARTH EARTH CITY MO XXXX1028</t>
  </si>
  <si>
    <t>Ponaks</t>
  </si>
  <si>
    <t>07/07/2024</t>
  </si>
  <si>
    <t>PONAKS MEXICAN KITCHEN</t>
  </si>
  <si>
    <t>10/03/2024</t>
  </si>
  <si>
    <t>Total for 115 - Bolling Childcare Firewall Upgrades</t>
  </si>
  <si>
    <t>116 - Catalent Canopy</t>
  </si>
  <si>
    <t>1060</t>
  </si>
  <si>
    <t>1065</t>
  </si>
  <si>
    <t>PO1065 THE HOME DEPOT KANSAS CITY MO XXXX-XXXXXX-X1010</t>
  </si>
  <si>
    <t>05/19/2024</t>
  </si>
  <si>
    <t>1068</t>
  </si>
  <si>
    <t>PO1068 SHERWIN WILLIAMS 707LEAVENWORTH KS XXXX-XXXXXX-X1010</t>
  </si>
  <si>
    <t>Total for 116 - Catalent Canopy</t>
  </si>
  <si>
    <t>Tools - COGS</t>
  </si>
  <si>
    <t>117 - Ray-pec restroom demo</t>
  </si>
  <si>
    <t>06/03/2024</t>
  </si>
  <si>
    <t>PO1082 SUTHERLANDS XXX9 084HARRISONVILLE MO XXXX-XXXXXX-X1028</t>
  </si>
  <si>
    <t>Total for Tools - COGS</t>
  </si>
  <si>
    <t>Total for 117 - Ray-pec restroom demo</t>
  </si>
  <si>
    <t>119 - Anderson Duplex Door Replacement</t>
  </si>
  <si>
    <t>Johnson County Landfill</t>
  </si>
  <si>
    <t>JOHNSON COUNTY LANDFILL</t>
  </si>
  <si>
    <t>PO1100 THE HOME DEPOT 2216</t>
  </si>
  <si>
    <t>PO1101 THE HOME DEPOT 2216</t>
  </si>
  <si>
    <t>PO1103 THE HOME DEPOT 2216</t>
  </si>
  <si>
    <t>PO1107 THE HOME DEPOT LEAVENWORTH KS XXXX-XXXXXX-X1028</t>
  </si>
  <si>
    <t>PO1117 THE HOME DEPOT LEAVENWORTH KS XXXX-XXXXXX-X1010</t>
  </si>
  <si>
    <t>THE HOME DEPOT 2216</t>
  </si>
  <si>
    <t>Total for 119 - Anderson Duplex Door Replacement</t>
  </si>
  <si>
    <t>120 - KU Morgue</t>
  </si>
  <si>
    <t>10/15/2024</t>
  </si>
  <si>
    <t>591305-0001</t>
  </si>
  <si>
    <t>11/11/2024</t>
  </si>
  <si>
    <t>591305-0002</t>
  </si>
  <si>
    <t>Refund for pickup charge</t>
  </si>
  <si>
    <t>03/25/2025</t>
  </si>
  <si>
    <t>1605</t>
  </si>
  <si>
    <t>04/02/2025</t>
  </si>
  <si>
    <t>1013520177001</t>
  </si>
  <si>
    <t>1622</t>
  </si>
  <si>
    <t>11/04/2024</t>
  </si>
  <si>
    <t>7754045</t>
  </si>
  <si>
    <t>(4) 3 5/8  track 20 ga</t>
  </si>
  <si>
    <t>Standard Sheet Metal, Inc.</t>
  </si>
  <si>
    <t>04/18/2025</t>
  </si>
  <si>
    <t>91521</t>
  </si>
  <si>
    <t>Invoice for labor and material to fabricate 4 stainless steel panels for Brighten Builders LLC</t>
  </si>
  <si>
    <t>1010897501</t>
  </si>
  <si>
    <t>L&amp;W Supply</t>
  </si>
  <si>
    <t>11/26/2024</t>
  </si>
  <si>
    <t>1012256643-001</t>
  </si>
  <si>
    <t>08/12/2024</t>
  </si>
  <si>
    <t>1011084612-001</t>
  </si>
  <si>
    <t>08/07/2024</t>
  </si>
  <si>
    <t>1010918290-001</t>
  </si>
  <si>
    <t>11/07/2024</t>
  </si>
  <si>
    <t>1012073980-001</t>
  </si>
  <si>
    <t>1011354440-001</t>
  </si>
  <si>
    <t>11/18/2024</t>
  </si>
  <si>
    <t>1012184887-001</t>
  </si>
  <si>
    <t>1011151849-001</t>
  </si>
  <si>
    <t>10/24/2024</t>
  </si>
  <si>
    <t>1011902218-001</t>
  </si>
  <si>
    <t>1011461573-001</t>
  </si>
  <si>
    <t>1011270627-001</t>
  </si>
  <si>
    <t>01/27/2025</t>
  </si>
  <si>
    <t>1012726150001</t>
  </si>
  <si>
    <t>phase 2 Metal</t>
  </si>
  <si>
    <t>PO1214 WESTLAKE HARDWARE #0LENEXA KS XXXX-XXXXXX-X1028</t>
  </si>
  <si>
    <t>PO1240 STANDARD SHEET METALKANSAS CITY MO XXXX-XXXXXX-X1028</t>
  </si>
  <si>
    <t>09/23/2024</t>
  </si>
  <si>
    <t>PO1257 HILTI INC</t>
  </si>
  <si>
    <t>Total Tool</t>
  </si>
  <si>
    <t>09/20/2024</t>
  </si>
  <si>
    <t>PO1258 TOTAL TOOL SUPPLY-KAKANSAS CITY KS XXXX-XXXXXX-X1036</t>
  </si>
  <si>
    <t>PO1267 GRABBER MISSOURI XXXXXX-XXX9853 MO XXXX-XXXXXX-X1028</t>
  </si>
  <si>
    <t>PO1269 LOWE'S SHAWNEE KS XXXX-XXXXXX-X1028</t>
  </si>
  <si>
    <t>SCHUTTE LUMBER COMPANY</t>
  </si>
  <si>
    <t>09/26/2024</t>
  </si>
  <si>
    <t>PO1273 SCHUTTE LUMBER COMPAKANSAS CITY MO XXXX-XXXXXX-X1028</t>
  </si>
  <si>
    <t>PO1274 SCHUTTE LUMBER COMPAKANSAS CITY MO XXXX-XXXXXX-X1028</t>
  </si>
  <si>
    <t>PO 1279 THE HOME DEPOT LEAVENWORTH KS XXXX-XXXXXX-X1036</t>
  </si>
  <si>
    <t>PO1297 SCHUTTE LUMBER COMPAKANSAS CITY MO XXXX1028</t>
  </si>
  <si>
    <t>11/06/2024</t>
  </si>
  <si>
    <t>PO1373 SCHUTTE LUMBER COMPANY</t>
  </si>
  <si>
    <t>02/06/2025</t>
  </si>
  <si>
    <t>PO1517 THE HOME DEPOT MERRIAM KS XXXX1028</t>
  </si>
  <si>
    <t>02/26/2025</t>
  </si>
  <si>
    <t>1013112419001</t>
  </si>
  <si>
    <t>PO1590</t>
  </si>
  <si>
    <t>03/11/2025</t>
  </si>
  <si>
    <t>1013181057001</t>
  </si>
  <si>
    <t>PO1649</t>
  </si>
  <si>
    <t>09/15/2024</t>
  </si>
  <si>
    <t>POO1241 HILTI INC, 800-879-8000, OK</t>
  </si>
  <si>
    <t>refund</t>
  </si>
  <si>
    <t>12/27/2024</t>
  </si>
  <si>
    <t>REW X2221 EBPP</t>
  </si>
  <si>
    <t>Strasser True Value</t>
  </si>
  <si>
    <t>10/23/2024</t>
  </si>
  <si>
    <t>05/09/2025</t>
  </si>
  <si>
    <t>1013962438-001</t>
  </si>
  <si>
    <t>tax credit</t>
  </si>
  <si>
    <t>Tax credit SCHUTTE LUMBER COMPAKANSAS CITY MO XXXX-XXXXXX-X1028</t>
  </si>
  <si>
    <t>10/11/2024</t>
  </si>
  <si>
    <t>1011787546-001</t>
  </si>
  <si>
    <t>tax refund</t>
  </si>
  <si>
    <t>02/19/2025</t>
  </si>
  <si>
    <t>THE HOME DEPOT SHAWNEE KS XXXX1028</t>
  </si>
  <si>
    <t>02/11/2025</t>
  </si>
  <si>
    <t>1012969846001</t>
  </si>
  <si>
    <t>Total</t>
  </si>
  <si>
    <t>7866807</t>
  </si>
  <si>
    <t>02/07/2025</t>
  </si>
  <si>
    <t>1012944238001</t>
  </si>
  <si>
    <t>Cronin's Bar and Grill</t>
  </si>
  <si>
    <t>Cronin's Bar &amp; Grill</t>
  </si>
  <si>
    <t>09/18/2024</t>
  </si>
  <si>
    <t>1312</t>
  </si>
  <si>
    <t>INV139236</t>
  </si>
  <si>
    <t>Briarwood Construction Inc.</t>
  </si>
  <si>
    <t>11/20/2024</t>
  </si>
  <si>
    <t>J120BRI001</t>
  </si>
  <si>
    <t>Ceilings</t>
  </si>
  <si>
    <t>04/22/2025</t>
  </si>
  <si>
    <t>202449103RET</t>
  </si>
  <si>
    <t>Ceilings - Retention</t>
  </si>
  <si>
    <t>Change Order 001: PR7 Revised</t>
  </si>
  <si>
    <t>120 - ret</t>
  </si>
  <si>
    <t>11/25/2024</t>
  </si>
  <si>
    <t>2035</t>
  </si>
  <si>
    <t>Drywall Finishing PA001</t>
  </si>
  <si>
    <t>Retention</t>
  </si>
  <si>
    <t>06/02/2025</t>
  </si>
  <si>
    <t>04/24/2025</t>
  </si>
  <si>
    <t>04/04/2025</t>
  </si>
  <si>
    <t>01/23/2025</t>
  </si>
  <si>
    <t>01/30/2025</t>
  </si>
  <si>
    <t>02/14/2025</t>
  </si>
  <si>
    <t>02/21/2025</t>
  </si>
  <si>
    <t>02/28/2025</t>
  </si>
  <si>
    <t>03/06/2025</t>
  </si>
  <si>
    <t>03/13/2025</t>
  </si>
  <si>
    <t>03/21/2025</t>
  </si>
  <si>
    <t>03/28/2025</t>
  </si>
  <si>
    <t>04/11/2025</t>
  </si>
  <si>
    <t>05/01/2025</t>
  </si>
  <si>
    <t>Total for 120 - KU Morgue</t>
  </si>
  <si>
    <t>121 - Catalent B4 wall</t>
  </si>
  <si>
    <t>1010505510-001</t>
  </si>
  <si>
    <t>1097</t>
  </si>
  <si>
    <t>PO1030 VIRGINIA TILE COMPANKANSAS CITY KS XXXX-XXXXXX-X1028</t>
  </si>
  <si>
    <t>PO1120 THE HOME DEPOT KANSAS CITY MO XXXX-XXXXXX-X1028</t>
  </si>
  <si>
    <t>Total for 121 - Catalent B4 wall</t>
  </si>
  <si>
    <t>122 - Catalent T&amp;M</t>
  </si>
  <si>
    <t>1010462282</t>
  </si>
  <si>
    <t>Total for 122 - Catalent T&amp;M</t>
  </si>
  <si>
    <t>123 - Lake Quivera - Reno</t>
  </si>
  <si>
    <t>06/23/2024</t>
  </si>
  <si>
    <t>LOWES #X1084*</t>
  </si>
  <si>
    <t>MENARDS 3361</t>
  </si>
  <si>
    <t>THE HOME DEPOT 2213</t>
  </si>
  <si>
    <t>Total for 123 - Lake Quivera - Reno</t>
  </si>
  <si>
    <t>Advertising &amp; marketing</t>
  </si>
  <si>
    <t>124 - Brighten Office Reno</t>
  </si>
  <si>
    <t>Young Sign Co., Inc.</t>
  </si>
  <si>
    <t>Office outdoor signage</t>
  </si>
  <si>
    <t>Total for Advertising &amp; marketing</t>
  </si>
  <si>
    <t>PO1170 THE HOME DEPOT 2202</t>
  </si>
  <si>
    <t>32 HWY Liquor</t>
  </si>
  <si>
    <t>09/25/2024</t>
  </si>
  <si>
    <t>Bevs for painting party @ office 32 HWY LIQUORS</t>
  </si>
  <si>
    <t>Total for Entertainment</t>
  </si>
  <si>
    <t>Amazon Business</t>
  </si>
  <si>
    <t>12/10/2024</t>
  </si>
  <si>
    <t>AMAZON MARKETPLACE NAMZN.COM/BILL WA XXXX1028</t>
  </si>
  <si>
    <t>12/04/2024</t>
  </si>
  <si>
    <t>12/11/2024</t>
  </si>
  <si>
    <t>bathroom vanity LOWE'S SHAWNEE KS XXXX-XXXXXX-X1028</t>
  </si>
  <si>
    <t>02/22/2025</t>
  </si>
  <si>
    <t>Cabinet door bumpers AMAZON MKTPL*226CE1JR3</t>
  </si>
  <si>
    <t>09/06/2024</t>
  </si>
  <si>
    <t>shop shower</t>
  </si>
  <si>
    <t>Delta Faucet Arvo 14 Series Single-Handle Shower Faucet, Shower Trim Kit with 4-Spray In2ition 2-in-1 Dual Hand Held Shower Head with Hose, SpotShield Stainless 142840-SP-I (Valve Included) (includes shipping, tax, discount)</t>
  </si>
  <si>
    <t>Dollar General</t>
  </si>
  <si>
    <t>04/16/2025</t>
  </si>
  <si>
    <t>DOLLAR GENERAL KANSAS CITY KS XXXX1077</t>
  </si>
  <si>
    <t>09/30/2024</t>
  </si>
  <si>
    <t>982011508-00</t>
  </si>
  <si>
    <t>Handles for kitchen cab AMAZON MKTPL*6X0UX6843</t>
  </si>
  <si>
    <t>Kitchen Sink AMZN Mktp US*V57EA7F23</t>
  </si>
  <si>
    <t>09/09/2024</t>
  </si>
  <si>
    <t>LOWE'S KANSAS CITY KS XXXX-XXXXXX-X1002</t>
  </si>
  <si>
    <t>09/08/2024</t>
  </si>
  <si>
    <t>LOWE'S KANSAS CITY KS XXXX-XXXXXX-X1028</t>
  </si>
  <si>
    <t>09/10/2024</t>
  </si>
  <si>
    <t>LOWE'S SHAWNEE KS XXXX-XXXXXX-X1002</t>
  </si>
  <si>
    <t>02/25/2025</t>
  </si>
  <si>
    <t>LOWES #X0907*</t>
  </si>
  <si>
    <t>LOWES #X1830*</t>
  </si>
  <si>
    <t>04/14/2025</t>
  </si>
  <si>
    <t>09/02/2024</t>
  </si>
  <si>
    <t>1011600254-001</t>
  </si>
  <si>
    <t>10/09/2024</t>
  </si>
  <si>
    <t>Mike reimbursed for cabinet hardware</t>
  </si>
  <si>
    <t>02/15/2025</t>
  </si>
  <si>
    <t>Paint for kitchen</t>
  </si>
  <si>
    <t>PO1251 WESTLAKE HARDWARE #0LEAVENWORTH KS XXXX-XXXXXX-X1028</t>
  </si>
  <si>
    <t>11/30/2024</t>
  </si>
  <si>
    <t>PO1395 old PO Spreadsheet LOWE'S #1830, KANSAS CITY, KSUS</t>
  </si>
  <si>
    <t>12/02/2024</t>
  </si>
  <si>
    <t>PO1397 THE HOME DEPOT MERRIAM KS XXXX1044</t>
  </si>
  <si>
    <t>PO 1408 LOWE'S #1830, KANSAS CITY, KSUS</t>
  </si>
  <si>
    <t>12/13/2024</t>
  </si>
  <si>
    <t>PO1411 AMAZON MARKETPLACE NAMZN.COM/BILL WA XXXX1028</t>
  </si>
  <si>
    <t>01/04/2025</t>
  </si>
  <si>
    <t>PO1449 LOWE'S KANSAS CITY KS XXXX1036</t>
  </si>
  <si>
    <t>Kansas Granite and Tile</t>
  </si>
  <si>
    <t>04/07/2025</t>
  </si>
  <si>
    <t>Quartz - Outbound Check</t>
  </si>
  <si>
    <t>Returns LOWE'S SHAWNEE KS XXXX-XXXXXX-X1002</t>
  </si>
  <si>
    <t>7709941</t>
  </si>
  <si>
    <t>Rew Materials Inc</t>
  </si>
  <si>
    <t>SHERWIN WILLIAMS 707KANSAS CITY KS XXXX-XXXXXX-X1028</t>
  </si>
  <si>
    <t>SHERWIN-WILLIAMSXX7182</t>
  </si>
  <si>
    <t>STRASSERS HARDWARE IKANSAS CITY KS XXXX-XXXXXX-X1028</t>
  </si>
  <si>
    <t>THE HOME DEPOT #2202</t>
  </si>
  <si>
    <t>09/01/2024</t>
  </si>
  <si>
    <t>THE HOME DEPOT #2213</t>
  </si>
  <si>
    <t>THE HOME DEPOT #2213, SHAWNEE, KSUS</t>
  </si>
  <si>
    <t>10/08/2024</t>
  </si>
  <si>
    <t>THE HOME DEPOT #2218</t>
  </si>
  <si>
    <t>02/20/2025</t>
  </si>
  <si>
    <t>THE HOME DEPOT LEAVENWORTH KS XXXX1036</t>
  </si>
  <si>
    <t>THE HOME DEPOT MERRIAM KS XXXX-XXXXXX-X1002</t>
  </si>
  <si>
    <t>09/11/2024</t>
  </si>
  <si>
    <t>THE HOME DEPOT MERRIAM KS XXXX-XXXXXX-X1036</t>
  </si>
  <si>
    <t>THE HOME DEPOT SHAWNEE KS XXXX-XXXXXX-X1002</t>
  </si>
  <si>
    <t>03/24/2025</t>
  </si>
  <si>
    <t>WESTLAKE HARDWARE #017</t>
  </si>
  <si>
    <t>El Pollo Rey</t>
  </si>
  <si>
    <t>Office Lunch EL POLLO REY XXX0000KANSAS CITY KS XXXX-XXXXXX-X1010</t>
  </si>
  <si>
    <t>Costco</t>
  </si>
  <si>
    <t>09/07/2024</t>
  </si>
  <si>
    <t>Air fryer for office Kitchen COSTCO WHSE #0349</t>
  </si>
  <si>
    <t>10/01/2024</t>
  </si>
  <si>
    <t>Office TV WM SUPERCENTER #1151</t>
  </si>
  <si>
    <t>Total for Office equipment</t>
  </si>
  <si>
    <t>MINUTEKEY</t>
  </si>
  <si>
    <t>Keys for the new office made MINUTEKEY 0000 BOULDER CO XXXX-XXXXXX-X1002</t>
  </si>
  <si>
    <t>Total for Office Supplies</t>
  </si>
  <si>
    <t>Garage door opener Amazon.com*Z35AA8IH0</t>
  </si>
  <si>
    <t>01/19/2025</t>
  </si>
  <si>
    <t>PO1461 LOWE'S KANSAS CITY KS XXXX1028</t>
  </si>
  <si>
    <t>12/05/2024</t>
  </si>
  <si>
    <t>01/16/2025</t>
  </si>
  <si>
    <t>Total for 124 - Brighten Office Reno</t>
  </si>
  <si>
    <t>125 - Catalent bldg p breakroom</t>
  </si>
  <si>
    <t>PO1138 THE HOME DEPOT KANSAS CITY MO XXXX-XXXXXX-X1028</t>
  </si>
  <si>
    <t>Total for 125 - Catalent bldg p breakroom</t>
  </si>
  <si>
    <t>126 - 710-Y Catalent A3-396 water damage GYP</t>
  </si>
  <si>
    <t>LOWES #X1565*</t>
  </si>
  <si>
    <t>Total for 126 - 710-Y Catalent A3-396 water damage GYP</t>
  </si>
  <si>
    <t>127 - Fort Osage Locker Rm Partitions</t>
  </si>
  <si>
    <t>Total for 127 - Fort Osage Locker Rm Partitions</t>
  </si>
  <si>
    <t>128 - Frank Carlson Federal Build</t>
  </si>
  <si>
    <t>07/24/2024</t>
  </si>
  <si>
    <t>1010889145</t>
  </si>
  <si>
    <t>PO 1190 THE HOME DEPOT LEAVENWORTH KS XXXX-XXXXXX-X1002</t>
  </si>
  <si>
    <t>PO1200 REW MATERIALS KANSAS CITY KS XXXX-XXXXXX-X1002</t>
  </si>
  <si>
    <t>W. C. Tingle Company</t>
  </si>
  <si>
    <t>PO1201 W C TINGLE COMPANY 0LEES SUMMIT MO XXXX-XXXXXX-X1002</t>
  </si>
  <si>
    <t>07/31/2024</t>
  </si>
  <si>
    <t>PO1206 Bill to CDF Contracting SHERWIN WILLIAMS 707LENEXA KS XXXX-XXXXXX-X1028</t>
  </si>
  <si>
    <t>PO 1208 bill to CDF Contracting SHERWIN WILLIAMS 707TOPEKA KS XXXX-XXXXXX-X1028</t>
  </si>
  <si>
    <t>08/02/2024</t>
  </si>
  <si>
    <t>PO1209 WESTLAKE HARDWARE #0TOPEKA KS XXXX-XXXXXX-X1028</t>
  </si>
  <si>
    <t>LVC Dump</t>
  </si>
  <si>
    <t>PO 1212 Dump Charge LEAVENWORTH CNTY TAX P, LEAVENWORTH, KS</t>
  </si>
  <si>
    <t>PO1247 WESTLAKE HARDWARE #0TOPEKA KS XXXX-XXXXXX-X1028</t>
  </si>
  <si>
    <t>PO1248 SHERWIN WILLIAMS 707TOPEKA KS XXXX-XXXXXX-X1028</t>
  </si>
  <si>
    <t>ROLL OF TAPE EJ WELCH CO - EARTH EARTH CITY MO XXXX-XXXXXX-X1002</t>
  </si>
  <si>
    <t>J128CDF</t>
  </si>
  <si>
    <t>Drywall finishing and painting</t>
  </si>
  <si>
    <t>Total for 128 - Frank Carlson Federal Build</t>
  </si>
  <si>
    <t>129 - JOCO Toilet Partions</t>
  </si>
  <si>
    <t>PO1205 VIRGINIA TILE COMPANKANSAS CITY KS XXXX-XXXXXX-X1028</t>
  </si>
  <si>
    <t>PO1207 THE HOME DEPOT 2201 OLATHE KS XXXX-XXXXXX-X1028</t>
  </si>
  <si>
    <t>Total for 129 - JOCO Toilet Partions</t>
  </si>
  <si>
    <t>130 - Ray-pec restroom Install</t>
  </si>
  <si>
    <t>08/06/2024</t>
  </si>
  <si>
    <t>PO1213 LOWE'S SHAWNEE KS XXXX-XXXXXX-X1028</t>
  </si>
  <si>
    <t>PO 1215 THE HOME DEPOT 3029 BELTON MO XXXX-XXXXXX-X1010</t>
  </si>
  <si>
    <t>08/05/2024</t>
  </si>
  <si>
    <t>THE HOME DEPOT 3029 BELTON MO XXXX-XXXXXX-X1028</t>
  </si>
  <si>
    <t>Total for 130 - Ray-pec restroom Install</t>
  </si>
  <si>
    <t>131 - Catalent t&amp;m temp walls (Shutdown)</t>
  </si>
  <si>
    <t>OMEGA DOOR AND HARDWARE</t>
  </si>
  <si>
    <t>608505144</t>
  </si>
  <si>
    <t>Hinge cover</t>
  </si>
  <si>
    <t>1011332582-001</t>
  </si>
  <si>
    <t>PO 1238 THE HOME DEPOT KANSAS CITY MO XXXX-XXXXXX-X1036</t>
  </si>
  <si>
    <t>PO1245 LOWE'S KANSAS CITY KS XXXX-XXXXXX-X1036</t>
  </si>
  <si>
    <t>Total for 131 - Catalent t&amp;m temp walls (Shutdown)</t>
  </si>
  <si>
    <t>132 - Whitaker Marshall Fitness</t>
  </si>
  <si>
    <t>11/12/2024</t>
  </si>
  <si>
    <t>1371</t>
  </si>
  <si>
    <t>Loctite Power Grab Express All-Purpose Construction Adhesive, Versatile Construction Glue for Cement, Tile, Wall &amp; More - White, 1 Gallon Pail, Pack of 1 (includes tax)</t>
  </si>
  <si>
    <t>1011765396-002</t>
  </si>
  <si>
    <t>1011765396-001</t>
  </si>
  <si>
    <t>1011774405-001</t>
  </si>
  <si>
    <t>PO 1227 THE HOME DEPOT MERRIAM KS XXXX-XXXXXX-X1028</t>
  </si>
  <si>
    <t>08/26/2024</t>
  </si>
  <si>
    <t>PO1237 THE HOME DEPOT #2216</t>
  </si>
  <si>
    <t>PO1371 AMAZON MARKETPLACE NAMZN.COM/BILL WA XXXX1028</t>
  </si>
  <si>
    <t>11/09/2024</t>
  </si>
  <si>
    <t>11/21/2024</t>
  </si>
  <si>
    <t>90766</t>
  </si>
  <si>
    <t>Standard</t>
  </si>
  <si>
    <t>Tile Tools Stainless Steel Square Notched Trowel Set 3 PC (Notch Size: 5/32" &amp; 5/16" &amp; 1/2") Masonry Hand Kit for Wall Floor Tiling Installation (includes tax)</t>
  </si>
  <si>
    <t>11/27/2024</t>
  </si>
  <si>
    <t>PO1390 THE HOME DEPOT #2213, SHAWNEE, KSUS</t>
  </si>
  <si>
    <t>11/22/2024</t>
  </si>
  <si>
    <t>2034</t>
  </si>
  <si>
    <t>11/29/2024</t>
  </si>
  <si>
    <t>Total for 132 - Whitaker Marshall Fitness</t>
  </si>
  <si>
    <t>133 - Crossland Heavy Office</t>
  </si>
  <si>
    <t>982010273-00</t>
  </si>
  <si>
    <t>LOWE'S ROELAND PARK KS XXXX-XXXXXX-X1036</t>
  </si>
  <si>
    <t>09/03/2024</t>
  </si>
  <si>
    <t>7681500</t>
  </si>
  <si>
    <t>10/30/2024</t>
  </si>
  <si>
    <t>IN *CDF CONTRACTING LLC</t>
  </si>
  <si>
    <t>Total for 133 - Crossland Heavy Office</t>
  </si>
  <si>
    <t>134 - LV Service Center t&amp;m</t>
  </si>
  <si>
    <t>PO1242 WESTLAKE HARDWARE #0LEAVENWORTH KS XXXX-XXXXXX-X1036</t>
  </si>
  <si>
    <t>Total for 134 - LV Service Center t&amp;m</t>
  </si>
  <si>
    <t>135 - ASRS Demising Wall</t>
  </si>
  <si>
    <t>591110-0001</t>
  </si>
  <si>
    <t>10/04/2024</t>
  </si>
  <si>
    <t>592263-0001</t>
  </si>
  <si>
    <t>09/28/2024</t>
  </si>
  <si>
    <t>LOWES OF GLADSTONE KANSAS CITY MO XXXX-XXXXXX-X1028</t>
  </si>
  <si>
    <t>1011557822-001</t>
  </si>
  <si>
    <t>1011600023-001</t>
  </si>
  <si>
    <t>1011521342-001</t>
  </si>
  <si>
    <t>1011431808-001</t>
  </si>
  <si>
    <t>PO1236 HILTI INC, 800-879-8000, OK</t>
  </si>
  <si>
    <t>PO1253 THE HOME DEPOT #3006INDEPENDENCE MO XXXX-XXXXXX-X1028</t>
  </si>
  <si>
    <t>PO 1281 THE HOME DEPOT #3006</t>
  </si>
  <si>
    <t>PO1282 SHERWIN WILLIAMS XX7484</t>
  </si>
  <si>
    <t>PO1283 SHERWIN WILLIAMS XX7484</t>
  </si>
  <si>
    <t>10/02/2024</t>
  </si>
  <si>
    <t>PO1284 THE HOME DEPOT LEAVENWORTH KS XXXX-XXXXXX-X1036</t>
  </si>
  <si>
    <t>PO1301 HILTI 6341 KANSAS CITY, KANSAS CITY, MO</t>
  </si>
  <si>
    <t>PO1286 THE HOME DEPOT #3006</t>
  </si>
  <si>
    <t>2028</t>
  </si>
  <si>
    <t>Total for 135 - ASRS Demising Wall</t>
  </si>
  <si>
    <t>136 - Topeka VA Ceiling Patches Bld-3 3rd flr</t>
  </si>
  <si>
    <t>09/22/2024</t>
  </si>
  <si>
    <t>PO1265 LOWE'S SHAWNEE KS XXXX-XXXXXX-X1028</t>
  </si>
  <si>
    <t>09/24/2024</t>
  </si>
  <si>
    <t>PO 1266 SHERWIN WILLIAMS XX7219</t>
  </si>
  <si>
    <t>PO1270 LOWE'S KANSAS CITY KS XXXX-XXXXXX-X1028</t>
  </si>
  <si>
    <t>PO1271 SHERWIN WILLIAMS 707KANSAS CITY KS XXXX-XXXXXX-X1028</t>
  </si>
  <si>
    <t>SHERWIN-WILLIAMS TOPEKA KS XXXX-XXXXXX-X1002</t>
  </si>
  <si>
    <t>Total for 136 - Topeka VA Ceiling Patches Bld-3 3rd flr</t>
  </si>
  <si>
    <t>137 - RWP 2 Paola</t>
  </si>
  <si>
    <t>12/17/2024</t>
  </si>
  <si>
    <t>6077460001</t>
  </si>
  <si>
    <t>Boom</t>
  </si>
  <si>
    <t>595049-0002</t>
  </si>
  <si>
    <t>595049-0001</t>
  </si>
  <si>
    <t>6205510001</t>
  </si>
  <si>
    <t>lift</t>
  </si>
  <si>
    <t>12/26/2024</t>
  </si>
  <si>
    <t>5950490005</t>
  </si>
  <si>
    <t>Scissor Lift</t>
  </si>
  <si>
    <t>QuikTrip</t>
  </si>
  <si>
    <t>10/22/2024</t>
  </si>
  <si>
    <t>QT OLATHE KS XXXX1036</t>
  </si>
  <si>
    <t>Total for Fuel</t>
  </si>
  <si>
    <t>1305</t>
  </si>
  <si>
    <t>10/06/2024</t>
  </si>
  <si>
    <t>safety equipment</t>
  </si>
  <si>
    <t>3M DBI-SALA Delta Universal Vest Style Harness (includes tax)</t>
  </si>
  <si>
    <t>11/13/2024</t>
  </si>
  <si>
    <t>40342</t>
  </si>
  <si>
    <t>10/27/2024</t>
  </si>
  <si>
    <t>AMAZON.COM AMZN.COM/BILL WA XXXX1028</t>
  </si>
  <si>
    <t>10/05/2024</t>
  </si>
  <si>
    <t>Paola</t>
  </si>
  <si>
    <t>DeWalt DWA5491 3/8" SDS-Plus High Speed Steel Stop Bit for Mini Drop-In (includes tax)</t>
  </si>
  <si>
    <t>FHFallArrest 18 Inch D Ring Extender with Galvanized Steel Self Locking Snap Hook and O Ring，Heavy Duty Fall Protection Safety Harness Extension Lanyard，For Construction &amp; Roofing, OSHA/ANSI Compliant (includes tax)</t>
  </si>
  <si>
    <t>Frontline RPGC50LE Leading Edge Cable Single Leg 50' SRL with Steel Snap Hook End w/Carry on Handle and Tagline | OSHA &amp; ANSI Compliant SRL | Construction Safety Yoyo (includes tax)</t>
  </si>
  <si>
    <t>Grainger</t>
  </si>
  <si>
    <t>GRAINGER</t>
  </si>
  <si>
    <t>Guardian Fall Protection 10901 Halo Web SRL - 11 ft. Nylon Webbing with Carbineer, Swivel Top, Steel Rebar Hook (includes shipping, tax, discount)</t>
  </si>
  <si>
    <t>Harbor Freight Tools</t>
  </si>
  <si>
    <t>HARBOR FREIGHT TOOLS 619</t>
  </si>
  <si>
    <t>1280 Paola</t>
  </si>
  <si>
    <t>Konohan 300 Pcs Plastic Flat Shims Structural Tile Plastic Shims for Leveling, 3/64, 5/64, 1/8, 5/32, 3/16, 1/4, Green, Black, White, Grey, Blue, Red (includes tax)</t>
  </si>
  <si>
    <t>11/03/2024</t>
  </si>
  <si>
    <t>LOWE'S #1084, SHAWNEE, KSUS</t>
  </si>
  <si>
    <t>LOWES.COM X-XXX-XXX-6937 NC XXXX1028</t>
  </si>
  <si>
    <t>11/05/2024</t>
  </si>
  <si>
    <t>LOWE'S KANSAS CITY KS XXXX1044</t>
  </si>
  <si>
    <t>10/29/2024</t>
  </si>
  <si>
    <t>1011853024-001</t>
  </si>
  <si>
    <t>1012003005-001</t>
  </si>
  <si>
    <t>1012190188-001</t>
  </si>
  <si>
    <t>1011739375-001</t>
  </si>
  <si>
    <t>1011979644-001</t>
  </si>
  <si>
    <t>1011992570-001</t>
  </si>
  <si>
    <t>1012043399-001</t>
  </si>
  <si>
    <t>1012043114-001</t>
  </si>
  <si>
    <t>01/02/2025</t>
  </si>
  <si>
    <t>1012576122001</t>
  </si>
  <si>
    <t>materials</t>
  </si>
  <si>
    <t>1013779204001</t>
  </si>
  <si>
    <t>7849294</t>
  </si>
  <si>
    <t>Materials</t>
  </si>
  <si>
    <t>Milwaukee 48-40-4205 5-3/8 in. x 30 Carbide Teeth Metal and Stainless Cutting Circular Saw Blade (includes tax)</t>
  </si>
  <si>
    <t>Owl Tools SDS Plus 3/16 Inch Masonry Drill Bits (13 Pack - Industrial Grade) 6 Inch Rotary Hammer Bit for Concrete, Stone, Block, &amp; More! (includes tax)</t>
  </si>
  <si>
    <t>Palmer Safety SRL 30 FT. Leading Edge Self Retracting Lifeline I ANSI Z359.14-2021 Class 2 I SRL Device Swivel Top Galvanized Cable w/Small Steel Snap Hook I Fall Arrest Safety Yoyo (includes tax)</t>
  </si>
  <si>
    <t>Part of receipt 2 deliveries LOWES.COM X-XXX-XXX-6937 NC XXXX1028</t>
  </si>
  <si>
    <t>PO1255 TOTAL TOOL SUPPLY-KAKANSAS CITY KS XXXX-XXXXXX-X1028</t>
  </si>
  <si>
    <t>PO1256 Safety Equipment TOTAL TOOL SUPPLY-KAKANSAS CITY KS XXXX-XXXXXX-X1028</t>
  </si>
  <si>
    <t>PO1285 THE HOME DEPOT LEAVENWORTH KS XXXX-XXXXXX-X1036</t>
  </si>
  <si>
    <t>PO1304 THE HOME DEPOT OLATHE KS XXXX1028</t>
  </si>
  <si>
    <t>10/14/2024</t>
  </si>
  <si>
    <t>PO1306 WW GRAINGER 931 ATLANTA GA XXXX1028</t>
  </si>
  <si>
    <t>PO1307 WW GRAINGER 931 ATLANTA GA XXXX1028</t>
  </si>
  <si>
    <t>PO1308 WW GRAINGER 931 ATLANTA GA XXXX1028</t>
  </si>
  <si>
    <t>WHITE CAP</t>
  </si>
  <si>
    <t>PO1312 WHITE CAP #XXX 0438 OLATHE KS XXXX1028</t>
  </si>
  <si>
    <t>PO1315 Partial HILTI 6341 KANSAS CITY, KANSAS CITY, MO</t>
  </si>
  <si>
    <t>PO1316 HILTI 6341 KANSAS CITY, KANSAS CITY, MO</t>
  </si>
  <si>
    <t>PO1317 WW GRAINGER 931 ATLANTA GA XXXX1028</t>
  </si>
  <si>
    <t>PO1318 HARBOR FREIGHT TOOLSOLATHE KS XXXX1028</t>
  </si>
  <si>
    <t>PO1319 WESTLAKE HARDWARE #0OLATHE KS XXXX1028</t>
  </si>
  <si>
    <t>PO1320 WESTLAKE HARDWARE #0LENEXA KS XXXX1028</t>
  </si>
  <si>
    <t>PO1322 THE HOME DEPOT LEAVENWORTH KS XXXX1036</t>
  </si>
  <si>
    <t>PO1323 DOLLAR GENERAL #2200PAOLA KS XXXX1036</t>
  </si>
  <si>
    <t>PO1324 DOLLAR GENERAL #2200PAOLA KS XXXX1036</t>
  </si>
  <si>
    <t>PO1325 WHITE CAP #XXX 0438 OLATHE KS XXXX1036</t>
  </si>
  <si>
    <t>PO1346 DOLLAR GENERAL #2200PAOLA KS XXXX1036</t>
  </si>
  <si>
    <t>PO1347 DOLLAR GENERAL #2200PAOLA KS XXXX1036</t>
  </si>
  <si>
    <t>PO1349 WHITE CAP #XXX 0438 OLATHE KS XXXX1036</t>
  </si>
  <si>
    <t>PO1351 Danger TapeTHE HOME DEPOT OLATHE KS XXXX1036</t>
  </si>
  <si>
    <t>PO 1353 THE HOME DEPOT LEAVENWORTH KS XXXX1036</t>
  </si>
  <si>
    <t>10/21/2024</t>
  </si>
  <si>
    <t>PO1357 THE HOME DEPOT LEAVENWORTH KS XXXX1036</t>
  </si>
  <si>
    <t>11/17/2024</t>
  </si>
  <si>
    <t>PO1379 LOWE'S RAYMORE MO XXXX1028</t>
  </si>
  <si>
    <t>PO1395 THE HOME DEPOT OLATHE KS XXXX1036</t>
  </si>
  <si>
    <t>PO1399 GRABBER MISSOURI XXXXXX-XXX9853 MO XXXX1036</t>
  </si>
  <si>
    <t>12/09/2024</t>
  </si>
  <si>
    <t>PO1404 WESTLAKE HARDWARE #045, LENEXA, KS</t>
  </si>
  <si>
    <t>12/16/2024</t>
  </si>
  <si>
    <t>1012379331001</t>
  </si>
  <si>
    <t>PO1407</t>
  </si>
  <si>
    <t>PO1409 XXXXXXXX4888 HARBOR FREIGHT TOOLS 1, SHAWNEE, KS</t>
  </si>
  <si>
    <t>PO1410 THE HOME DEPOT #2218, OLATHE, KSUS</t>
  </si>
  <si>
    <t>1012417205001</t>
  </si>
  <si>
    <t>PO1413</t>
  </si>
  <si>
    <t>PO 1415 WAL-MART SUPERCENTERPAOLA KS XXXX1036</t>
  </si>
  <si>
    <t>PO1416 WHITE CAP #XXX 0438 OLATHE KS XXXX1036</t>
  </si>
  <si>
    <t>PO1417 HARBOR FREIGHT TOOLSLANSING KS XXXX1036</t>
  </si>
  <si>
    <t>12/03/2024</t>
  </si>
  <si>
    <t>PO1418 THE HOME DEPOT OLATHE KS XXXX1036</t>
  </si>
  <si>
    <t>PO1421 THE HOME DEPOT OLATHE KS XXXX1036</t>
  </si>
  <si>
    <t>PO1422 THE HOME DEPOT OLATHE KS XXXX1036</t>
  </si>
  <si>
    <t>11/14/2024</t>
  </si>
  <si>
    <t>PO1423 THE HOME DEPOT OLATHE KS XXXX1036</t>
  </si>
  <si>
    <t>PO 1425 THE HOME DEPOT OLATHE KS XXXX1036</t>
  </si>
  <si>
    <t>12/23/2024</t>
  </si>
  <si>
    <t>PO1443 THE HOME DEPOT OLATHE KS XXXX1036</t>
  </si>
  <si>
    <t>12/12/2024</t>
  </si>
  <si>
    <t>PO1448 LOWE'S LEES SUMMIT MO XXXX1010</t>
  </si>
  <si>
    <t>12/18/2024</t>
  </si>
  <si>
    <t>PO1450 THE HOME DEPOT OLATHE KS XXXX1028</t>
  </si>
  <si>
    <t>01/17/2025</t>
  </si>
  <si>
    <t>PO1464 THE HOME DEPOT OLATHE KS XXXX1036</t>
  </si>
  <si>
    <t>PO1536 THE HOME DEPOT OLATHE KS XXXX1028</t>
  </si>
  <si>
    <t>03/04/2025</t>
  </si>
  <si>
    <t>PO1558 THE HOME DEPOT OLATHE KS XXXX1028</t>
  </si>
  <si>
    <t>04/10/2025</t>
  </si>
  <si>
    <t>PO1680 THE HOME DEPOT #2218, OLATHE, KSUS</t>
  </si>
  <si>
    <t>Refund PO1307 WW GRAINGER 931 ATLANTA GA XXXX1028</t>
  </si>
  <si>
    <t>Return - 80Ft safety tow ropeHARBOR FREIGHT TOOLS 619</t>
  </si>
  <si>
    <t>05/02/2025</t>
  </si>
  <si>
    <t>01/29/2025</t>
  </si>
  <si>
    <t>THE HOME DEPOT BELTON MO XXXX1028</t>
  </si>
  <si>
    <t>THE HOME DEPOT OLATHE KS XXXX1036</t>
  </si>
  <si>
    <t>1012362398001</t>
  </si>
  <si>
    <t>TOTAL TOOL SUPPLY-KAKANSAS CITY KS XXXX-XXXXXX-X1028</t>
  </si>
  <si>
    <t>WESTLAKE HARDWARE #013</t>
  </si>
  <si>
    <t>WESTLAKE HARDWARE #045, LENEXA, KS</t>
  </si>
  <si>
    <t>WESTLAKE HARDWARE #179</t>
  </si>
  <si>
    <t>Zoro Tools</t>
  </si>
  <si>
    <t>ZORO TOOLS INC</t>
  </si>
  <si>
    <t>02/17/2025</t>
  </si>
  <si>
    <t>7858080</t>
  </si>
  <si>
    <t>We Be Smokin</t>
  </si>
  <si>
    <t>Lunch with Crew WE B SMOKIN XXXX0000PAOLA KS XXXX1028</t>
  </si>
  <si>
    <t>Total for Meals</t>
  </si>
  <si>
    <t>PO1696 SP 1800CEILING COPIAGUE NY XXXX1028</t>
  </si>
  <si>
    <t>12/22/2024</t>
  </si>
  <si>
    <t>J137-CDF-001</t>
  </si>
  <si>
    <t>Paola Drywall Finishing</t>
  </si>
  <si>
    <t>THE HOME DEPOT OLATHE KS XXXX-XXXXXX-X1028</t>
  </si>
  <si>
    <t>06/27/2025</t>
  </si>
  <si>
    <t>12/19/2024</t>
  </si>
  <si>
    <t>ADP WAGE PAY BRIGHTEN BUILDERS L ACH WITHDRAWAL ADP WAGE PAY BRIGHTEN BUILDERS LLC ACH DEBIT WAGE PAY XXXXXXXX1468R4Q</t>
  </si>
  <si>
    <t>06/05/2025</t>
  </si>
  <si>
    <t>01/10/2025</t>
  </si>
  <si>
    <t>01/03/2025</t>
  </si>
  <si>
    <t>Emanuel Penney</t>
  </si>
  <si>
    <t>Hand written check for payroll Outbound Check</t>
  </si>
  <si>
    <t>Pay Check for one week of work 11/01/2024 Outbound Check</t>
  </si>
  <si>
    <t>Trevor Julian Paper Check</t>
  </si>
  <si>
    <t>Total for 137 - RWP 2 Paola</t>
  </si>
  <si>
    <t xml:space="preserve">138 - North KC Hospital Roller Shades </t>
  </si>
  <si>
    <t xml:space="preserve">Total for 138 - North KC Hospital Roller Shades </t>
  </si>
  <si>
    <t>139 - 24-3012 KUMC Orr 4th Fl Destr Testing</t>
  </si>
  <si>
    <t>7725040</t>
  </si>
  <si>
    <t>7729558</t>
  </si>
  <si>
    <t>WW GRAINGER 931 ATLANTA GA XXXX-XXXXXX-X1028</t>
  </si>
  <si>
    <t>2032</t>
  </si>
  <si>
    <t>Total for 139 - 24-3012 KUMC Orr 4th Fl Destr Testing</t>
  </si>
  <si>
    <t>Bank fees &amp; service charges</t>
  </si>
  <si>
    <t>140 - Lakeview - Heritage 5A Reno</t>
  </si>
  <si>
    <t>ckf</t>
  </si>
  <si>
    <t>165474</t>
  </si>
  <si>
    <t>3% Credit card tranaction Fee</t>
  </si>
  <si>
    <t>165477</t>
  </si>
  <si>
    <t>3% fee for Credit Card</t>
  </si>
  <si>
    <t>165476</t>
  </si>
  <si>
    <t>service change for CC</t>
  </si>
  <si>
    <t>Total for Bank fees &amp; service charges</t>
  </si>
  <si>
    <t>BIN THERE DUMP THAT</t>
  </si>
  <si>
    <t>BIN THERE DUMP THAT KANSA</t>
  </si>
  <si>
    <t>Dumpster Rental BIN THERE DUMP THAT KANSA</t>
  </si>
  <si>
    <t>PO1501 BIN THERE DUMP THAT KANSA</t>
  </si>
  <si>
    <t>ADP Payroll</t>
  </si>
  <si>
    <t>08/22/2025</t>
  </si>
  <si>
    <t>Kyle and Dustin Bonus</t>
  </si>
  <si>
    <t>Total for Foreman Bonuses - COGS</t>
  </si>
  <si>
    <t>Wholesale Sheet Metal, Inc.</t>
  </si>
  <si>
    <t>4th floor HVAC WHOLESALE SHEET METAL LLC</t>
  </si>
  <si>
    <t>4th Floor HVAC WHOLESALE SHEET METAL LLC</t>
  </si>
  <si>
    <t>12/20/2024</t>
  </si>
  <si>
    <t>4th Floor THE HOME DEPOT #2201</t>
  </si>
  <si>
    <t>40426</t>
  </si>
  <si>
    <t>04/09/2025</t>
  </si>
  <si>
    <t>AMAZON MKTPL*5E6J74LT3</t>
  </si>
  <si>
    <t>AMAZON MKTPL*8C9IT64Q3</t>
  </si>
  <si>
    <t>04/17/2025</t>
  </si>
  <si>
    <t>AMAZON MKTPL*C53I73QX3</t>
  </si>
  <si>
    <t>AMAZON MKTPL*N28NL79A1</t>
  </si>
  <si>
    <t>AMAZON MKTPL*NB2LY3CV1</t>
  </si>
  <si>
    <t>04/01/2025</t>
  </si>
  <si>
    <t>Appliances on backorder returned THE HOME DEPOT #2213</t>
  </si>
  <si>
    <t>04/08/2025</t>
  </si>
  <si>
    <t>appliances returned THE HOME DEPOT #2213</t>
  </si>
  <si>
    <t>Appliances THE HOME DEPOT #2213</t>
  </si>
  <si>
    <t>Cabinets</t>
  </si>
  <si>
    <t>05/08/2025</t>
  </si>
  <si>
    <t>165461</t>
  </si>
  <si>
    <t>countertops</t>
  </si>
  <si>
    <t>165464</t>
  </si>
  <si>
    <t>04/21/2025</t>
  </si>
  <si>
    <t>165463</t>
  </si>
  <si>
    <t>1654633</t>
  </si>
  <si>
    <t>Cutting countertop overhang</t>
  </si>
  <si>
    <t>Dollar Tree</t>
  </si>
  <si>
    <t>DOLLAR TREE XXXX0404LENEXA KS XXXX1036</t>
  </si>
  <si>
    <t>03/02/2025</t>
  </si>
  <si>
    <t>door clipsAMAZON MKTPL*VB9FV5B03</t>
  </si>
  <si>
    <t>01/12/2025</t>
  </si>
  <si>
    <t>Fire Caulk HILTI 6341 KANSAS CITY, KANSAS CITY, MO</t>
  </si>
  <si>
    <t>05/13/2025</t>
  </si>
  <si>
    <t>half bath accessories HOMEDEPOT.COM</t>
  </si>
  <si>
    <t>HILTI 6341 KANSAS CITY, KANSAS CITY, MO</t>
  </si>
  <si>
    <t>HOMEDEPOT.COM</t>
  </si>
  <si>
    <t>1012699608001</t>
  </si>
  <si>
    <t>Insulation and Drywall</t>
  </si>
  <si>
    <t>169827</t>
  </si>
  <si>
    <t>Invoice for kitchen and bath cabinets from ckf to Brighten Builders LLC, total $203.48 including tax.</t>
  </si>
  <si>
    <t>05/29/2025</t>
  </si>
  <si>
    <t>Lakeview Vanity light THE HOME DEPOT #2213</t>
  </si>
  <si>
    <t>01/08/2025</t>
  </si>
  <si>
    <t>1012190155-001</t>
  </si>
  <si>
    <t>1011988261-001</t>
  </si>
  <si>
    <t>1012234986-001</t>
  </si>
  <si>
    <t>1011988716-001</t>
  </si>
  <si>
    <t>1012274348-001</t>
  </si>
  <si>
    <t>01/15/2025</t>
  </si>
  <si>
    <t>40574</t>
  </si>
  <si>
    <t>01/13/2025</t>
  </si>
  <si>
    <t>1012551870001</t>
  </si>
  <si>
    <t>Keller Fire &amp; Safety</t>
  </si>
  <si>
    <t>04/15/2025</t>
  </si>
  <si>
    <t>1514596</t>
  </si>
  <si>
    <t>1012638294001</t>
  </si>
  <si>
    <t>01/09/2025</t>
  </si>
  <si>
    <t>1012622299001</t>
  </si>
  <si>
    <t>Metro Hardwood</t>
  </si>
  <si>
    <t>Materials Reimbursement for Wood Outbound Check</t>
  </si>
  <si>
    <t>02/13/2025</t>
  </si>
  <si>
    <t>MENARDS 3343</t>
  </si>
  <si>
    <t>04/23/2025</t>
  </si>
  <si>
    <t>MENARDS XXXX XXX0033OLATHE KS XXXX1044</t>
  </si>
  <si>
    <t>Partial order  HOMEDEPOT.COM</t>
  </si>
  <si>
    <t>Partial order THE HOME DEPOT #2213</t>
  </si>
  <si>
    <t>Pint for 4th floor THE HOME DEPOT #2202</t>
  </si>
  <si>
    <t>PO1330 DREXEL TECHNOLOGIES, INC.</t>
  </si>
  <si>
    <t>PO1355 GRAINGER, LAKE FOREST, IL</t>
  </si>
  <si>
    <t>Kohl's</t>
  </si>
  <si>
    <t>PO1358 KOHLS 0301 15500 SHAWN, SHAWNEE, KSUS</t>
  </si>
  <si>
    <t>PO1359 THE HOME DEPOT SHAWNEE KS XXXX1028</t>
  </si>
  <si>
    <t>PO1376 THE HOME DEPOT MERRIAM KS XXXX1028</t>
  </si>
  <si>
    <t>PO1377 LOWE'S KANSAS CITY KS XXXX1028</t>
  </si>
  <si>
    <t>PO1383 HILTI INC, 800-879-8000, OK</t>
  </si>
  <si>
    <t>4 State Supply</t>
  </si>
  <si>
    <t>PO1388 4 STATE SUPPLY LENEXA, LENEXA, KS</t>
  </si>
  <si>
    <t>Swiftchoice.com</t>
  </si>
  <si>
    <t>PO1394 SP SWIFTCHOICE.COM</t>
  </si>
  <si>
    <t>12/06/2024</t>
  </si>
  <si>
    <t>PO 1398 WESTLAKE HARDWARE #045, LENEXA, KS</t>
  </si>
  <si>
    <t>PO1399 THE HOME DEPOT #2213, SHAWNEE, KSUS</t>
  </si>
  <si>
    <t>PO1400 THE HOME DEPOT MERRIAM KS XXXX1044</t>
  </si>
  <si>
    <t>1012362373001</t>
  </si>
  <si>
    <t>PO1402</t>
  </si>
  <si>
    <t>1012414783001</t>
  </si>
  <si>
    <t>PO1417</t>
  </si>
  <si>
    <t>PO1439 THE HOME DEPOT OLATHE KS XXXX1051</t>
  </si>
  <si>
    <t>01/20/2025</t>
  </si>
  <si>
    <t>PO1462 THE HOME DEPOT BELTON MO XXXX1069</t>
  </si>
  <si>
    <t>PO1472 HILTI INC</t>
  </si>
  <si>
    <t>PO1475 LOWES #X0721*</t>
  </si>
  <si>
    <t>02/05/2025</t>
  </si>
  <si>
    <t>PO1500 MENARDS.COM</t>
  </si>
  <si>
    <t>PO1527 window sills THE HOME DEPOT #2201</t>
  </si>
  <si>
    <t>PO 1528 Trim wood MENARDS 3343</t>
  </si>
  <si>
    <t>02/12/2025</t>
  </si>
  <si>
    <t>PO 1530 WESTLAKE HARDWARE #045</t>
  </si>
  <si>
    <t>PO1531 THE HOME DEPOT #2213</t>
  </si>
  <si>
    <t>PO1559 THE HOME DEPOT OLATHE KS XXXX1028</t>
  </si>
  <si>
    <t>WOODCRAFT</t>
  </si>
  <si>
    <t>03/10/2025</t>
  </si>
  <si>
    <t>PO1573 WOODCRAFT XXX XX4870LENEXA KS XXXX1028</t>
  </si>
  <si>
    <t>PO1594 THE HOME DEPOT #2201</t>
  </si>
  <si>
    <t>PO1595 WESTLAKE HARDWARE #045</t>
  </si>
  <si>
    <t>PO1596 THE HOME DEPOT #2213</t>
  </si>
  <si>
    <t>MROSUPREME</t>
  </si>
  <si>
    <t>PO1597 SP MROSUPREME.COM</t>
  </si>
  <si>
    <t>PO 1644 WESTLAKE HARDWARE #0LENEXA KS XXXX1044</t>
  </si>
  <si>
    <t>04/03/2025</t>
  </si>
  <si>
    <t>PO1655 Closet light for 503A THE HOME DEPOT #2201</t>
  </si>
  <si>
    <t>PO1656 Amazon.com*R604N8LQ3</t>
  </si>
  <si>
    <t>PO1664 THE HOME DEPOT #2213, SHAWNEE, KSUS</t>
  </si>
  <si>
    <t>PO1667 THE HOME DEPOT #3016, KANSAS CITY, MOUS</t>
  </si>
  <si>
    <t>PO1668 THE HOME DEPOT #2203, OVERLAND PK, KSUS</t>
  </si>
  <si>
    <t>PO1673 WOODCRAFT XXX XX4870LENEXA KS XXXX1036</t>
  </si>
  <si>
    <t>PO1679 THE HOME DEPOT #3016, KANSAS CITY, MOUS</t>
  </si>
  <si>
    <t>04/26/2025</t>
  </si>
  <si>
    <t>PO1681 LOWE'S SHAWNEE KS XXXX1028</t>
  </si>
  <si>
    <t>PO1682 THE HOME DEPOT SHAWNEE KS XXXX1028</t>
  </si>
  <si>
    <t>06/26/2025</t>
  </si>
  <si>
    <t>PO 1811 THE HOME DEPOT OLATHE KS XXXX1044</t>
  </si>
  <si>
    <t>Pocket Door Fra,</t>
  </si>
  <si>
    <t>Refund for missing pocket door SP SWIFTCHOICE.COM</t>
  </si>
  <si>
    <t>03/26/2025</t>
  </si>
  <si>
    <t>Returned fridge on backorder THE HOME DEPOT #2213</t>
  </si>
  <si>
    <t>returned ice maker boxes AMAZON MKTPLACE PMTS</t>
  </si>
  <si>
    <t>Kohler</t>
  </si>
  <si>
    <t>SInk for 511 KOHLER CO</t>
  </si>
  <si>
    <t>sink returned KOHLER CO</t>
  </si>
  <si>
    <t>Star Beauty</t>
  </si>
  <si>
    <t>05/27/2025</t>
  </si>
  <si>
    <t>STAR BEAUTY SUPPLY 0LENEXA KS XXXX1002</t>
  </si>
  <si>
    <t>STAR BEAUTY SUPPLY, LENEXA, KS</t>
  </si>
  <si>
    <t>THE HOME DEPOT 2202</t>
  </si>
  <si>
    <t>11/24/2024</t>
  </si>
  <si>
    <t>05/07/2025</t>
  </si>
  <si>
    <t>THE HOME DEPOT #3016</t>
  </si>
  <si>
    <t>THE HOME DEPOT KANSAS CITY MO XXXX1044</t>
  </si>
  <si>
    <t>03/19/2025</t>
  </si>
  <si>
    <t>06/04/2025</t>
  </si>
  <si>
    <t>THE HOME DEPOT SHAWNEE KS XXXX1036</t>
  </si>
  <si>
    <t>THE HOME DEPOT SHAWNEE KS XXXX1051</t>
  </si>
  <si>
    <t>$th floor WESTLAKE HARDWARE #045</t>
  </si>
  <si>
    <t>40441</t>
  </si>
  <si>
    <t>1012679527001</t>
  </si>
  <si>
    <t>WESTLAKE HARDWARE #045</t>
  </si>
  <si>
    <t>02/27/2025</t>
  </si>
  <si>
    <t>WESTLAKE HARDWARE #0EXCELSIOR SPR MO XXXX1051</t>
  </si>
  <si>
    <t>WESTLAKE HARDWARE #0LENEXA KS XXXX1028</t>
  </si>
  <si>
    <t>05/16/2025</t>
  </si>
  <si>
    <t>1012970156001</t>
  </si>
  <si>
    <t>1012699608002</t>
  </si>
  <si>
    <t>01/28/2025</t>
  </si>
  <si>
    <t>Subway</t>
  </si>
  <si>
    <t>Lunch Meeting at Lakeview Subway X1462</t>
  </si>
  <si>
    <t>WALLABYS GRILL PUB</t>
  </si>
  <si>
    <t>TST*WALLABYS GRILL PUB, Lenexa, KS</t>
  </si>
  <si>
    <t>City of Lenexa</t>
  </si>
  <si>
    <t>LENEXA COMNTY DEV ONLINE</t>
  </si>
  <si>
    <t>TCO for A517 LENEXA COMNTY DEV ONLINE</t>
  </si>
  <si>
    <t>Total for Permits - COGS</t>
  </si>
  <si>
    <t>PO1386 THE HOME DEPOT #2202</t>
  </si>
  <si>
    <t>PO1392 AMAZON MARKETPLACE NAMZN.COM/BILL WA XXXX1028</t>
  </si>
  <si>
    <t>Jayhawk Fire Sprinklers</t>
  </si>
  <si>
    <t>12/25/2024</t>
  </si>
  <si>
    <t>20800K</t>
  </si>
  <si>
    <t>4th Floor Sprinklers</t>
  </si>
  <si>
    <t>FDC Contract</t>
  </si>
  <si>
    <t>06/18/2025</t>
  </si>
  <si>
    <t>3</t>
  </si>
  <si>
    <t>Application for Payment for Floor Covering contract at Lakeview Village project</t>
  </si>
  <si>
    <t>LVV - Draw 1</t>
  </si>
  <si>
    <t>Contract</t>
  </si>
  <si>
    <t>Tech Electric, LLC</t>
  </si>
  <si>
    <t>05/20/2025</t>
  </si>
  <si>
    <t>Draw 5</t>
  </si>
  <si>
    <t>Draw 5 final payment</t>
  </si>
  <si>
    <t>Extras and 4th Floor</t>
  </si>
  <si>
    <t>CERTIFIED LIFE SAFETY, LLC</t>
  </si>
  <si>
    <t>607-25-01</t>
  </si>
  <si>
    <t>Fire Alarm Accessories Install</t>
  </si>
  <si>
    <t>Fire Alarm Panel tie-in</t>
  </si>
  <si>
    <t>Flooring Sub</t>
  </si>
  <si>
    <t>Invoice for electrical work at Lakeview Village, Heritage Place renovation including installation and change orders</t>
  </si>
  <si>
    <t>Hi-Gene's Janitorial Service, inc</t>
  </si>
  <si>
    <t>94751</t>
  </si>
  <si>
    <t>Invoice for final construction cleaning services provided by Hi-Gene's Janitorial Service to Brighten Builders</t>
  </si>
  <si>
    <t>05/19/2025</t>
  </si>
  <si>
    <t>2047</t>
  </si>
  <si>
    <t>Invoice for Labor/Materials for Lakeview Village 5th Floor Hallway from CDF Contracting LLC to Brighten Builders</t>
  </si>
  <si>
    <t>Switzer Brothers Painting LLC</t>
  </si>
  <si>
    <t>06/16/2025</t>
  </si>
  <si>
    <t>4649</t>
  </si>
  <si>
    <t>Invoice for painting services at Lakeview Village by Switzer Brothers Painting LLC to Brighten Builders LLC</t>
  </si>
  <si>
    <t>J&amp;B Blinds</t>
  </si>
  <si>
    <t>1432</t>
  </si>
  <si>
    <t>Invoice for purchase and installation of 20 solar shades for Brighten Builders LLC</t>
  </si>
  <si>
    <t>General Fire Sprinkler</t>
  </si>
  <si>
    <t>6C0111R - J140</t>
  </si>
  <si>
    <t>Invoice for retainage on LAKEVIEW VILLAGE  project</t>
  </si>
  <si>
    <t>Petty Products, Inc.</t>
  </si>
  <si>
    <t>26277</t>
  </si>
  <si>
    <t>Invoice from Petty Products, Inc. to Brighten Builders, LLC for shower door installation, total $917.94</t>
  </si>
  <si>
    <t>26275</t>
  </si>
  <si>
    <t>Invoice from Petty Products, Inc. to Brighten Builders, LLC for shower stall sliders and installation.</t>
  </si>
  <si>
    <t>26276</t>
  </si>
  <si>
    <t>05/22/2025</t>
  </si>
  <si>
    <t>4615</t>
  </si>
  <si>
    <t>Invoice from Switzer Brothers Painting LLC to Brighten Builders LLC for painting services at Lakeview Village</t>
  </si>
  <si>
    <t>Echo GPR Services</t>
  </si>
  <si>
    <t>1224</t>
  </si>
  <si>
    <t>Lakeview 5th Flr Concrete Floor Scan</t>
  </si>
  <si>
    <t>05/28/2025</t>
  </si>
  <si>
    <t>Lakeview PA2 - May</t>
  </si>
  <si>
    <t>PA001 November</t>
  </si>
  <si>
    <t>JF Denney Inc.</t>
  </si>
  <si>
    <t>PA002 December</t>
  </si>
  <si>
    <t>LVV - Draw 2</t>
  </si>
  <si>
    <t>LVV - Painting on 4th</t>
  </si>
  <si>
    <t>Painting on 4th Floor 8hrs</t>
  </si>
  <si>
    <t>Pay App 003</t>
  </si>
  <si>
    <t>Pay App 004 - April</t>
  </si>
  <si>
    <t>Pay App 4 March</t>
  </si>
  <si>
    <t>J140 - 5</t>
  </si>
  <si>
    <t>Plumbing</t>
  </si>
  <si>
    <t>04/03/2026</t>
  </si>
  <si>
    <t>6 F - 301050- J140</t>
  </si>
  <si>
    <t>Plumbing, fixtures, HVAC, and drain change order work.</t>
  </si>
  <si>
    <t>S099951</t>
  </si>
  <si>
    <t>PO1436</t>
  </si>
  <si>
    <t>966081</t>
  </si>
  <si>
    <t>sprinklers</t>
  </si>
  <si>
    <t>Great Plains Tile and Stone</t>
  </si>
  <si>
    <t>01</t>
  </si>
  <si>
    <t>Tile Install</t>
  </si>
  <si>
    <t>06/10/2025</t>
  </si>
  <si>
    <t>LOWE'S SHAWNEE KS XXXX1002</t>
  </si>
  <si>
    <t>Colton back dues</t>
  </si>
  <si>
    <t>07/24/2025</t>
  </si>
  <si>
    <t>05/30/2025</t>
  </si>
  <si>
    <t>05/23/2025</t>
  </si>
  <si>
    <t>04/25/2025</t>
  </si>
  <si>
    <t>06/13/2025</t>
  </si>
  <si>
    <t>Total for 140 - Lakeview - Heritage 5A Reno</t>
  </si>
  <si>
    <t>141 - Merriam MOB</t>
  </si>
  <si>
    <t>PO1356 WESTLAKE HARDWARE #068, OVERLAND PARK, KS</t>
  </si>
  <si>
    <t>PO1365 WESTLAKE HARDWARE #0OVERLAND PARK KS XXXX1044</t>
  </si>
  <si>
    <t>THE HOME DEPOT #2202, MERRIAM, KSUS</t>
  </si>
  <si>
    <t>Total for 141 - Merriam MOB</t>
  </si>
  <si>
    <t>Foreman Bonuses - COGS</t>
  </si>
  <si>
    <t>142 - Carlson USCG Add Walls &amp; Doors</t>
  </si>
  <si>
    <t>Kyle bonus</t>
  </si>
  <si>
    <t>Summit Flooring Supply, LLC</t>
  </si>
  <si>
    <t>2 Rolls of 4" base, Adhesive and nosels and carpet square tabs SUMMIT FLOORING SUPPLY, LEES SUMMIT, MOUS</t>
  </si>
  <si>
    <t>Cleaning supplies DOLLAR GENERAL #X3666</t>
  </si>
  <si>
    <t>40499</t>
  </si>
  <si>
    <t>Invoice from ABCO Supply LLC to Brighten Builders LLC for construction supplies</t>
  </si>
  <si>
    <t>1012459433001</t>
  </si>
  <si>
    <t>PO1434 THE HOME DEPOT SHAWNEE KS XXXX1069</t>
  </si>
  <si>
    <t>PO1440 LOWE'S TOPEKA KS XXXX1069</t>
  </si>
  <si>
    <t>Topeka Foundry</t>
  </si>
  <si>
    <t>PO 1441 LS TFI, LLC TOPEKA KS XXXX1069</t>
  </si>
  <si>
    <t>01/11/2025</t>
  </si>
  <si>
    <t>PO1454 WESTLAKE HARDWARE #0TOPEKA KS XXXX1036</t>
  </si>
  <si>
    <t>PO1455 LOWE'S SHAWNEE KS XXXX1028</t>
  </si>
  <si>
    <t>PO1499 THE HOME DEPOT LEAVENWORTH KS XXXX1036</t>
  </si>
  <si>
    <t>BOBO Drive in</t>
  </si>
  <si>
    <t>bought the guys Lunch for Sat BOBO DRIVE IN, TOPEKA, KS</t>
  </si>
  <si>
    <t>Drinks for Lunch XXXXXXXX0091537 TONY'S QUICK SH, TOPEKA, KS</t>
  </si>
  <si>
    <t>J142 - Carlson</t>
  </si>
  <si>
    <t>Total for 142 - Carlson USCG Add Walls &amp; Doors</t>
  </si>
  <si>
    <t>143 - Raytown School District Entrance Canopies</t>
  </si>
  <si>
    <t>05/12/2025</t>
  </si>
  <si>
    <t>6369720001</t>
  </si>
  <si>
    <t>equipment</t>
  </si>
  <si>
    <t>6369720002</t>
  </si>
  <si>
    <t>6347310001</t>
  </si>
  <si>
    <t>Equipment</t>
  </si>
  <si>
    <t>6326230002</t>
  </si>
  <si>
    <t>fuel</t>
  </si>
  <si>
    <t>6386040001</t>
  </si>
  <si>
    <t>6316660003</t>
  </si>
  <si>
    <t>Lift</t>
  </si>
  <si>
    <t>6390200001</t>
  </si>
  <si>
    <t>6438680001</t>
  </si>
  <si>
    <t>04/29/2025</t>
  </si>
  <si>
    <t>6324480002</t>
  </si>
  <si>
    <t>6326230001</t>
  </si>
  <si>
    <t>6324480001</t>
  </si>
  <si>
    <t>lift rental</t>
  </si>
  <si>
    <t>6316660001</t>
  </si>
  <si>
    <t>Lift rental</t>
  </si>
  <si>
    <t>6346700001</t>
  </si>
  <si>
    <t>Lift Rental</t>
  </si>
  <si>
    <t>6371090001</t>
  </si>
  <si>
    <t>Move Lift</t>
  </si>
  <si>
    <t>6395330001</t>
  </si>
  <si>
    <t>moving lift</t>
  </si>
  <si>
    <t>6412230001</t>
  </si>
  <si>
    <t>Dustin Bonus</t>
  </si>
  <si>
    <t>Dustin partial bonus for beating Labor</t>
  </si>
  <si>
    <t>1286</t>
  </si>
  <si>
    <t>Foreman Bonus</t>
  </si>
  <si>
    <t>BP</t>
  </si>
  <si>
    <t>BP#XXX1113DISCOUNT SRAYTOWN MO XXXX1051</t>
  </si>
  <si>
    <t>POUR BOY MOSBY X0501EXCELSIOR SPRINGS MO XXXX1051</t>
  </si>
  <si>
    <t>QT RAYTOWN MO XXXX1051</t>
  </si>
  <si>
    <t>1013266969001</t>
  </si>
  <si>
    <t>1550</t>
  </si>
  <si>
    <t>03/23/2025</t>
  </si>
  <si>
    <t>1584 AMAZON.COM AMZN.COM/BILL WA XXXX1028</t>
  </si>
  <si>
    <t>1621 AMAZON MARKETPLACE NAMZN.COM/BILL WA XXXX1028</t>
  </si>
  <si>
    <t>03/31/2025</t>
  </si>
  <si>
    <t>1013445758001</t>
  </si>
  <si>
    <t>1638</t>
  </si>
  <si>
    <t>1013480646001</t>
  </si>
  <si>
    <t>1639</t>
  </si>
  <si>
    <t>6 boxes of screws</t>
  </si>
  <si>
    <t>03/18/2025</t>
  </si>
  <si>
    <t>4624179803</t>
  </si>
  <si>
    <t>cartridges</t>
  </si>
  <si>
    <t>Casey's</t>
  </si>
  <si>
    <t>CASEY S #XXXX XX0004RAYTOWN MO XXXX1051</t>
  </si>
  <si>
    <t>03/03/2025</t>
  </si>
  <si>
    <t>INV156316</t>
  </si>
  <si>
    <t>engineered plans</t>
  </si>
  <si>
    <t>1013723836001</t>
  </si>
  <si>
    <t>hat channel</t>
  </si>
  <si>
    <t>Love's Country Stores</t>
  </si>
  <si>
    <t>LOVE'S #0786 OUTSIDEKANSAS CITY MO XXXX1051</t>
  </si>
  <si>
    <t>1013716255001</t>
  </si>
  <si>
    <t>1013597976001</t>
  </si>
  <si>
    <t>1013957835001</t>
  </si>
  <si>
    <t>1013691183001</t>
  </si>
  <si>
    <t>04/30/2025</t>
  </si>
  <si>
    <t>1013843104001</t>
  </si>
  <si>
    <t>1013598048001</t>
  </si>
  <si>
    <t>05/15/2025</t>
  </si>
  <si>
    <t>1013957835002</t>
  </si>
  <si>
    <t>INV155927</t>
  </si>
  <si>
    <t>Plans</t>
  </si>
  <si>
    <t>02/08/2025</t>
  </si>
  <si>
    <t>PO1489 HILTI 6341 KANSAS CITY</t>
  </si>
  <si>
    <t>1013267190001</t>
  </si>
  <si>
    <t>PO1551</t>
  </si>
  <si>
    <t>1013268310001</t>
  </si>
  <si>
    <t>PO1552</t>
  </si>
  <si>
    <t>1013269086001</t>
  </si>
  <si>
    <t>PO1553</t>
  </si>
  <si>
    <t>1013288026001</t>
  </si>
  <si>
    <t>PO1566</t>
  </si>
  <si>
    <t>1013318380001</t>
  </si>
  <si>
    <t>PO1568</t>
  </si>
  <si>
    <t>1013318867001</t>
  </si>
  <si>
    <t>PO1569</t>
  </si>
  <si>
    <t>4624207119</t>
  </si>
  <si>
    <t>PO1574</t>
  </si>
  <si>
    <t>03/27/2025</t>
  </si>
  <si>
    <t>4624219615</t>
  </si>
  <si>
    <t>4624187094</t>
  </si>
  <si>
    <t>PO1576</t>
  </si>
  <si>
    <t>4624219611</t>
  </si>
  <si>
    <t>PO1588</t>
  </si>
  <si>
    <t>1013436370001</t>
  </si>
  <si>
    <t>PO 1599</t>
  </si>
  <si>
    <t>1013436972001</t>
  </si>
  <si>
    <t>PO 1600</t>
  </si>
  <si>
    <t>1013437156001</t>
  </si>
  <si>
    <t>PO 1601</t>
  </si>
  <si>
    <t>4624257233</t>
  </si>
  <si>
    <t>PO1619</t>
  </si>
  <si>
    <t>4624214665</t>
  </si>
  <si>
    <t>PO1631</t>
  </si>
  <si>
    <t>4624273716</t>
  </si>
  <si>
    <t>PO1642</t>
  </si>
  <si>
    <t>PO 1648 AMAZON.COM AMZN.COM/BILL WA XXXX1028</t>
  </si>
  <si>
    <t>1648</t>
  </si>
  <si>
    <t>PO 1648 Makita B-69250 5-7/8" 48T Carbide-Tipped Max Efficiency Saw Blade, Thin Metal (includes tax)</t>
  </si>
  <si>
    <t>PO 1658 WESTLAKE HARDWARE #0RAYTOWN MO XXXX1051</t>
  </si>
  <si>
    <t>PO1683 WESTLAKE HARDWARE #0RAYTOWN MO XXXX1051</t>
  </si>
  <si>
    <t>PO1684 WESTLAKE HARDWARE #0RAYTOWN MO XXXX1051</t>
  </si>
  <si>
    <t>PO1685 SUTHERLANDS XXX0 084KANSAS CITY MO XXXX1051</t>
  </si>
  <si>
    <t>04/28/2025</t>
  </si>
  <si>
    <t>PO1686 WESTLAKE HARDWARE #0RAYTOWN MO XXXX1051</t>
  </si>
  <si>
    <t>Advance Auto Parts</t>
  </si>
  <si>
    <t>PO1689 ADVANCE AUTO PARTS #RAYTOWN MO XXXX1051</t>
  </si>
  <si>
    <t>QT 279 OUTSIDE/QUIKTEXCELSIOR SPR MO XXXX1051</t>
  </si>
  <si>
    <t>SUTHERLANDS XXX0 084KANSAS CITY MO XXXX1051</t>
  </si>
  <si>
    <t>THE HOME DEPOT 2218 OLATHE KS XXXX1044</t>
  </si>
  <si>
    <t>05/05/2025</t>
  </si>
  <si>
    <t>4624410391</t>
  </si>
  <si>
    <t>1013436117001</t>
  </si>
  <si>
    <t>4624320925</t>
  </si>
  <si>
    <t>04/05/2025</t>
  </si>
  <si>
    <t>water QT 156</t>
  </si>
  <si>
    <t>WESTLAKE HARDWARE #0RAYTOWN MO XXXX1028</t>
  </si>
  <si>
    <t>4624340709</t>
  </si>
  <si>
    <t>05/06/2025</t>
  </si>
  <si>
    <t>1013892478001</t>
  </si>
  <si>
    <t>1013950959001</t>
  </si>
  <si>
    <t>1013863812001</t>
  </si>
  <si>
    <t>03/20/2025</t>
  </si>
  <si>
    <t>PO1580 LOWE'S #2943, KANSAS CITY, MOUS</t>
  </si>
  <si>
    <t>PO 1627 RANCH MART ACE HDWE</t>
  </si>
  <si>
    <t>PO1657 RANCH MART ACE HDWE</t>
  </si>
  <si>
    <t>K Building Specialties, Inc</t>
  </si>
  <si>
    <t>08/04/2025</t>
  </si>
  <si>
    <t>3 - ret</t>
  </si>
  <si>
    <t>Application for Payment for Raytown South Canopies project, showing completed work and current payment due.</t>
  </si>
  <si>
    <t>Excel Engineering</t>
  </si>
  <si>
    <t>111416</t>
  </si>
  <si>
    <t>Engineered Drawings</t>
  </si>
  <si>
    <t>PA001</t>
  </si>
  <si>
    <t>2-2629</t>
  </si>
  <si>
    <t>PA002 - May</t>
  </si>
  <si>
    <t>C4 Drywall Finishing LLC</t>
  </si>
  <si>
    <t>07/29/2025</t>
  </si>
  <si>
    <t>143-001</t>
  </si>
  <si>
    <t>WO1282 - finisher</t>
  </si>
  <si>
    <t>HARBOR FREIGHT TOOLSSHAWNEE KS XXXX1028</t>
  </si>
  <si>
    <t>Ebay</t>
  </si>
  <si>
    <t>Hilti DX351 eBay O*XX-XXXXX-X4434</t>
  </si>
  <si>
    <t>PO 1578 HARBOR FREIGHT TOOLSINDEPENDENCE MO XXXX1028</t>
  </si>
  <si>
    <t>Colton P. Manual Check for wrong pay</t>
  </si>
  <si>
    <t>Micheal Whyte</t>
  </si>
  <si>
    <t>Hand written check for 8 hr labor</t>
  </si>
  <si>
    <t>Total for 143 - Raytown School District Entrance Canopies</t>
  </si>
  <si>
    <t>145 - Moreno Residence</t>
  </si>
  <si>
    <t>PO 1400 LOWES.COM, WILKESBORO, NC</t>
  </si>
  <si>
    <t>12/08/2024</t>
  </si>
  <si>
    <t>PO 1401 Door to Garage MENARDS 3361, KANSAS CITY, KS</t>
  </si>
  <si>
    <t>PO1431 THE HOME DEPOT MERRIAM KS XXXX1036</t>
  </si>
  <si>
    <t>PO1435 THE HOME DEPOT #2202, MERRIAM, KSUS</t>
  </si>
  <si>
    <t>01/07/2025</t>
  </si>
  <si>
    <t>PO1444 THE HOME DEPOT MERRIAM KS XXXX1036</t>
  </si>
  <si>
    <t>THE HOME DEPOT MERRIAM KS XXXX1036</t>
  </si>
  <si>
    <t>Total for 145 - Moreno Residence</t>
  </si>
  <si>
    <t>146 - Catalent - 727-17 Door Swap</t>
  </si>
  <si>
    <t>PO1412 THE HOME DEPOT #3016, KANSAS CITY, MOUS</t>
  </si>
  <si>
    <t>Total for 146 - Catalent - 727-17 Door Swap</t>
  </si>
  <si>
    <t>147 - MO HWY Patrol Lee's Summit</t>
  </si>
  <si>
    <t>PO 1437 THE HOME DEPOT LEES SUMMIT MO XXXX1051</t>
  </si>
  <si>
    <t>PO1451 WESTLAKE HARDWARE #0LEE'S SUMMIT MO XXXX1069</t>
  </si>
  <si>
    <t>THE HOME DEPOT #3026, LEES SUMMIT, MOUS</t>
  </si>
  <si>
    <t>THE HOME DEPOT LEES SUMMIT MO XXXX1051</t>
  </si>
  <si>
    <t>Total for 147 - MO HWY Patrol Lee's Summit</t>
  </si>
  <si>
    <t>148 - Wexford Memory Care</t>
  </si>
  <si>
    <t>Mike Walls</t>
  </si>
  <si>
    <t>01/22/2025</t>
  </si>
  <si>
    <t>J148 - Wexford</t>
  </si>
  <si>
    <t>Cabinets - Outbound Check</t>
  </si>
  <si>
    <t>DOLLAR GENERAL #X3666</t>
  </si>
  <si>
    <t>drawer pulls</t>
  </si>
  <si>
    <t>PO1456 AMAZON MARKETPLACE NAMZN.COM/BILL WA XXXX1028</t>
  </si>
  <si>
    <t>PO1457 THE HOME DEPOT MERRIAM KS XXXX1028</t>
  </si>
  <si>
    <t>PO1480 LOWE'S #1084, SHAWNEE, KSUS</t>
  </si>
  <si>
    <t>PO1481 WESTLAKE ACE HARDWARE, PARKVILLE, MO</t>
  </si>
  <si>
    <t>02/03/2025</t>
  </si>
  <si>
    <t>PO1484 LOWE'S KANSAS CITY KS XXXX1028</t>
  </si>
  <si>
    <t>01/31/2025</t>
  </si>
  <si>
    <t>WESTLAKE ACE HARDWARPARKVILLE MO XXXX1036</t>
  </si>
  <si>
    <t>01/21/2025</t>
  </si>
  <si>
    <t>PO1463 THE HOME DEPOT #2213, SHAWNEE, KSUS</t>
  </si>
  <si>
    <t>PO1465 THE HOME DEPOT #2213, SHAWNEE, KSUS</t>
  </si>
  <si>
    <t>PO 1483 THE HOME DEPOT SHAWNEE KS XXXX1028</t>
  </si>
  <si>
    <t>Total for 148 - Wexford Memory Care</t>
  </si>
  <si>
    <t>149 - Visions/Firefighters Hall</t>
  </si>
  <si>
    <t>Dumpster rental BIN THERE DUMP THAT KANSA</t>
  </si>
  <si>
    <t>AMAZON MARKETPLACE NAMZN.COM/BILL WA XXXX1002</t>
  </si>
  <si>
    <t>AMAZON MKTPL*ES76B8WS3</t>
  </si>
  <si>
    <t>03/01/2025</t>
  </si>
  <si>
    <t>Brackets AMAZON MKTPL*UO6XR88L3</t>
  </si>
  <si>
    <t>Clean sweep House broom Sawzall blades Cutoff wheels Ties WESTLAKE HARDWARE #0RAYTOWN MO XXXX1028</t>
  </si>
  <si>
    <t>Insulation 4 STATE SUPPLY LENEXA</t>
  </si>
  <si>
    <t>CWA Specialties</t>
  </si>
  <si>
    <t>03/30/2025</t>
  </si>
  <si>
    <t>1655</t>
  </si>
  <si>
    <t>Invoice from CWA Specialties to Brighten Builders for job materials including toilet accessories and partitions.</t>
  </si>
  <si>
    <t>1012852160001</t>
  </si>
  <si>
    <t>PO1486 THE HOME DEPOT BELTON MO XXXX1069</t>
  </si>
  <si>
    <t>PO1487 THE HOME DEPOT BELTON MO XXXX1069</t>
  </si>
  <si>
    <t>PO 1529 brackets AMAZON MKTPL*Z78ZS29Q0</t>
  </si>
  <si>
    <t>PO1560 SUTHERLANDS XXX0 084KANSAS CITY MO XXXX1028</t>
  </si>
  <si>
    <t>PO1561 SUTHERLANDS XXX0 084KANSAS CITY MO XXXX1028</t>
  </si>
  <si>
    <t>Beaver Drill and Tool</t>
  </si>
  <si>
    <t>03/12/2025</t>
  </si>
  <si>
    <t>PO1567 BEAVER DRILL &amp; TOOL KANSAS CITY KS XXXX1028</t>
  </si>
  <si>
    <t>PO1620 AMAZON MARKETPLACE NAMZN.COM/BILL WA XXXX1028</t>
  </si>
  <si>
    <t>PO1625 BEAVER DRILL &amp; TOOL CO</t>
  </si>
  <si>
    <t>03/22/2025</t>
  </si>
  <si>
    <t>PO1629 THE HOME DEPOT #3016</t>
  </si>
  <si>
    <t>registers, lights and ect</t>
  </si>
  <si>
    <t>SUTHERLANDS 1220</t>
  </si>
  <si>
    <t>THE HOME DEPOT OLATHE KS XXXX1044</t>
  </si>
  <si>
    <t>03/14/2025</t>
  </si>
  <si>
    <t>Vanities - J149 Outbound Check</t>
  </si>
  <si>
    <t>WESTLAKE HARDWARE #015</t>
  </si>
  <si>
    <t>QT 156</t>
  </si>
  <si>
    <t>2044</t>
  </si>
  <si>
    <t>Invoice for electrical work at Visions Reception Hall including troubleshooting bathroom lights, relocating sensors, replacing GFI outlet, and installing j-box cover plates.</t>
  </si>
  <si>
    <t>Rand Construction Company</t>
  </si>
  <si>
    <t>40786</t>
  </si>
  <si>
    <t>partial completion of KCMO Firefighters Union water closet demolition project PA001</t>
  </si>
  <si>
    <t>02/24/2025</t>
  </si>
  <si>
    <t>40653</t>
  </si>
  <si>
    <t>Metro Tile and Contractors, INC.</t>
  </si>
  <si>
    <t>0017699-IN</t>
  </si>
  <si>
    <t>Tile in restrooms</t>
  </si>
  <si>
    <t>Brandon Cain</t>
  </si>
  <si>
    <t>Let go - paycheck 8 hrs J149 Outbound Check</t>
  </si>
  <si>
    <t>Zachary Hadley</t>
  </si>
  <si>
    <t>Let go - Payroll for 7 hrs Outbound Check</t>
  </si>
  <si>
    <t>Manual Check 1018 Brandon Cain - Quit</t>
  </si>
  <si>
    <t>Manual Check 1020 Zachary Hadley - Fired</t>
  </si>
  <si>
    <t>No job was entered in ADP - Job 149</t>
  </si>
  <si>
    <t>Total for 149 - Visions/Firefighters Hall</t>
  </si>
  <si>
    <t>150 - Striem</t>
  </si>
  <si>
    <t>1012799650001</t>
  </si>
  <si>
    <t>Bits</t>
  </si>
  <si>
    <t>01/24/2025</t>
  </si>
  <si>
    <t>PO1470 LOWES #X1830*</t>
  </si>
  <si>
    <t>01/25/2025</t>
  </si>
  <si>
    <t>PO 1471THE HOME DEPOT #2202</t>
  </si>
  <si>
    <t>PO1479 WESTLAKE HARDWARE #015, RAYTOWN, MO</t>
  </si>
  <si>
    <t>WESTLAKE HARDWARE #0LENEXA KS XXXX1069</t>
  </si>
  <si>
    <t>Total for 150 - Striem</t>
  </si>
  <si>
    <t>151 - Catalent Building P T&amp;M</t>
  </si>
  <si>
    <t>PO1477 THE HOME DEPOT KANSAS CITY MO XXXX1069</t>
  </si>
  <si>
    <t>PO1478 THE HOME DEPOT KANSAS CITY MO XXXX1069</t>
  </si>
  <si>
    <t>1012799443001</t>
  </si>
  <si>
    <t>J151-CDF</t>
  </si>
  <si>
    <t>4 HRS OT @100</t>
  </si>
  <si>
    <t>7 Hrs Reg @ $85</t>
  </si>
  <si>
    <t>Total for 151 - Catalent Building P T&amp;M</t>
  </si>
  <si>
    <t>152 - Tim's Basement Ceiling</t>
  </si>
  <si>
    <t>cleaning supplies</t>
  </si>
  <si>
    <t>1012776919001</t>
  </si>
  <si>
    <t>Total for 152 - Tim's Basement Ceiling</t>
  </si>
  <si>
    <t>153 - Blue Valley CTE/FACS 2025</t>
  </si>
  <si>
    <t>08/06/2025</t>
  </si>
  <si>
    <t>6580370001</t>
  </si>
  <si>
    <t>07/16/2025</t>
  </si>
  <si>
    <t>6566440001</t>
  </si>
  <si>
    <t>06/09/2025</t>
  </si>
  <si>
    <t>1014247215001</t>
  </si>
  <si>
    <t>1756</t>
  </si>
  <si>
    <t>06/25/2025</t>
  </si>
  <si>
    <t>1014462299001</t>
  </si>
  <si>
    <t>1803 (2)</t>
  </si>
  <si>
    <t>07/23/2025</t>
  </si>
  <si>
    <t>1014745525002</t>
  </si>
  <si>
    <t>1877</t>
  </si>
  <si>
    <t>1014247327001</t>
  </si>
  <si>
    <t>1014247266001</t>
  </si>
  <si>
    <t>07/07/2025</t>
  </si>
  <si>
    <t>1014528574001</t>
  </si>
  <si>
    <t>1014678005001</t>
  </si>
  <si>
    <t>Materials - 1835</t>
  </si>
  <si>
    <t>1014678005002</t>
  </si>
  <si>
    <t>Materials - PO 1835</t>
  </si>
  <si>
    <t>INV164129</t>
  </si>
  <si>
    <t>Plans - PO 1773</t>
  </si>
  <si>
    <t>1014528651001</t>
  </si>
  <si>
    <t>PO</t>
  </si>
  <si>
    <t>06/23/2025</t>
  </si>
  <si>
    <t>1014375110001</t>
  </si>
  <si>
    <t>PO 1788</t>
  </si>
  <si>
    <t>PO 1793 WESTLAKE HARDWARE #0LENEXA KS XXXX1028</t>
  </si>
  <si>
    <t>07/01/2025</t>
  </si>
  <si>
    <t>1014527831001</t>
  </si>
  <si>
    <t>PO 1814</t>
  </si>
  <si>
    <t>07/03/2025</t>
  </si>
  <si>
    <t>1014544006001</t>
  </si>
  <si>
    <t>PO 1816</t>
  </si>
  <si>
    <t>07/08/2025</t>
  </si>
  <si>
    <t>PO 1830 THE HOME DEPOT OVERLAND PARK KS XXXX1044</t>
  </si>
  <si>
    <t>PO 1831 THE HOME DEPOT OVERLAND PARK KS XXXX1044</t>
  </si>
  <si>
    <t>PO 1832  WESTLAKE HARDWARE #1OVERLAND PARK KS XXXX1044</t>
  </si>
  <si>
    <t>07/15/2025</t>
  </si>
  <si>
    <t>PO 1838 WESTLAKE HARDWARE #1OVERLAND PARK KS XXXX1036</t>
  </si>
  <si>
    <t>07/11/2025</t>
  </si>
  <si>
    <t>PO 1841 THE HOME DEPOT OVERLAND PARK KS XXXX1036</t>
  </si>
  <si>
    <t>07/05/2025</t>
  </si>
  <si>
    <t>PO 1847 WESTLAKE HARDWARE #1OVERLAND PARK KS XXXX1010</t>
  </si>
  <si>
    <t>07/09/2025</t>
  </si>
  <si>
    <t>PO 1849 WESTLAKE HARDWARE #1OVERLAND PARK KS XXXX1028</t>
  </si>
  <si>
    <t>07/14/2025</t>
  </si>
  <si>
    <t>PO 1853 LOWE'S SHAWNEE KS XXXX1028</t>
  </si>
  <si>
    <t>PO 1858 THE HOME DEPOT OVERLAND PARK KS XXXX1010</t>
  </si>
  <si>
    <t>PO 1859 COSENTINO'S MARKET #OVERLAND PARK KS XXXX1010</t>
  </si>
  <si>
    <t>1014579001001</t>
  </si>
  <si>
    <t>PO 1867</t>
  </si>
  <si>
    <t>1014627225001</t>
  </si>
  <si>
    <t>PO 1869</t>
  </si>
  <si>
    <t>1014635447001</t>
  </si>
  <si>
    <t>PO 1870</t>
  </si>
  <si>
    <t>1014408321001</t>
  </si>
  <si>
    <t>PO 1874</t>
  </si>
  <si>
    <t>1014745525001</t>
  </si>
  <si>
    <t>PO 1877</t>
  </si>
  <si>
    <t>1014806396001</t>
  </si>
  <si>
    <t>PO 1892</t>
  </si>
  <si>
    <t>Strasser Hardware</t>
  </si>
  <si>
    <t>06/20/2025</t>
  </si>
  <si>
    <t>STRASSERS HARDWARE IKANSAS CITY KS XXXX1028</t>
  </si>
  <si>
    <t>07/13/2025</t>
  </si>
  <si>
    <t>THE HOME DEPOT #2209, OVERLAND PARK, KSUS</t>
  </si>
  <si>
    <t>06/17/2025</t>
  </si>
  <si>
    <t>1014177555001</t>
  </si>
  <si>
    <t>1014166072001</t>
  </si>
  <si>
    <t>1014486833001</t>
  </si>
  <si>
    <t>1014745610001</t>
  </si>
  <si>
    <t>1014170629001</t>
  </si>
  <si>
    <t>1014470362001</t>
  </si>
  <si>
    <t>07/18/2025</t>
  </si>
  <si>
    <t>2025 54401</t>
  </si>
  <si>
    <t>PA001 - July - Acoustical Ceilings</t>
  </si>
  <si>
    <t>07/31/2025</t>
  </si>
  <si>
    <t>J153-001</t>
  </si>
  <si>
    <t>Pay App 001 - July</t>
  </si>
  <si>
    <t>08/26/2025</t>
  </si>
  <si>
    <t>202554402</t>
  </si>
  <si>
    <t>Pay App 002 - August</t>
  </si>
  <si>
    <t>J153 - 002</t>
  </si>
  <si>
    <t>Pay app 2</t>
  </si>
  <si>
    <t>J153 - ret</t>
  </si>
  <si>
    <t>Pay App 3 - RET</t>
  </si>
  <si>
    <t>202554403</t>
  </si>
  <si>
    <t>Pay App - Ret - August</t>
  </si>
  <si>
    <t>08/14/2025</t>
  </si>
  <si>
    <t>09/23/2025</t>
  </si>
  <si>
    <t>06/19/2025</t>
  </si>
  <si>
    <t>13 hrs</t>
  </si>
  <si>
    <t>1295</t>
  </si>
  <si>
    <t>13 Hrs Blue Valley</t>
  </si>
  <si>
    <t>08/07/2025</t>
  </si>
  <si>
    <t>07/25/2025</t>
  </si>
  <si>
    <t>Total for 153 - Blue Valley CTE/FACS 2025</t>
  </si>
  <si>
    <t>155 - Park Hill School District - all schools</t>
  </si>
  <si>
    <t>Kyle Bonus Park Hill</t>
  </si>
  <si>
    <t>USI Insurance Services, LLC</t>
  </si>
  <si>
    <t>5498470</t>
  </si>
  <si>
    <t>Bond</t>
  </si>
  <si>
    <t>Total for Insurance - Performance Bond COGS</t>
  </si>
  <si>
    <t>07/02/2025</t>
  </si>
  <si>
    <t>98202759000</t>
  </si>
  <si>
    <t>drywall</t>
  </si>
  <si>
    <t>GRABBER MISSOURI XXXXXX-XXX9853 MO XXXX1036</t>
  </si>
  <si>
    <t>09/29/2025</t>
  </si>
  <si>
    <t>98203247700</t>
  </si>
  <si>
    <t>SO107735</t>
  </si>
  <si>
    <t>06/03/2025</t>
  </si>
  <si>
    <t>98202580100</t>
  </si>
  <si>
    <t>PO 1753</t>
  </si>
  <si>
    <t>98202580400</t>
  </si>
  <si>
    <t>PO 1754</t>
  </si>
  <si>
    <t>PO 1776 THE HOME DEPOT LEAVENWORTH KS XXXX1036</t>
  </si>
  <si>
    <t>98202599400</t>
  </si>
  <si>
    <t>PO 1790</t>
  </si>
  <si>
    <t>PO 1820 THE HOME DEPOT 3008</t>
  </si>
  <si>
    <t>PO 1827 THE HOME DEPOT 3008</t>
  </si>
  <si>
    <t>07/17/2025</t>
  </si>
  <si>
    <t>PO 1861 THE HOME DEPOT KANSAS CITY MO XXXX1010</t>
  </si>
  <si>
    <t>07/10/2025</t>
  </si>
  <si>
    <t>1014606664001</t>
  </si>
  <si>
    <t>PO 1868</t>
  </si>
  <si>
    <t>07/28/2025</t>
  </si>
  <si>
    <t>98202927000</t>
  </si>
  <si>
    <t>PO 1888</t>
  </si>
  <si>
    <t>08/08/2025</t>
  </si>
  <si>
    <t>98202995300</t>
  </si>
  <si>
    <t>PO 1911</t>
  </si>
  <si>
    <t>09/06/2025</t>
  </si>
  <si>
    <t>PO 1961 THE HOME DEPOT MERRIAM KS XXXX1028</t>
  </si>
  <si>
    <t>06/30/2025</t>
  </si>
  <si>
    <t>THE HOME DEPOT GLADSTONE MO XXXX1036</t>
  </si>
  <si>
    <t>06/21/2025</t>
  </si>
  <si>
    <t>98202694400</t>
  </si>
  <si>
    <t>06/24/2025</t>
  </si>
  <si>
    <t>98202730200</t>
  </si>
  <si>
    <t>98202683800</t>
  </si>
  <si>
    <t>98202692800</t>
  </si>
  <si>
    <t>98202733000</t>
  </si>
  <si>
    <t>98202694000</t>
  </si>
  <si>
    <t>98202679000</t>
  </si>
  <si>
    <t>RTM Engineering Consultants, LLC</t>
  </si>
  <si>
    <t>431584</t>
  </si>
  <si>
    <t>1571</t>
  </si>
  <si>
    <t>11/20/2025</t>
  </si>
  <si>
    <t>Total for Payroll taxes - COGS</t>
  </si>
  <si>
    <t>03/23/2026</t>
  </si>
  <si>
    <t>5829903</t>
  </si>
  <si>
    <t>Bond Reimbursement</t>
  </si>
  <si>
    <t>Total for Pre-Construction - COGS</t>
  </si>
  <si>
    <t>10/17/2025</t>
  </si>
  <si>
    <t>999</t>
  </si>
  <si>
    <t>Simpson Strong-Tie THDB25234H Titen HD 1/4 in. x 2-3/4 in. Heavy-Duty Screw Anchor (50-Qty) (includes shipping, tax)</t>
  </si>
  <si>
    <t>J155-001</t>
  </si>
  <si>
    <t>PA001 - July - drywall finishing</t>
  </si>
  <si>
    <t>09/16/2025</t>
  </si>
  <si>
    <t>PA 002 - Sept</t>
  </si>
  <si>
    <t>Pay App 2 - Changes</t>
  </si>
  <si>
    <t>12/05/2025</t>
  </si>
  <si>
    <t>J153Ret</t>
  </si>
  <si>
    <t>Retention Drywall Finishing</t>
  </si>
  <si>
    <t>01/14/2026</t>
  </si>
  <si>
    <t>10/20/2025</t>
  </si>
  <si>
    <t>11/19/2025</t>
  </si>
  <si>
    <t>16 Hrs Park Hill</t>
  </si>
  <si>
    <t>1296</t>
  </si>
  <si>
    <t>30 reg - 8 OT</t>
  </si>
  <si>
    <t>1303</t>
  </si>
  <si>
    <t>8 hours ot Paper check</t>
  </si>
  <si>
    <t>8 OT</t>
  </si>
  <si>
    <t>09/26/2025</t>
  </si>
  <si>
    <t>09/18/2025</t>
  </si>
  <si>
    <t>09/12/2025</t>
  </si>
  <si>
    <t>10/31/2025</t>
  </si>
  <si>
    <t>10/10/2025</t>
  </si>
  <si>
    <t>11/06/2025</t>
  </si>
  <si>
    <t>12/31/2025</t>
  </si>
  <si>
    <t>10/02/2025</t>
  </si>
  <si>
    <t>1306</t>
  </si>
  <si>
    <t>Park Hill 8 OT</t>
  </si>
  <si>
    <t>Total for 155 - Park Hill School District - all schools</t>
  </si>
  <si>
    <t>156 - ISD Fairmont</t>
  </si>
  <si>
    <t>6334030001</t>
  </si>
  <si>
    <t>PO1587</t>
  </si>
  <si>
    <t>03/05/2025</t>
  </si>
  <si>
    <t>5433437</t>
  </si>
  <si>
    <t>1013418442001</t>
  </si>
  <si>
    <t>1585</t>
  </si>
  <si>
    <t>1013484216001</t>
  </si>
  <si>
    <t>1609</t>
  </si>
  <si>
    <t>06/06/2025</t>
  </si>
  <si>
    <t>CASEY S #XXXX XX0004INDEPENDENCE MO XXXX1010</t>
  </si>
  <si>
    <t>4624558434</t>
  </si>
  <si>
    <t>Fire Sealant</t>
  </si>
  <si>
    <t>4624497214</t>
  </si>
  <si>
    <t>firestop</t>
  </si>
  <si>
    <t>4624486312</t>
  </si>
  <si>
    <t>Loren no receipt Fire Treated PlywoodMCCRAY LUMBER COMPANOLATHE KS XXXX1069</t>
  </si>
  <si>
    <t>Loren no receipt MCCRAY LUMBER COMPANOLATHE KS XXXX1069</t>
  </si>
  <si>
    <t>LOWE'S KANSAS CITY KS XXXX1028</t>
  </si>
  <si>
    <t>LOWE'S OF EAST KANSAKANSAS CITY MO XXXX1028</t>
  </si>
  <si>
    <t>1013908165001</t>
  </si>
  <si>
    <t>1014003221001</t>
  </si>
  <si>
    <t>1013957586001</t>
  </si>
  <si>
    <t>05/21/2025</t>
  </si>
  <si>
    <t>1014061283001</t>
  </si>
  <si>
    <t>1013716217001</t>
  </si>
  <si>
    <t>1013868080001</t>
  </si>
  <si>
    <t>1014081775001</t>
  </si>
  <si>
    <t>1014162976001</t>
  </si>
  <si>
    <t>1013972662001</t>
  </si>
  <si>
    <t>SO106672</t>
  </si>
  <si>
    <t>Plans - PO 1704</t>
  </si>
  <si>
    <t>1013107479001</t>
  </si>
  <si>
    <t>PO1637</t>
  </si>
  <si>
    <t>PO1687 THE HOME DEPOT KANSAS CITY MO XXXX1028</t>
  </si>
  <si>
    <t>PO1721 GRABBER MISSOURI XXXXXX-XXX9853 MO XXXX1002</t>
  </si>
  <si>
    <t>PO 1769 LE JOHNSON PRODUCTS ELKHART IN XXXX1036</t>
  </si>
  <si>
    <t>PO 1770 SHERWIN-WILLIAMS INDEPENDENCE MO XXXX1010</t>
  </si>
  <si>
    <t>PO 1771 THE HOME DEPOT SHAWNEE KS XXXX1010</t>
  </si>
  <si>
    <t>PO 1772 WESTLAKE HARDWARE #0INDEPENDENCE MO XXXX1010</t>
  </si>
  <si>
    <t>06/12/2025</t>
  </si>
  <si>
    <t>1014275459001</t>
  </si>
  <si>
    <t>PO 1774</t>
  </si>
  <si>
    <t>1014275459002</t>
  </si>
  <si>
    <t>PO 1774 (2)</t>
  </si>
  <si>
    <t>1014375771001</t>
  </si>
  <si>
    <t>PO 1786 (1)</t>
  </si>
  <si>
    <t>1014365714001</t>
  </si>
  <si>
    <t>PO 1786 (2)</t>
  </si>
  <si>
    <t>4624598098</t>
  </si>
  <si>
    <t>PO 1791 Fire caulk and spray</t>
  </si>
  <si>
    <t>1014451229001</t>
  </si>
  <si>
    <t>PO 1805</t>
  </si>
  <si>
    <t>1014211306-001</t>
  </si>
  <si>
    <t>Refund</t>
  </si>
  <si>
    <t>1013756309001</t>
  </si>
  <si>
    <t>Studs</t>
  </si>
  <si>
    <t>THE HOME DEPOT KANSAS CITY MO XXXX1051</t>
  </si>
  <si>
    <t>1013957346002</t>
  </si>
  <si>
    <t>1014390963001</t>
  </si>
  <si>
    <t>05/14/2025</t>
  </si>
  <si>
    <t>1013978882001</t>
  </si>
  <si>
    <t>4624474692</t>
  </si>
  <si>
    <t>02/18/2025</t>
  </si>
  <si>
    <t>1013035264001</t>
  </si>
  <si>
    <t>California Taco Shop</t>
  </si>
  <si>
    <t>AUTENTICO CALIFORNIASUGAR CREEK MO XXXX1051</t>
  </si>
  <si>
    <t>06/14/2025</t>
  </si>
  <si>
    <t>202551703</t>
  </si>
  <si>
    <t>Acoustical Ceilings</t>
  </si>
  <si>
    <t>2025 517702</t>
  </si>
  <si>
    <t>Application for Payment for drywall finishing services at Independence School District Fairmount Elementary School</t>
  </si>
  <si>
    <t>2025-51701</t>
  </si>
  <si>
    <t>Ceilings Pay App 001 - May</t>
  </si>
  <si>
    <t>CO002 - Deduct</t>
  </si>
  <si>
    <t>202551705RET</t>
  </si>
  <si>
    <t>ISD - Ret - August</t>
  </si>
  <si>
    <t>08/19/2025</t>
  </si>
  <si>
    <t>J156-002</t>
  </si>
  <si>
    <t>PA002 - J156 - ISD</t>
  </si>
  <si>
    <t>Retainage from 1st pay app</t>
  </si>
  <si>
    <t>11/26/2025</t>
  </si>
  <si>
    <t>C4-J153-3-Ret</t>
  </si>
  <si>
    <t>Retention for Fairmount - Dec</t>
  </si>
  <si>
    <t>1285</t>
  </si>
  <si>
    <t>16 Hrs</t>
  </si>
  <si>
    <t>James Bates</t>
  </si>
  <si>
    <t>1283</t>
  </si>
  <si>
    <t>20 Hrs -  J156</t>
  </si>
  <si>
    <t>Lucio Coyoy</t>
  </si>
  <si>
    <t>1282</t>
  </si>
  <si>
    <t>24 Hours - Layoff</t>
  </si>
  <si>
    <t>1304</t>
  </si>
  <si>
    <t>31.5 hrs</t>
  </si>
  <si>
    <t>1301</t>
  </si>
  <si>
    <t>40 hrs - 6 ot</t>
  </si>
  <si>
    <t>1302</t>
  </si>
  <si>
    <t>40 Hrs ISD</t>
  </si>
  <si>
    <t>1300</t>
  </si>
  <si>
    <t>40 reg - 6 OT</t>
  </si>
  <si>
    <t>8 hrs</t>
  </si>
  <si>
    <t>Colton Parkhurst</t>
  </si>
  <si>
    <t>1307</t>
  </si>
  <si>
    <t>Payroll 6/8-6/14, 40 Reg, 6 ot</t>
  </si>
  <si>
    <t>Total for 156 - ISD Fairmont</t>
  </si>
  <si>
    <t>157 - KUMC Hixon Lab</t>
  </si>
  <si>
    <t>LOWE'S ROELAND PARK KS XXXX1036</t>
  </si>
  <si>
    <t>7861378</t>
  </si>
  <si>
    <t>Sierra Building Products</t>
  </si>
  <si>
    <t>PO 1404 SIERRA BUILDING PRODUC, KANSAS CITY, MO</t>
  </si>
  <si>
    <t>PO 1518 AMAZON MARKETPLACE NAMZN.COM/BILL WA XXXX1028</t>
  </si>
  <si>
    <t>PO1524 VTC - KCS - DEBIT, KANSAS CITY, KS</t>
  </si>
  <si>
    <t>03/17/2025</t>
  </si>
  <si>
    <t>PO1572 THE HOME DEPOT MERRIAM KS XXXX1028</t>
  </si>
  <si>
    <t>STRASSERS HARDWARE IKANSAS CITY KS XXXX1036</t>
  </si>
  <si>
    <t>THE HOME DEPOT KANSAS CITY MO XXXX1036</t>
  </si>
  <si>
    <t>7857657</t>
  </si>
  <si>
    <t>WAL-MART XXXX 2490 ROELAND PARK KS XXXX1036</t>
  </si>
  <si>
    <t>Total for 157 - KUMC Hixon Lab</t>
  </si>
  <si>
    <t>Wages - COGS</t>
  </si>
  <si>
    <t>158 - Blue Valley CTE 2026</t>
  </si>
  <si>
    <t>05/14/2026</t>
  </si>
  <si>
    <t>ADP WAGE PAY BRIGHTEN BUILDERS L ACH WITHDRAWAL ADP WAGE PAY BRIGHTEN BUILDERS LLC ACH DEBIT WAGE PAY XXXXXXXX8428R4Q</t>
  </si>
  <si>
    <t>Total for 158 - Blue Valley CTE 2026</t>
  </si>
  <si>
    <t>159 - Lumber 84</t>
  </si>
  <si>
    <t>6370070001</t>
  </si>
  <si>
    <t>PO1669 LOWE'S #1084, SHAWNEE, KSUS</t>
  </si>
  <si>
    <t>98202927100</t>
  </si>
  <si>
    <t>PO 1887</t>
  </si>
  <si>
    <t>PO 1896</t>
  </si>
  <si>
    <t>08/25/2025</t>
  </si>
  <si>
    <t>PO 1944 LOWE'S SHAWNEE KS XXXX1036</t>
  </si>
  <si>
    <t>02/16/2025</t>
  </si>
  <si>
    <t>ZORO TOOLS INC ZORO BUFFALO GROVE IL XXXX1028</t>
  </si>
  <si>
    <t>09/05/2025</t>
  </si>
  <si>
    <t>08/28/2025</t>
  </si>
  <si>
    <t>Total for 159 - Lumber 84</t>
  </si>
  <si>
    <t>160 - Master's Transportation</t>
  </si>
  <si>
    <t>CVS</t>
  </si>
  <si>
    <t>CVS PHARMACY BELTON MO XXXX1069</t>
  </si>
  <si>
    <t>LOWES KANSAS CITY MO XXXX1051</t>
  </si>
  <si>
    <t>LOWES KANSAS CITY MO XXXX1069</t>
  </si>
  <si>
    <t>PO1512 BEAVER DRILL &amp; TOOL KANSAS CITY KS XXXX1028</t>
  </si>
  <si>
    <t>PO1691 THE HOME DEPOT KANSAS CITY MO XXXX1044</t>
  </si>
  <si>
    <t>PO1692 THE HOME DEPOT KANSAS CITY MO XXXX1044</t>
  </si>
  <si>
    <t>PO1693 THE HOME DEPOT KANSAS CITY MO XXXX1044</t>
  </si>
  <si>
    <t>PO1717 WESTLAKE HARDWARE #0LENEXA KS XXXX1028</t>
  </si>
  <si>
    <t>14.5 Hrs</t>
  </si>
  <si>
    <t>Paper check for error in payroll Outbound Check</t>
  </si>
  <si>
    <t>Total for 160 - Master's Transportation</t>
  </si>
  <si>
    <t>161 - Catalent Restrooms Bldg B</t>
  </si>
  <si>
    <t>1653</t>
  </si>
  <si>
    <t>1661-1</t>
  </si>
  <si>
    <t>1666</t>
  </si>
  <si>
    <t>Invoice from CWA Specialties to Brighten Builders for job materials (screen) for Calalent, total $1,199.00</t>
  </si>
  <si>
    <t>1013557657002</t>
  </si>
  <si>
    <t>PO 1634</t>
  </si>
  <si>
    <t>1013557657001</t>
  </si>
  <si>
    <t>98202258000</t>
  </si>
  <si>
    <t>PO1652</t>
  </si>
  <si>
    <t>PO1676 LOWE'S SHAWNEE KS XXXX1028</t>
  </si>
  <si>
    <t>PO1688 THE HOME DEPOT KANSAS CITY MO XXXX1028</t>
  </si>
  <si>
    <t>05/03/2025</t>
  </si>
  <si>
    <t>PO1700 THE HOME DEPOT KANSAS CITY MO XXXX1028</t>
  </si>
  <si>
    <t>1270</t>
  </si>
  <si>
    <t>1654 THE HOME DEPOT KANSAS CITY MO XXXX1069</t>
  </si>
  <si>
    <t>Total for 161 - Catalent Restrooms Bldg B</t>
  </si>
  <si>
    <t>162 - OMC - GME Clinic Phase 2</t>
  </si>
  <si>
    <t>1013497714001</t>
  </si>
  <si>
    <t>1635</t>
  </si>
  <si>
    <t>1013514354001</t>
  </si>
  <si>
    <t>1636</t>
  </si>
  <si>
    <t>LOWE'S RAYMORE MO XXXX1069</t>
  </si>
  <si>
    <t>1013531002001</t>
  </si>
  <si>
    <t>INV155926</t>
  </si>
  <si>
    <t>1013083243001</t>
  </si>
  <si>
    <t>PO1522</t>
  </si>
  <si>
    <t>1013268037001</t>
  </si>
  <si>
    <t>PO1554</t>
  </si>
  <si>
    <t>1013275980001</t>
  </si>
  <si>
    <t>PO1555</t>
  </si>
  <si>
    <t>1013205276001</t>
  </si>
  <si>
    <t>PO1563</t>
  </si>
  <si>
    <t>1013373049001</t>
  </si>
  <si>
    <t>PO1581</t>
  </si>
  <si>
    <t>1013397747001</t>
  </si>
  <si>
    <t>PO1583</t>
  </si>
  <si>
    <t>PO1628 THE HOME DEPOT #2218</t>
  </si>
  <si>
    <t>1013553482001</t>
  </si>
  <si>
    <t>PO 1633</t>
  </si>
  <si>
    <t>PO 1722 AMAZON MARKETPLACE NAMZN.COM/BILL WA XXXX1028</t>
  </si>
  <si>
    <t>PO1723THE HOME DEPOT OLATHE KS XXXX1028</t>
  </si>
  <si>
    <t>PO1724 LOWE'S OLATHE KS XXXX1028</t>
  </si>
  <si>
    <t>05/17/2025</t>
  </si>
  <si>
    <t>PO1730 THE HOME DEPOT OLATHE KS XXXX1036</t>
  </si>
  <si>
    <t>PO1731 THE HOME DEPOT OLATHE KS XXXX1036</t>
  </si>
  <si>
    <t>PO1732 THE HOME DEPOT OLATHE KS XXXX1036</t>
  </si>
  <si>
    <t>PO 1748 THE HOME DEPOT OLATHE KS XXXX1036</t>
  </si>
  <si>
    <t>PO 1749 THE HOME DEPOT OLATHE KS XXXX1036</t>
  </si>
  <si>
    <t>PO 1764 THE HOME DEPOT OLATHE KS XXXX1036</t>
  </si>
  <si>
    <t>PO 1766 THE HOME DEPOT OLATHE KS XXXX1036</t>
  </si>
  <si>
    <t>Mull-It-Over Products, LLC</t>
  </si>
  <si>
    <t>8180</t>
  </si>
  <si>
    <t>PO 1800</t>
  </si>
  <si>
    <t>08/01/2025</t>
  </si>
  <si>
    <t>1014868848001</t>
  </si>
  <si>
    <t>PO 1916</t>
  </si>
  <si>
    <t>Tax on tools</t>
  </si>
  <si>
    <t>THE HOME DEPOT 2201 OLATHE KS XXXX1028</t>
  </si>
  <si>
    <t>THE HOME DEPOT BELTON MO XXXX1069</t>
  </si>
  <si>
    <t>2218 00052 42649</t>
  </si>
  <si>
    <t>162 - Aug PA003</t>
  </si>
  <si>
    <t>162 - Pay App 4</t>
  </si>
  <si>
    <t>2025 53201</t>
  </si>
  <si>
    <t>Ceilings Pay App April</t>
  </si>
  <si>
    <t>202553202</t>
  </si>
  <si>
    <t>PA001-162-CDF</t>
  </si>
  <si>
    <t>1273</t>
  </si>
  <si>
    <t>202553203Ret</t>
  </si>
  <si>
    <t>PA003 - Ret June</t>
  </si>
  <si>
    <t>002</t>
  </si>
  <si>
    <t>Retainage 162 Invoice 002</t>
  </si>
  <si>
    <t>10 reg .5 OT</t>
  </si>
  <si>
    <t>3 hrs</t>
  </si>
  <si>
    <t>3 Hrs Olathe</t>
  </si>
  <si>
    <t>1298</t>
  </si>
  <si>
    <t>Total for 162 - OMC - GME Clinic Phase 2</t>
  </si>
  <si>
    <t>163 - LPS Heritage Middle</t>
  </si>
  <si>
    <t>1015184959001</t>
  </si>
  <si>
    <t>Crane</t>
  </si>
  <si>
    <t>1014711455001</t>
  </si>
  <si>
    <t>09/19/2025</t>
  </si>
  <si>
    <t>1015419098001</t>
  </si>
  <si>
    <t>Crane 3rd Delivery</t>
  </si>
  <si>
    <t>6588880003</t>
  </si>
  <si>
    <t>08/18/2025</t>
  </si>
  <si>
    <t>6588880001</t>
  </si>
  <si>
    <t>6720830001</t>
  </si>
  <si>
    <t>09/15/2025</t>
  </si>
  <si>
    <t>6588880002</t>
  </si>
  <si>
    <t>Lyft</t>
  </si>
  <si>
    <t>CASEY S #XXXX XX0004LIBERTY MO XXXX1051</t>
  </si>
  <si>
    <t>Cenex</t>
  </si>
  <si>
    <t>10/22/2025</t>
  </si>
  <si>
    <t>PO 2087 CENEX C-STORE OPERATKANSAS CITY KS XXXX1044</t>
  </si>
  <si>
    <t>00151</t>
  </si>
  <si>
    <t>QT LIBERTY MO XXXX1051</t>
  </si>
  <si>
    <t>5433122</t>
  </si>
  <si>
    <t>05/06/2026</t>
  </si>
  <si>
    <t>USI INSURANCE SV BRIGHTEN BUILDE ACH WITHDRAWAL USI INSURANCE SV BRIGHTEN BUILDERS LLC ACH DEBIT DRAFTS 31173363</t>
  </si>
  <si>
    <t>1015679576001</t>
  </si>
  <si>
    <t>20 - Type X, 40 - Rock, 70 - 14' studs, 100 - 10" stud</t>
  </si>
  <si>
    <t>11/25/2025</t>
  </si>
  <si>
    <t>1016118775-001</t>
  </si>
  <si>
    <t>2155</t>
  </si>
  <si>
    <t>1967</t>
  </si>
  <si>
    <t>BOSCH ITNS5162B 5-Pack 2-9/16 In. x 5/16 In. Impact Tough Nutsetters (includes tax)</t>
  </si>
  <si>
    <t>Chick-Fil-A</t>
  </si>
  <si>
    <t>CHICK-FIL-A LIBERTY MO XXXX1051</t>
  </si>
  <si>
    <t>09/25/2025</t>
  </si>
  <si>
    <t>1015328101001</t>
  </si>
  <si>
    <t>Fry Reglet Drywall Z Reveal</t>
  </si>
  <si>
    <t>GRABBER MISSOURI 1375</t>
  </si>
  <si>
    <t>10/24/2025</t>
  </si>
  <si>
    <t>1015740739001</t>
  </si>
  <si>
    <t>Impact board</t>
  </si>
  <si>
    <t>09/22/2025</t>
  </si>
  <si>
    <t>1015420883001</t>
  </si>
  <si>
    <t>Jeff ordering materials</t>
  </si>
  <si>
    <t>10/23/2025</t>
  </si>
  <si>
    <t>LOWE'S LIBERTY MO XXXX1044 LOWE'S LIBERTY MO XXXX1044</t>
  </si>
  <si>
    <t>09/17/2025</t>
  </si>
  <si>
    <t>LOWE'S LIBERTY MO XXXX1051</t>
  </si>
  <si>
    <t>07/21/2025</t>
  </si>
  <si>
    <t>08/20/2025</t>
  </si>
  <si>
    <t>928528250</t>
  </si>
  <si>
    <t>819039697</t>
  </si>
  <si>
    <t>10/16/2025</t>
  </si>
  <si>
    <t>11/18/2025</t>
  </si>
  <si>
    <t>LOWE'S LIBERTY MO XXXX1051 LOWE'S LIBERTY MO XXXX1044</t>
  </si>
  <si>
    <t>12/22/2025</t>
  </si>
  <si>
    <t>1929</t>
  </si>
  <si>
    <t>Makita B-69244 5-7/8" 33T Carbide-Tipped Max Efficiency Saw Blade, Metal/General Purpose (includes shipping, tax, discount)</t>
  </si>
  <si>
    <t>1015499838001</t>
  </si>
  <si>
    <t>Material</t>
  </si>
  <si>
    <t>12/03/2025</t>
  </si>
  <si>
    <t>1016183772001</t>
  </si>
  <si>
    <t>1015061119001</t>
  </si>
  <si>
    <t>09/10/2025</t>
  </si>
  <si>
    <t>1015271938002</t>
  </si>
  <si>
    <t>1015322894001</t>
  </si>
  <si>
    <t>1015395291001</t>
  </si>
  <si>
    <t>1015271938001</t>
  </si>
  <si>
    <t>1015311861001</t>
  </si>
  <si>
    <t>10/03/2025</t>
  </si>
  <si>
    <t>1015213836001</t>
  </si>
  <si>
    <t>12/11/2025</t>
  </si>
  <si>
    <t>1016267648001</t>
  </si>
  <si>
    <t>1015387246001</t>
  </si>
  <si>
    <t>10/29/2025</t>
  </si>
  <si>
    <t>1015837242001</t>
  </si>
  <si>
    <t>1015276786001</t>
  </si>
  <si>
    <t>1015474602001</t>
  </si>
  <si>
    <t>10/27/2025</t>
  </si>
  <si>
    <t>1015808689001</t>
  </si>
  <si>
    <t>1015620862001</t>
  </si>
  <si>
    <t>PO 1833 LOWE'S LIBERTY MO XXXX1051</t>
  </si>
  <si>
    <t>PO 1834 POUR BOY MOSBY X0501EXCELSIOR SPRINGS MO XXXX1051</t>
  </si>
  <si>
    <t>PO 1895 GRABBER MISSOURI XXXXXX-XXX9853 MO XXXX1044</t>
  </si>
  <si>
    <t>PO 1901 LOWE'S LIBERTY MO XXXX1051</t>
  </si>
  <si>
    <t>PO 1904 THE HOME DEPOT LEAVENWORTH KS XXXX1036</t>
  </si>
  <si>
    <t>PO 1905 TOTAL TOOL SUPPLY-KAKANSAS CITY KS XXXX1036</t>
  </si>
  <si>
    <t>09/04/2025</t>
  </si>
  <si>
    <t>PO 1954 LOWE'S LIBERTY MO XXXX1044</t>
  </si>
  <si>
    <t>PO 1955 LOWE'S LIBERTY MO XXXX1044</t>
  </si>
  <si>
    <t>PO 1956 GRABBER MISSOURI XXXXXX-XXX9853 MO XXXX1044</t>
  </si>
  <si>
    <t>PO 1991 
LOWE'S LIBERTY MO XXXX1044</t>
  </si>
  <si>
    <t>09/08/2025</t>
  </si>
  <si>
    <t>PO 1996 LOWE'S LIBERTY MO XXXX1051</t>
  </si>
  <si>
    <t>PO 1997 LOWE'S LIBERTY MO XXXX1051</t>
  </si>
  <si>
    <t>PO 2004 LOWE'S LIBERTY MO XXXX1051</t>
  </si>
  <si>
    <t>PO 2028 LOWE'S LIBERTY MO XXXX1028</t>
  </si>
  <si>
    <t>10/01/2025</t>
  </si>
  <si>
    <t>PO 2036 LOWE'S LIBERTY MO XXXX1051</t>
  </si>
  <si>
    <t>10/06/2025</t>
  </si>
  <si>
    <t>PO 2041 LOWE'S LIBERTY MO XXXX1051</t>
  </si>
  <si>
    <t>10/08/2025</t>
  </si>
  <si>
    <t>PO 2049 THE HOME DEPOT KANSAS CITY MO XXXX1028</t>
  </si>
  <si>
    <t>PO 2053 LOWE'S LIBERTY MO XXXX1051</t>
  </si>
  <si>
    <t>10/14/2025</t>
  </si>
  <si>
    <t>PO 2060 THE HOME DEPOT KANSAS CITY MO XXXX1044</t>
  </si>
  <si>
    <t>PO 2061 GRABBER MISSOURI XXXXXX-XXX9853 MO XXXX1044</t>
  </si>
  <si>
    <t>PO 2069 LOWE'S LIBERTY MO XXXX1051</t>
  </si>
  <si>
    <t>PO 2087 LOWE'S LIBERTY MO XXXX1044</t>
  </si>
  <si>
    <t>1015719877001</t>
  </si>
  <si>
    <t>pony wall plate - 2</t>
  </si>
  <si>
    <t>09/30/2025</t>
  </si>
  <si>
    <t>1091656</t>
  </si>
  <si>
    <t>Purchase of beverages and ice at Casey's gas station</t>
  </si>
  <si>
    <t>331515309</t>
  </si>
  <si>
    <t>Purchase of hardware items from Lowe's Home Centers, including screws, digital level, and saw blade.</t>
  </si>
  <si>
    <t>1884</t>
  </si>
  <si>
    <t>Ramset T4034B 3/4″ Concrete Pins with T4 Fuel Cell (includes tax)</t>
  </si>
  <si>
    <t>1015622345-001</t>
  </si>
  <si>
    <t>Refund for Insulation</t>
  </si>
  <si>
    <t>1016141493-001</t>
  </si>
  <si>
    <t>Refund for Studs</t>
  </si>
  <si>
    <t>Sabre Tools 10-Pack SDS Plus 3/16" x 6" Rotary Hammer Drill Bits, Carbide Tipped for Brick, Stone and Concrete (includes shipping, tax, discount)</t>
  </si>
  <si>
    <t>Sabre Tools 10-Pack SDS Plus 3/16" x 6" Rotary Hammer Drill Bits, Carbide Tipped for Brick, Stone and Concrete (includes tax)</t>
  </si>
  <si>
    <t>10/21/2025</t>
  </si>
  <si>
    <t>488125600</t>
  </si>
  <si>
    <t>Sale receipt from Love's Home Centers LLC for hardware items totaling $131.31, paid by AMEX.</t>
  </si>
  <si>
    <t>SPO*CONRAD'SLIBERTY LIBERTY MO XXXX1028</t>
  </si>
  <si>
    <t>THE HOME DEPOT 3008</t>
  </si>
  <si>
    <t>THE HOME DEPOT MERRIAM KS XXXX1028</t>
  </si>
  <si>
    <t>1014512143001</t>
  </si>
  <si>
    <t>1014976992001</t>
  </si>
  <si>
    <t>10/30/2025</t>
  </si>
  <si>
    <t>1015861816001</t>
  </si>
  <si>
    <t>1014862783001</t>
  </si>
  <si>
    <t>1014865388001</t>
  </si>
  <si>
    <t>11/13/2025</t>
  </si>
  <si>
    <t>1015916909001</t>
  </si>
  <si>
    <t>1014862171001</t>
  </si>
  <si>
    <t>1014486835001</t>
  </si>
  <si>
    <t>1015033581001</t>
  </si>
  <si>
    <t>1014487785001</t>
  </si>
  <si>
    <t>1015005847001</t>
  </si>
  <si>
    <t>INV157158</t>
  </si>
  <si>
    <t>1014904701001</t>
  </si>
  <si>
    <t>12/10/2025</t>
  </si>
  <si>
    <t>1214</t>
  </si>
  <si>
    <t>1014875712001</t>
  </si>
  <si>
    <t>1016009507001</t>
  </si>
  <si>
    <t>1015792706001</t>
  </si>
  <si>
    <t>Track, #6 Fine Thread</t>
  </si>
  <si>
    <t>1015672522002</t>
  </si>
  <si>
    <t>Track &amp; Adhesive</t>
  </si>
  <si>
    <t>4624872320</t>
  </si>
  <si>
    <t>Window supplies</t>
  </si>
  <si>
    <t>08/15/2025</t>
  </si>
  <si>
    <t>98203038800</t>
  </si>
  <si>
    <t>WO 1295</t>
  </si>
  <si>
    <t>4624896219</t>
  </si>
  <si>
    <t>X-u 16 MX</t>
  </si>
  <si>
    <t>11/04/2025</t>
  </si>
  <si>
    <t>1016044422-001</t>
  </si>
  <si>
    <t>1015672522001</t>
  </si>
  <si>
    <t>11/10/2025</t>
  </si>
  <si>
    <t>PO 1966 AMAZON MARKETPLACE NAMZN.COM/BILL WA XXXX1028</t>
  </si>
  <si>
    <t>08/12/2025</t>
  </si>
  <si>
    <t>1351</t>
  </si>
  <si>
    <t>Invoice for engineering services for Liberty Heritage Middle School project</t>
  </si>
  <si>
    <t>CONFAST 1/4" x 2-3/4" Hex Head Concrete Screw Anchor with Drill Bit for Anchoring to Masonry, Block or Brick (100 per Box) (includes tax)</t>
  </si>
  <si>
    <t>Drill press</t>
  </si>
  <si>
    <t>PO 2115 LOWE'S KANSAS CITY KS XXXX1028</t>
  </si>
  <si>
    <t>11/17/2025</t>
  </si>
  <si>
    <t>202554904</t>
  </si>
  <si>
    <t>Acoustical Ceilings and Change Order CO#1 T&amp;M 6931</t>
  </si>
  <si>
    <t>2025 54901</t>
  </si>
  <si>
    <t>Acoustical Ceiling Sub</t>
  </si>
  <si>
    <t>12/16/2025</t>
  </si>
  <si>
    <t>202554905</t>
  </si>
  <si>
    <t>Application for Payment for construction project 549-LPS Heritage MS Phase II, including Acoustical Ceilings and a change order.</t>
  </si>
  <si>
    <t>202554903</t>
  </si>
  <si>
    <t>Application for Payment for construction project 549-LPS Heritage MS Phase II, including acoustical ceilings and change orders.</t>
  </si>
  <si>
    <t>KC Plastering</t>
  </si>
  <si>
    <t>12/30/2025</t>
  </si>
  <si>
    <t>J163-002-Ret</t>
  </si>
  <si>
    <t>Application for payment for construction work completed at Heritage Middle School PA002 Ret</t>
  </si>
  <si>
    <t>J163-01-2025</t>
  </si>
  <si>
    <t>Drywall Finishing - OCT - 163</t>
  </si>
  <si>
    <t>02/12/2026</t>
  </si>
  <si>
    <t>202554907 - J163</t>
  </si>
  <si>
    <t>Feb - Retention</t>
  </si>
  <si>
    <t>12/01/2025</t>
  </si>
  <si>
    <t>J163022025</t>
  </si>
  <si>
    <t>PA002 - Dec</t>
  </si>
  <si>
    <t>01/19/2026</t>
  </si>
  <si>
    <t>J163-003</t>
  </si>
  <si>
    <t>PA003 Jan - J163</t>
  </si>
  <si>
    <t>01/13/2026</t>
  </si>
  <si>
    <t>202554906</t>
  </si>
  <si>
    <t>PA004 - Jan - J163</t>
  </si>
  <si>
    <t>03/16/2026</t>
  </si>
  <si>
    <t>J163 - #004</t>
  </si>
  <si>
    <t>Pay App 4 - March</t>
  </si>
  <si>
    <t>Pay App 5 - Liberty R</t>
  </si>
  <si>
    <t>Pay App 5 - RET</t>
  </si>
  <si>
    <t>J163-001</t>
  </si>
  <si>
    <t>Pay App Nov (6)</t>
  </si>
  <si>
    <t>20254902</t>
  </si>
  <si>
    <t>Sept 2025</t>
  </si>
  <si>
    <t>04/02/2026</t>
  </si>
  <si>
    <t>WO 1026</t>
  </si>
  <si>
    <t>WO 1026 - Mud, Quickse, and repair work around trophy cases and auditorium doors.</t>
  </si>
  <si>
    <t>1358</t>
  </si>
  <si>
    <t>WO 1358 - Plaster patch and repair with quikset, mud, and bead materials.</t>
  </si>
  <si>
    <t>The Home Depot</t>
  </si>
  <si>
    <t>PO 2228 - Drywall</t>
  </si>
  <si>
    <t>THE HOME DEPOT 2213 SDS Drill and Bits</t>
  </si>
  <si>
    <t>163 - Union DUes - July</t>
  </si>
  <si>
    <t>Union Dues - June</t>
  </si>
  <si>
    <t>02/10/2026</t>
  </si>
  <si>
    <t>201526</t>
  </si>
  <si>
    <t>12/08/2025</t>
  </si>
  <si>
    <t>NOV2025</t>
  </si>
  <si>
    <t>32 Hrs Justin Bunnell</t>
  </si>
  <si>
    <t>02/06/2026</t>
  </si>
  <si>
    <t>ADP WAGE PAY BRIGHTEN BUILDERS L ACH WITHDRAWAL ADP WAGE PAY BRIGHTEN BUILDERS LLC ACH DEBIT WAGE PAY XXXXXXXX3643R4Q</t>
  </si>
  <si>
    <t>01/29/2026</t>
  </si>
  <si>
    <t>ADP WAGE PAY BRIGHTEN BUILDERS L ACH WITHDRAWAL ADP WAGE PAY BRIGHTEN BUILDERS LLC ACH DEBIT WAGE PAY XXXXXXXX8922R4Q</t>
  </si>
  <si>
    <t>12/24/2025</t>
  </si>
  <si>
    <t>12/18/2025</t>
  </si>
  <si>
    <t>Easton James  Manual Checks</t>
  </si>
  <si>
    <t>11/24/2025</t>
  </si>
  <si>
    <t>1381</t>
  </si>
  <si>
    <t>manual check 32 Hrs - J163 - LPS</t>
  </si>
  <si>
    <t>1355</t>
  </si>
  <si>
    <t>Manual Check 9/14-9/20 - 24 hrs</t>
  </si>
  <si>
    <t>1356</t>
  </si>
  <si>
    <t>Manual Check 9/14-9/20 - 8 hrs</t>
  </si>
  <si>
    <t>1353</t>
  </si>
  <si>
    <t>Manual Pay Check for 9/7-9/13 - 32 Hrs</t>
  </si>
  <si>
    <t>1354</t>
  </si>
  <si>
    <t>Manual Pay Check for 9/7-9/13 - 38 Hrs</t>
  </si>
  <si>
    <t>Nick Jones Manual Checks</t>
  </si>
  <si>
    <t>12/04/2025</t>
  </si>
  <si>
    <t>Total for 163 - LPS Heritage Middle</t>
  </si>
  <si>
    <t>164 - Lakeview 516A</t>
  </si>
  <si>
    <t>BIN THERE DUMP THAT KANSA Dumpster Rental</t>
  </si>
  <si>
    <t>Scanning - ECHO GPR SERVICES OLATHE KS XXXX1036</t>
  </si>
  <si>
    <t>1013330249001</t>
  </si>
  <si>
    <t>1565</t>
  </si>
  <si>
    <t>1" screws</t>
  </si>
  <si>
    <t>84 Lumber</t>
  </si>
  <si>
    <t>84 LUMBER CO #3908</t>
  </si>
  <si>
    <t>AMAZON MKTPL*CE8QW4PZ3 grab bars</t>
  </si>
  <si>
    <t>Best Buy</t>
  </si>
  <si>
    <t>BESTBUYCOMXXXXXXXX7627 stove replacement</t>
  </si>
  <si>
    <t>Build.com</t>
  </si>
  <si>
    <t>BUILD.COM</t>
  </si>
  <si>
    <t>08/27/2025</t>
  </si>
  <si>
    <t>HOMEDEPOT.COM Cord for vent hood</t>
  </si>
  <si>
    <t>08/02/2025</t>
  </si>
  <si>
    <t>HOMEDEPOT.COM PO 1922 partial</t>
  </si>
  <si>
    <t>08/03/2025</t>
  </si>
  <si>
    <t>40940</t>
  </si>
  <si>
    <t>Invoice from ABCO Supply LLC to Brighten Builders LLC for Ram Board RL, total $139.86</t>
  </si>
  <si>
    <t>1014047648001</t>
  </si>
  <si>
    <t>McCray Lumber CO</t>
  </si>
  <si>
    <t>07/22/2025</t>
  </si>
  <si>
    <t>MCCRAY LUMBER COMPANY-FA</t>
  </si>
  <si>
    <t>Nebraska Furniture Mart</t>
  </si>
  <si>
    <t>NEBRASKA FURNITURE MART vent hood</t>
  </si>
  <si>
    <t>09/03/2025</t>
  </si>
  <si>
    <t>PETTY PRODUCTS, INC Shower Doors</t>
  </si>
  <si>
    <t>INV159354</t>
  </si>
  <si>
    <t>INV161929</t>
  </si>
  <si>
    <t>PO1672 84 LUMBER LENEXA KS XXXX1044</t>
  </si>
  <si>
    <t>po1703 THE HOME DEPOT 2213 SHAWNEE KS XXXX1028</t>
  </si>
  <si>
    <t>1013922470001</t>
  </si>
  <si>
    <t>PO 1712</t>
  </si>
  <si>
    <t>PO1719 DOLLAR TREE XXXX0404LENEXA KS XXXX1036</t>
  </si>
  <si>
    <t>PO1725 THE HOME DEPOT OLATHE KS XXXX1028</t>
  </si>
  <si>
    <t>PO 1759 THE HOME DEPOT OLATHE KS XXXX1036</t>
  </si>
  <si>
    <t>PO 1760 THE HOME DEPOT LEAVENWORTH KS XXXX1036</t>
  </si>
  <si>
    <t>PO 1763 THE HOME DEPOT OLATHE KS XXXX1036</t>
  </si>
  <si>
    <t>PO 1765 WESTLAKE HARDWARE #0LENEXA KS XXXX1036</t>
  </si>
  <si>
    <t>PO 1822 WESTLAKE HARDWARE #045</t>
  </si>
  <si>
    <t>PO 1863 THE HOME DEPOT OLATHE KS XXXX1036</t>
  </si>
  <si>
    <t>PO 1906 THE HOME DEPOT OLATHE KS XXXX1036</t>
  </si>
  <si>
    <t>PO 1933 THE HOME DEPOT 2201 OLATHE KS XXXX1036</t>
  </si>
  <si>
    <t>08/13/2025</t>
  </si>
  <si>
    <t>PO 1935 THE HOME DEPOT LEAVENWORTH KS XXXX1036</t>
  </si>
  <si>
    <t>PO 1936 THE HOME DEPOT OLATHE KS XXXX1036</t>
  </si>
  <si>
    <t>PO 1942 THE HOME DEPOT OLATHE KS XXXX1036</t>
  </si>
  <si>
    <t>PO 2003 THE HOME DEPOT OLATHE KS XXXX1036</t>
  </si>
  <si>
    <t>07/30/2025</t>
  </si>
  <si>
    <t>THE HOME DEPOT 2202 PO1923</t>
  </si>
  <si>
    <t>THE HOME DEPOT #2213 returned damaged vent hood</t>
  </si>
  <si>
    <t>THE HOME DEPOT #2213 Vent hood</t>
  </si>
  <si>
    <t>THE HOME DEPOT #2216 PO 1922 partial</t>
  </si>
  <si>
    <t>1014172068001</t>
  </si>
  <si>
    <t>1014826468001</t>
  </si>
  <si>
    <t>4624417148</t>
  </si>
  <si>
    <t>1014477222001</t>
  </si>
  <si>
    <t>1014462385001</t>
  </si>
  <si>
    <t>Permit LENEXA COMNTY DEV ONLINE</t>
  </si>
  <si>
    <t>PO 1821 THE HOME DEPOT 3008</t>
  </si>
  <si>
    <t>Draw 2 516</t>
  </si>
  <si>
    <t>516 Draw 2 - August</t>
  </si>
  <si>
    <t>Final - J164 LVV</t>
  </si>
  <si>
    <t>Application for final payment for tile work at Lakeview Village project</t>
  </si>
  <si>
    <t>5</t>
  </si>
  <si>
    <t>Application for Payment for construction project Lakeview Village, including plumbing, fixtures, HVAC, and a deduction for deleting kitchen sink bowl.</t>
  </si>
  <si>
    <t>J164-1</t>
  </si>
  <si>
    <t>Application for Payment for construction work on Lakeview Village project, including plumbing, fixtures, and HVAC.</t>
  </si>
  <si>
    <t>6</t>
  </si>
  <si>
    <t>Application for Payment for Lakeview Village project, with total completed work of $33,394.90 and current payment due of $3,339.49.</t>
  </si>
  <si>
    <t>J164 - 001</t>
  </si>
  <si>
    <t>Application for payment for tile work at Lakeview Village project</t>
  </si>
  <si>
    <t>1529</t>
  </si>
  <si>
    <t>Blinds</t>
  </si>
  <si>
    <t>176293</t>
  </si>
  <si>
    <t>Cabinets - 516</t>
  </si>
  <si>
    <t>CO001 - add outlet</t>
  </si>
  <si>
    <t>176278</t>
  </si>
  <si>
    <t>Countertops</t>
  </si>
  <si>
    <t>J1642Ret</t>
  </si>
  <si>
    <t>5314838</t>
  </si>
  <si>
    <t>Fire alarm</t>
  </si>
  <si>
    <t>2</t>
  </si>
  <si>
    <t>Floor - retention</t>
  </si>
  <si>
    <t>001</t>
  </si>
  <si>
    <t>Invoice for electrical work at Lakeview Village, Heritage Place renovation, including various installations and demo work.</t>
  </si>
  <si>
    <t>96359</t>
  </si>
  <si>
    <t>Invoice for final construction cleaning service provided by Hi-Gene's Janitorial Service to Brighten Builders</t>
  </si>
  <si>
    <t>4805</t>
  </si>
  <si>
    <t>Invoice for painting services at Lakeview Village H/516A by Switzer Brothers Painting LLC for Brighten Builders LLC</t>
  </si>
  <si>
    <t>4806</t>
  </si>
  <si>
    <t>J164 - C4 - Pay App 1</t>
  </si>
  <si>
    <t>June Pay App</t>
  </si>
  <si>
    <t>001 - 516 lVV</t>
  </si>
  <si>
    <t>LVV 516 - PA001</t>
  </si>
  <si>
    <t>1</t>
  </si>
  <si>
    <t>PA001 - May</t>
  </si>
  <si>
    <t>PA002 - J164</t>
  </si>
  <si>
    <t>PA003 - Ret J164</t>
  </si>
  <si>
    <t>4</t>
  </si>
  <si>
    <t>Pay App 4</t>
  </si>
  <si>
    <t>PO 1740 LOWE'S KANSAS CITY KS XXXX1028</t>
  </si>
  <si>
    <t>1284</t>
  </si>
  <si>
    <t>14.5 hrs</t>
  </si>
  <si>
    <t>6/8-6/14 Payroll</t>
  </si>
  <si>
    <t>Total for 164 - Lakeview 516A</t>
  </si>
  <si>
    <t>165 - Joco Fleet</t>
  </si>
  <si>
    <t>WESTLAKE HARDWARE #1OLATHE KS XXXX1028</t>
  </si>
  <si>
    <t>Total for 165 - Joco Fleet</t>
  </si>
  <si>
    <t>166 -Simmons Bank Canopy</t>
  </si>
  <si>
    <t>6376810001</t>
  </si>
  <si>
    <t>PO 1659 - Lift</t>
  </si>
  <si>
    <t>Tractor Supply</t>
  </si>
  <si>
    <t>1663TRACTOR SUPPLY # 1253, LEES SUMMITT, MOUS</t>
  </si>
  <si>
    <t>1271</t>
  </si>
  <si>
    <t>Total for 166 -Simmons Bank Canopy</t>
  </si>
  <si>
    <t>167 - Unilever Entry Ceilings</t>
  </si>
  <si>
    <t>PO1660 THE HOME DEPOT #2213, SHAWNEE, KSUS</t>
  </si>
  <si>
    <t>1013576857001</t>
  </si>
  <si>
    <t>Total for 167 - Unilever Entry Ceilings</t>
  </si>
  <si>
    <t>168 - Addington Place Control Joint</t>
  </si>
  <si>
    <t>1261</t>
  </si>
  <si>
    <t>Total for 168 - Addington Place Control Joint</t>
  </si>
  <si>
    <t>169 - Catalent May 25 Shutdown</t>
  </si>
  <si>
    <t>PO1701 THE HOME DEPOT 3016 KANSAS CITY MO XXXX1028</t>
  </si>
  <si>
    <t>PO1702 HE HOME DEPOT KANSAS CITY MO XXXX1028</t>
  </si>
  <si>
    <t>Midland Hardware</t>
  </si>
  <si>
    <t>PO 1728 MIDLAND HARDWARE Grandview MO XXXX1028</t>
  </si>
  <si>
    <t>PO 1741 LOWE'S KANSAS CITY KS XXXX1028</t>
  </si>
  <si>
    <t>9.5</t>
  </si>
  <si>
    <t>Total for 169 - Catalent May 25 Shutdown</t>
  </si>
  <si>
    <t>170 - Bldg 2306 Ceiling Patching</t>
  </si>
  <si>
    <t>PO1720 THE HOME DEPOT BELTON MO XXXX1069</t>
  </si>
  <si>
    <t>98202453400</t>
  </si>
  <si>
    <t>Total for 170 - Bldg 2306 Ceiling Patching</t>
  </si>
  <si>
    <t>171 - Dole Drywall Patching</t>
  </si>
  <si>
    <t>THE SHERWIN-WILLIAMSCLEVELAND OH XXXX1028</t>
  </si>
  <si>
    <t>Dole</t>
  </si>
  <si>
    <t>Dole Patching</t>
  </si>
  <si>
    <t>Total for 171 - Dole Drywall Patching</t>
  </si>
  <si>
    <t>172 - LV USD - Warren</t>
  </si>
  <si>
    <t>8089461</t>
  </si>
  <si>
    <t>1014375218001</t>
  </si>
  <si>
    <t>PO 1789</t>
  </si>
  <si>
    <t>PO 1850 THE HOME DEPOT LEAVENWORTH KS XXXX1028</t>
  </si>
  <si>
    <t>PO 1855 THE HOME DEPOT LEAVENWORTH KS XXXX1028</t>
  </si>
  <si>
    <t>1014568716001</t>
  </si>
  <si>
    <t>PO 1866</t>
  </si>
  <si>
    <t>EJ Welch</t>
  </si>
  <si>
    <t>S011551739001</t>
  </si>
  <si>
    <t>PO 1871</t>
  </si>
  <si>
    <t>PO 1908 THE HOME DEPOT LEAVENWORTH KS XXXX1036</t>
  </si>
  <si>
    <t>PO 1938 THE HOME DEPOT LEAVENWORTH KS XXXX1036</t>
  </si>
  <si>
    <t>THE HOME DEPOT LEAVENWORTH KS XXXX1010</t>
  </si>
  <si>
    <t>THE HOME DEPOT LEAVENWORTH KS XXXX1028</t>
  </si>
  <si>
    <t>1014613901001</t>
  </si>
  <si>
    <t>172-001</t>
  </si>
  <si>
    <t>Total for 172 - LV USD - Warren</t>
  </si>
  <si>
    <t>173 - FRP Catalent</t>
  </si>
  <si>
    <t>PO 1797 EJ WELCH CO - EARTH EARTH CITY MO XXXX1028</t>
  </si>
  <si>
    <t>THE HOME DEPOT 2213 SHAWNEE KS XXXX1028</t>
  </si>
  <si>
    <t>THE HOME DEPOT KANSAS CITY MO XXXX1028</t>
  </si>
  <si>
    <t>Total for 173 - FRP Catalent</t>
  </si>
  <si>
    <t>174 - Bank of Labor HQ</t>
  </si>
  <si>
    <t>07/04/2025</t>
  </si>
  <si>
    <t>Mounting Tape - PO 1842</t>
  </si>
  <si>
    <t>PO 1848</t>
  </si>
  <si>
    <t>Total for 174 - Bank of Labor HQ</t>
  </si>
  <si>
    <t>175 - Carlson Water Damage</t>
  </si>
  <si>
    <t>1014565448001</t>
  </si>
  <si>
    <t>PO 1817</t>
  </si>
  <si>
    <t>PO 1818 SUMMIT FLOORING SUPPLEES SUMMIT MO XXXX1028</t>
  </si>
  <si>
    <t>PO 1823 MENARDS XXXX XXX0033KANSAS CITY KS XXXX1028</t>
  </si>
  <si>
    <t>PO 1824 THE HOME DEPOT 2202</t>
  </si>
  <si>
    <t>PO 1825</t>
  </si>
  <si>
    <t>PO 1829 EJ WELCH CO - EARTH EARTH CITY MO XXXX1028</t>
  </si>
  <si>
    <t>07/06/2025</t>
  </si>
  <si>
    <t>PO 1845</t>
  </si>
  <si>
    <t>PO 1880 EJ WELCH CO - EARTH EARTH CITY MO XXXX1077</t>
  </si>
  <si>
    <t>SHERWIN-WILLIAMS707209, KANSAS CITY, KS</t>
  </si>
  <si>
    <t>SHERWIN-WILLIAMSXX7212</t>
  </si>
  <si>
    <t>THE HOME DEPOT 2207</t>
  </si>
  <si>
    <t>THE HOME DEPOT 3008 PO 1924</t>
  </si>
  <si>
    <t>WESTLAKE HARDWARE #0TOPEKA KS XXXX1028</t>
  </si>
  <si>
    <t>J175-001</t>
  </si>
  <si>
    <t>WO1319 - Finishing and painting</t>
  </si>
  <si>
    <t>Total for 175 - Carlson Water Damage</t>
  </si>
  <si>
    <t>176 - Nebel Kitchen</t>
  </si>
  <si>
    <t>09/09/2025</t>
  </si>
  <si>
    <t>BIN THERE DUMP THAT KANSA dumpster</t>
  </si>
  <si>
    <t>BIN THERE DUMP THAT KANSA Dumpster</t>
  </si>
  <si>
    <t>Facebook Marketplace</t>
  </si>
  <si>
    <t>1X4 Trim</t>
  </si>
  <si>
    <t>Nebel</t>
  </si>
  <si>
    <t>6-Light Oil-Rubbed Bronze Chandelier, Farmhouse Dining Room Light Fixture, Modern Chandelier, Geometric Industrial Metal Hang Lighting Fixture for Foyer Entryway Kitchen Over Table Hallway Living Room (includes tax)</t>
  </si>
  <si>
    <t>AMAZON MKTPL*EW6JT4EJ3</t>
  </si>
  <si>
    <t>AMAZON MKTPL*Z09Y290J3</t>
  </si>
  <si>
    <t>BATODA 12" Countertop Support Brackets (4 pcs) for Granite - Heavy Duty L Shelf Bracket - Wall Mounted Support for DIY Open Shelving - Knee Wall Support - Mounting Hardware Included ( Pack 4 ) (includes tax)</t>
  </si>
  <si>
    <t>09/11/2025</t>
  </si>
  <si>
    <t>Bosomfr 3-Light Ceiling Light Fixture, Black Semi-Flush Mount Chandelier with Geometric Metal Shade, Farmhouse Industrial Lighting for Kitchen Living Room Bedroom Hallway Foyer, E26 Base (includes tax)</t>
  </si>
  <si>
    <t>173471</t>
  </si>
  <si>
    <t>08/24/2025</t>
  </si>
  <si>
    <t>HOMEDEPOT.COM Partial PO1920</t>
  </si>
  <si>
    <t>07/26/2025</t>
  </si>
  <si>
    <t>KRAUS Standart PRO 28-inch 16 Gauge Undermount Single Bowl Stainless Steel Kitchen Sink, KHU100-28 (includes tax)</t>
  </si>
  <si>
    <t>09/07/2025</t>
  </si>
  <si>
    <t>LOWES #X0907* pendant</t>
  </si>
  <si>
    <t>0000360591-001</t>
  </si>
  <si>
    <t>Materials - PO 1873</t>
  </si>
  <si>
    <t>MENARDS 3343 Front door</t>
  </si>
  <si>
    <t>Moen Adler Mediterranean Bronze One-Handle High Arc Modern Kitchen Faucet with Power Clean and Pull Down Spray Head, 87233BRB (includes tax)</t>
  </si>
  <si>
    <t>PO 1836 THE HOME DEPOT OLATHE KS XXXX1036</t>
  </si>
  <si>
    <t>PO 1837 THE HOME DEPOT OLATHE KS XXXX1036</t>
  </si>
  <si>
    <t>Po 1854 WESTLAKE HARDWARE #1OVERLAND PARK KS XXXX1028</t>
  </si>
  <si>
    <t>PO 1856 THE HOME DEPOT OLATHE KS XXXX1028</t>
  </si>
  <si>
    <t>PO 1862 WESTLAKE HARDWARE #1OLATHE KS XXXX1010</t>
  </si>
  <si>
    <t>PO 1864 THE HOME DEPOT OLATHE KS XXXX1036</t>
  </si>
  <si>
    <t>1014753480001</t>
  </si>
  <si>
    <t>PO 1878</t>
  </si>
  <si>
    <t>PO 1882 THE HOME DEPOT SHAWNEE KS XXXX1044</t>
  </si>
  <si>
    <t>Target</t>
  </si>
  <si>
    <t>REC252051756017312253</t>
  </si>
  <si>
    <t>PO 1883 TARGET OLATHE KS XXXX1044</t>
  </si>
  <si>
    <t>PO 1886</t>
  </si>
  <si>
    <t>08/05/2025</t>
  </si>
  <si>
    <t>PO 1907 THE HOME DEPOT OLATHE KS XXXX1036</t>
  </si>
  <si>
    <t>PO 1914 THE HOME DEPOT 2201 OLATHE KS XXXX1036</t>
  </si>
  <si>
    <t>PO 1925 THE HOME DEPOT OLATHE KS XXXX1010</t>
  </si>
  <si>
    <t>PO 1926 THE HOME DEPOT OLATHE KS XXXX1010</t>
  </si>
  <si>
    <t>PO 1927 THE HOME DEPOT OLATHE KS XXXX1010</t>
  </si>
  <si>
    <t>PO 1928 
THE HOME DEPOT OLATHE KS XXXX1010</t>
  </si>
  <si>
    <t>PO 1960 THE HOME DEPOT OLATHE KS XXXX1036</t>
  </si>
  <si>
    <t>THE HOME DEPOT 2201</t>
  </si>
  <si>
    <t>THE HOME DEPOT #2201</t>
  </si>
  <si>
    <t>THE HOME DEPOT 2201 - fix for kitchen sink</t>
  </si>
  <si>
    <t>THE HOME DEPOT 2213 PO 1921</t>
  </si>
  <si>
    <t>THE HOME DEPOT #2218 PO 1920</t>
  </si>
  <si>
    <t>THE HOME DEPOT OLATHE KS XXXX1010</t>
  </si>
  <si>
    <t>THE HOME DEPOT OVERLAND PARK KS XXXX1028</t>
  </si>
  <si>
    <t>40 PCS Cabinet Hinge Restrictor Clip, 38C315B3 Blumotion 86 Degree Angle Cabinet Restrictor Clips Compatible with Blum Hinges, Nylon Hinge Restrictors for Cabinet Doors (includes tax, discount)</t>
  </si>
  <si>
    <t>AMAZON MKTPL*NM6663ET1</t>
  </si>
  <si>
    <t>J176-001</t>
  </si>
  <si>
    <t>Countertops and backsplash</t>
  </si>
  <si>
    <t>drywall finishing and painting</t>
  </si>
  <si>
    <t>McGlinn Heating and Cooling</t>
  </si>
  <si>
    <t>1253</t>
  </si>
  <si>
    <t>HVAC and Gasline</t>
  </si>
  <si>
    <t>Total for 176 - Nebel Kitchen</t>
  </si>
  <si>
    <t>177 - Lafayatte Academy</t>
  </si>
  <si>
    <t>1014648746001</t>
  </si>
  <si>
    <t>Materials PO 1872</t>
  </si>
  <si>
    <t>PO 1865</t>
  </si>
  <si>
    <t>1014740911001</t>
  </si>
  <si>
    <t>PO 1875</t>
  </si>
  <si>
    <t>177 -001</t>
  </si>
  <si>
    <t>Total for 177 - Lafayatte Academy</t>
  </si>
  <si>
    <t>178 - Mill Creek Community Church</t>
  </si>
  <si>
    <t>PO 1852 LOWE'S SHAWNEE KS XXXX1028</t>
  </si>
  <si>
    <t>PO 1857 THE HOME DEPOT SHAWNEE KS XXXX1010</t>
  </si>
  <si>
    <t>Total for 178 - Mill Creek Community Church</t>
  </si>
  <si>
    <t>179 - Bolling 18th FLR</t>
  </si>
  <si>
    <t>PO 1943 THE HOME DEPOT 2216 LEAVENWORTH KS XXXX1036</t>
  </si>
  <si>
    <t>08/21/2025</t>
  </si>
  <si>
    <t>98203075300</t>
  </si>
  <si>
    <t>1349 - 179</t>
  </si>
  <si>
    <t>Finishing</t>
  </si>
  <si>
    <t>Total for 179 - Bolling 18th FLR</t>
  </si>
  <si>
    <t>180 - LV VA Air Coils</t>
  </si>
  <si>
    <t>No Job on ADP  - J180 - Kyle 3 hrs</t>
  </si>
  <si>
    <t>Total for 180 - LV VA Air Coils</t>
  </si>
  <si>
    <t>181 - COE 4th FL</t>
  </si>
  <si>
    <t>1015646777002</t>
  </si>
  <si>
    <t>PO 2117 LOWES OF GLADSTONE KANSAS CITY MO XXXX1028</t>
  </si>
  <si>
    <t>STRASSERS HARDWARE INC</t>
  </si>
  <si>
    <t>1015646777001</t>
  </si>
  <si>
    <t>09/20/2025</t>
  </si>
  <si>
    <t>1015487328001</t>
  </si>
  <si>
    <t>11/07/2025</t>
  </si>
  <si>
    <t>09/24/2025</t>
  </si>
  <si>
    <t>1015451109001</t>
  </si>
  <si>
    <t>1015439466001</t>
  </si>
  <si>
    <t>12/19/2025</t>
  </si>
  <si>
    <t>01-J181</t>
  </si>
  <si>
    <t>J181-02-Ret</t>
  </si>
  <si>
    <t>Total for 181 - COE 4th FL</t>
  </si>
  <si>
    <t>182 - Wexford Door Replacement</t>
  </si>
  <si>
    <t>PO 1952 THE SHERWIN-WILLIAMSCLEVELAND OH XXXX1010</t>
  </si>
  <si>
    <t>08/29/2025</t>
  </si>
  <si>
    <t>THE HOME DEPOT KANSAS CITY MO XXXX1010</t>
  </si>
  <si>
    <t>Total for 182 - Wexford Door Replacement</t>
  </si>
  <si>
    <t>183 - Blue Springs School District - Pole Barns</t>
  </si>
  <si>
    <t>American Trailer and Storage</t>
  </si>
  <si>
    <t>10/26/2025</t>
  </si>
  <si>
    <t>AMERICAN TRAILER AND STO</t>
  </si>
  <si>
    <t>10/28/2025</t>
  </si>
  <si>
    <t>12/21/2025</t>
  </si>
  <si>
    <t>11/23/2025</t>
  </si>
  <si>
    <t>AMERICAN TRAILER AND STO conex/container rental</t>
  </si>
  <si>
    <t>AMERICAN TRAILER AND STO Conex/Container rental</t>
  </si>
  <si>
    <t>AMERICAN TRAILER AND STO refund for container pick up</t>
  </si>
  <si>
    <t>6753800003</t>
  </si>
  <si>
    <t>6768400002</t>
  </si>
  <si>
    <t>fork lift</t>
  </si>
  <si>
    <t>11/03/2025</t>
  </si>
  <si>
    <t>6768400001</t>
  </si>
  <si>
    <t>Fork lift</t>
  </si>
  <si>
    <t>12/29/2025</t>
  </si>
  <si>
    <t>6768400003</t>
  </si>
  <si>
    <t>01/05/2026</t>
  </si>
  <si>
    <t>6768400004</t>
  </si>
  <si>
    <t>6753800001</t>
  </si>
  <si>
    <t>Lift/forklift</t>
  </si>
  <si>
    <t>12/23/2025</t>
  </si>
  <si>
    <t>6753800004</t>
  </si>
  <si>
    <t>platform</t>
  </si>
  <si>
    <t>12/15/2025</t>
  </si>
  <si>
    <t>6931430001</t>
  </si>
  <si>
    <t>6753800005</t>
  </si>
  <si>
    <t>W</t>
  </si>
  <si>
    <t>Willey's Dumpsters</t>
  </si>
  <si>
    <t>WILLEY S</t>
  </si>
  <si>
    <t>WILLEY S Dumpster</t>
  </si>
  <si>
    <t>WILLEY S Dumpsters</t>
  </si>
  <si>
    <t>6753800002</t>
  </si>
  <si>
    <t>work Platform</t>
  </si>
  <si>
    <t>10/13/2025</t>
  </si>
  <si>
    <t>MACK TRUE VALUE HARDWARE</t>
  </si>
  <si>
    <t>0000384313</t>
  </si>
  <si>
    <t>0000383477</t>
  </si>
  <si>
    <t>10/07/2025</t>
  </si>
  <si>
    <t>0000376050-001</t>
  </si>
  <si>
    <t>MENARDS.COM</t>
  </si>
  <si>
    <t>12/02/2025</t>
  </si>
  <si>
    <t>MENARDS XXXX XXX0033INDEPENDENCE MO XXXX1028</t>
  </si>
  <si>
    <t>11/14/2025</t>
  </si>
  <si>
    <t>12/12/2025</t>
  </si>
  <si>
    <t>MENARDS XXXX XXX0033INDEPENDENCE MO XXXX1044</t>
  </si>
  <si>
    <t>PO 2024 THE HOME DEPOT BLUE SPRINGS MO XXXX1010</t>
  </si>
  <si>
    <t>PO 2027 THE HOME DEPOT LEAVENWORTH KS XXXX1028</t>
  </si>
  <si>
    <t>PO 2035 MENARDS XXXX XXX0033INDEPENDENCE MO XXXX1044</t>
  </si>
  <si>
    <t>PO 2038 THE HOME DEPOT BLUE SPRINGS MO XXXX1010</t>
  </si>
  <si>
    <t>PO 2039 THE HOME DEPOT BLUE SPRINGS MO XXXX1010</t>
  </si>
  <si>
    <t>PO 2040 THE HOME DEPOT BLUE SPRINGS MO XXXX1010</t>
  </si>
  <si>
    <t>PO 2046 THE HOME DEPOT BLUE SPRINGS MO XXXX1010</t>
  </si>
  <si>
    <t>10/09/2025</t>
  </si>
  <si>
    <t>PO 2047 MENARDS XXXX XXX0033INDEPENDENCE MO XXXX1044</t>
  </si>
  <si>
    <t>PO 2055 THE HOME DEPOT 3024 BLUE SPRINGS MO XXXX1010</t>
  </si>
  <si>
    <t>PO 2056 MENARDS XXXX XXX0033INDEPENDENCE MO XXXX1010</t>
  </si>
  <si>
    <t>PO 2057 THE HOME DEPOT BLUE SPRINGS MO XXXX1010</t>
  </si>
  <si>
    <t>10/15/2025</t>
  </si>
  <si>
    <t>PO 2067 THE HOME DEPOT BLUE SPRINGS MO XXXX1010</t>
  </si>
  <si>
    <t>PO 2068 THE HOME DEPOT BLUE SPRINGS MO XXXX1010</t>
  </si>
  <si>
    <t>PO 2071 THE HOME DEPOT BLUE SPRINGS MO XXXX1010</t>
  </si>
  <si>
    <t>PO 2074 THE HOME DEPOT BLUE SPRINGS MO XXXX1044</t>
  </si>
  <si>
    <t>PO 2083 MENARDS XXXX XXX0033INDEPENDENCE MO XXXX1010</t>
  </si>
  <si>
    <t>PO 2083 MENARDS XXXX XXX0033INDEPENDENCE MO XXXX1028</t>
  </si>
  <si>
    <t>PO 2088 THE HOME DEPOT MERRIAM KS XXXX1044</t>
  </si>
  <si>
    <t>PO 2091 MENARDS XXXX XXX0033INDEPENDENCE MO XXXX1010</t>
  </si>
  <si>
    <t>PO 2092 THE HOME DEPOT BLUE SPRINGS MO XXXX1010</t>
  </si>
  <si>
    <t>PO 2093  THE HOME DEPOT BLUE SPRINGS MO XXXX1010</t>
  </si>
  <si>
    <t>PO 2121 THE HOME DEPOT BLUE SPRINGS MO XXXX1010</t>
  </si>
  <si>
    <t>PO 2122 THE HOME DEPOT BLUE SPRINGS MO XXXX1010</t>
  </si>
  <si>
    <t>PO 2142 THE HOME DEPOT BLUE SPRINGS MO XXXX1010</t>
  </si>
  <si>
    <t>PO 2143 THE HOME DEPOT 3024 BLUE SPRINGS MO XXXX1044</t>
  </si>
  <si>
    <t>PO 2146 THE HOME DEPOT 2203 OVERLAND PARK KS XXXX1028</t>
  </si>
  <si>
    <t>PO 2147 THE HOME DEPOT 2203 OVERLAND PARK KS XXXX1028</t>
  </si>
  <si>
    <t>PO 2165 THE HOME DEPOT BLUE SPRINGS MO XXXX1010 LOWE'S LIBERTY MO XXXX1044</t>
  </si>
  <si>
    <t>PO 2166 THE HOME DEPOT 3024 BLUE SPRINGS MO XXXX1010 LOWE'S LIBERTY MO XXXX1044</t>
  </si>
  <si>
    <t>PO 2167 THE HOME DEPOT BLUE SPRINGS MO XXXX1010 LOWE'S LIBERTY MO XXXX1044</t>
  </si>
  <si>
    <t>PO 2176 MENARDS XXXX XXX0033INDEPENDENCE MO XXXX1028</t>
  </si>
  <si>
    <t>PO 2187 THE HOME DEPOT BLUE SPRINGS MO XXXX1010 LOWE'S LIBERTY MO XXXX1044</t>
  </si>
  <si>
    <t>12/17/2025</t>
  </si>
  <si>
    <t>PO 2200 MENARDS XXXX XXX0033INDEPENDENCE MO XXXX1028</t>
  </si>
  <si>
    <t>PO 2201 THE HOME DEPOT BLUE SPRINGS MO XXXX1010 LOWE'S LIBERTY MO XXXX1044</t>
  </si>
  <si>
    <t>PO 2202 MENARDS XXXX XXX0033INDEPENDENCE MO XXXX1010</t>
  </si>
  <si>
    <t>PO 2203 THE HOME DEPOT BLUE SPRINGS MO XXXX1010 LOWE'S LIBERTY MO XXXX1044</t>
  </si>
  <si>
    <t>01/12/2026</t>
  </si>
  <si>
    <t>PO 2221</t>
  </si>
  <si>
    <t>01/16/2026</t>
  </si>
  <si>
    <t>PO 2226 SP TRUDOOR PHOENIX AZ XXXX1028</t>
  </si>
  <si>
    <t>01/21/2026</t>
  </si>
  <si>
    <t>PO 2230 THE HOME DEPOT KANSAS CITY MO XXXX1051 LOWE'S LIBERTY MO XXXX1044</t>
  </si>
  <si>
    <t>01/20/2026</t>
  </si>
  <si>
    <t>PO 2231 THE HOME DEPOT BLUE SPRINGS MO XXXX1028 LOWE'S LIBERTY MO XXXX1044</t>
  </si>
  <si>
    <t>PO 2232 THE HOME DEPOT 3006 INDEPENDENCE MO XXXX1028 LOWE'S LIBERTY MO XXXX1044</t>
  </si>
  <si>
    <t>03/19/2026</t>
  </si>
  <si>
    <t>PO 2274 THE HOME DEPOT BLUE SPRINGS MO XXXX1119 LOWE'S LIBERTY MO XXXX1044</t>
  </si>
  <si>
    <t>PO 2279 THE HOME DEPOT BLUE SPRINGS MO XXXX1119 LOWE'S LIBERTY MO XXXX1044</t>
  </si>
  <si>
    <t>QT 217 generator fuel</t>
  </si>
  <si>
    <t>1393</t>
  </si>
  <si>
    <t>Reimbursment for HD on personal card</t>
  </si>
  <si>
    <t>SHERWIN-WILLIAMSXX7125</t>
  </si>
  <si>
    <t>12/27/2025</t>
  </si>
  <si>
    <t>04/22/2026</t>
  </si>
  <si>
    <t>SHERWIN-WILLIAMSXX7125 PO 2323</t>
  </si>
  <si>
    <t>03/20/2026</t>
  </si>
  <si>
    <t>SHERWIN-WILLIAMSXX7209 paint and rollers</t>
  </si>
  <si>
    <t>THE HOME DEPOT #3006INDEPENDENCE MO XXXX1051 LOWE'S LIBERTY MO XXXX1044</t>
  </si>
  <si>
    <t>11/12/2025</t>
  </si>
  <si>
    <t>THE HOME DEPOT BLUE SPRINGS MO XXXX1010</t>
  </si>
  <si>
    <t>01/02/2026</t>
  </si>
  <si>
    <t>THE HOME DEPOT BLUE SPRINGS MO XXXX1010 LOWE'S LIBERTY MO XXXX1044</t>
  </si>
  <si>
    <t>11885</t>
  </si>
  <si>
    <t>35339</t>
  </si>
  <si>
    <t>95663</t>
  </si>
  <si>
    <t>30439</t>
  </si>
  <si>
    <t>WESTLAKE HARDWARE #092</t>
  </si>
  <si>
    <t>Metal Panels Inc</t>
  </si>
  <si>
    <t>PINVK2507222</t>
  </si>
  <si>
    <t>SOK26-10160</t>
  </si>
  <si>
    <t>PINVK2507237</t>
  </si>
  <si>
    <t>PINVK2507223</t>
  </si>
  <si>
    <t>PINVK2507221</t>
  </si>
  <si>
    <t>09/13/2025</t>
  </si>
  <si>
    <t>PO 1964 AMAZON MARKETPLACE NAMZN.COM/BILL WA XXXX1028</t>
  </si>
  <si>
    <t>01/11/2026</t>
  </si>
  <si>
    <t>01/08/2026</t>
  </si>
  <si>
    <t>ELDON &amp; SONS GUTTERS</t>
  </si>
  <si>
    <t>7380</t>
  </si>
  <si>
    <t>Invoice for gutter and downspout installation at Blue Springs South Highschool</t>
  </si>
  <si>
    <t>7386</t>
  </si>
  <si>
    <t>Payment receipt for $9,259.00 to ELDON &amp; SONS GUTTERS for gutter services, paid via Credit Card Wallet on 1/8/2026.</t>
  </si>
  <si>
    <t>Scooter Door Service</t>
  </si>
  <si>
    <t>02/23/2026</t>
  </si>
  <si>
    <t>WAVE - *SDS SCOOTERS DOO</t>
  </si>
  <si>
    <t>01/26/2026</t>
  </si>
  <si>
    <t>WAVE - *SDS SCOOTERS DOO Garage door installation</t>
  </si>
  <si>
    <t>04/07/2026</t>
  </si>
  <si>
    <t>01/28/2026</t>
  </si>
  <si>
    <t>ACCELERATED GARAGE DSHAWNEE KS XXXX1028</t>
  </si>
  <si>
    <t>Total for Vehicle Repairs &amp; Maintenance</t>
  </si>
  <si>
    <t>1420</t>
  </si>
  <si>
    <t>22 hours (Manual)</t>
  </si>
  <si>
    <t>1416</t>
  </si>
  <si>
    <t>22 hrs (Manual) J183 12/14-12/20/25</t>
  </si>
  <si>
    <t>1421</t>
  </si>
  <si>
    <t>8 hours (Manual)</t>
  </si>
  <si>
    <t>1417</t>
  </si>
  <si>
    <t>8 hrs (Manual) J183 12/21-12/27/25</t>
  </si>
  <si>
    <t>03/26/2026</t>
  </si>
  <si>
    <t>ADP WAGE PAY BRIGHTEN BUILDERS L ACH WITHDRAWAL ADP WAGE PAY BRIGHTEN BUILDERS LLC ACH DEBIT WAGE PAY XXXXXXXX4323R4Q</t>
  </si>
  <si>
    <t>ADP WAGE PAY BRIGHTEN BUILDERS L ACH WITHDRAWAL ADP WAGE PAY BRIGHTEN BUILDERS LLC ACH DEBIT WAGE PAY XXXXXXXX4446R4Q</t>
  </si>
  <si>
    <t>01/22/2026</t>
  </si>
  <si>
    <t>ADP WAGE PAY BRIGHTEN BUILDERS L ACH WITHDRAWAL ADP WAGE PAY BRIGHTEN BUILDERS LLC ACH DEBIT WAGE PAY XXXXXXXX6421R4Q</t>
  </si>
  <si>
    <t>01/09/2026</t>
  </si>
  <si>
    <t>ADP WAGE PAY BRIGHTEN BUILDERS L ACH WITHDRAWAL ADP WAGE PAY BRIGHTEN BUILDERS LLC ACH DEBIT WAGE PAY XXXXXXXX7355R4Q</t>
  </si>
  <si>
    <t>05/07/2026</t>
  </si>
  <si>
    <t>ADP WAGE PAY BRIGHTEN BUILDERS L ACH WITHDRAWAL ADP WAGE PAY BRIGHTEN BUILDERS LLC ACH DEBIT WAGE PAY XXXXXXXX8001R4Q</t>
  </si>
  <si>
    <t>Check No: 1416</t>
  </si>
  <si>
    <t>Check No: 1417</t>
  </si>
  <si>
    <t>Check No: 1420</t>
  </si>
  <si>
    <t>Check No: 1421</t>
  </si>
  <si>
    <t>Total for 183 - Blue Springs School District - Pole Barns</t>
  </si>
  <si>
    <t>184 - Dole Blinds Patch</t>
  </si>
  <si>
    <t>PO 1951 LOWE'S KANSAS CITY KS XXXX1028</t>
  </si>
  <si>
    <t>Total for 184 - Dole Blinds Patch</t>
  </si>
  <si>
    <t>185 - Dole Probation Patch</t>
  </si>
  <si>
    <t>PO 1963 THE SHERWIN-WILLIAMSCLEVELAND OH XXXX1028</t>
  </si>
  <si>
    <t>Total for 185 - Dole Probation Patch</t>
  </si>
  <si>
    <t>186 - LVV 3 &amp; 5</t>
  </si>
  <si>
    <t>02/26/2026</t>
  </si>
  <si>
    <t>02/13/2026</t>
  </si>
  <si>
    <t>ECHO GPR SERVICES OLATHE KS XXXX1036</t>
  </si>
  <si>
    <t>01/07/2026</t>
  </si>
  <si>
    <t>AMAZON MKTPL*234FS1DM3</t>
  </si>
  <si>
    <t>FA0002381289003</t>
  </si>
  <si>
    <t>FC</t>
  </si>
  <si>
    <t>Total for Job Materials &amp; Supplies</t>
  </si>
  <si>
    <t>01/27/2026</t>
  </si>
  <si>
    <t>2234 THE HOME DEPOT LEAVENWORTH KS XXXX1036 LOWE'S LIBERTY MO XXXX1044</t>
  </si>
  <si>
    <t>2234 THE HOME DEPOT SHAWNEE KS XXXX1036 LOWE'S LIBERTY MO XXXX1044</t>
  </si>
  <si>
    <t>1016128130-001</t>
  </si>
  <si>
    <t>3/4 x 4 x 8 CDX Fire-Rated Plywood #6 x 1-1/4" Posi-Grip Bugle Head Self Drill Point 8M</t>
  </si>
  <si>
    <t>AMAZON MKTPL*NK0JS9391</t>
  </si>
  <si>
    <t>AMAZON MKTPL*NK5XR83W0 bath and door hardware</t>
  </si>
  <si>
    <t>1957</t>
  </si>
  <si>
    <t>Buryeah 2 Rolls of 120 Inch Air Vent Filters Blue and White, DIY Size Filter, Dustproof Floor Vent Media Pad for Aquarium HVAC Home, 25" Wide (includes tax)</t>
  </si>
  <si>
    <t>185271</t>
  </si>
  <si>
    <t>Cabinet Add</t>
  </si>
  <si>
    <t>183841</t>
  </si>
  <si>
    <t>cabinets</t>
  </si>
  <si>
    <t>183514</t>
  </si>
  <si>
    <t>183840</t>
  </si>
  <si>
    <t>183300</t>
  </si>
  <si>
    <t>02/11/2026</t>
  </si>
  <si>
    <t>183309</t>
  </si>
  <si>
    <t>Countertops 311B</t>
  </si>
  <si>
    <t>Door</t>
  </si>
  <si>
    <t>FA0002381289002</t>
  </si>
  <si>
    <t>Doors</t>
  </si>
  <si>
    <t>4625255379</t>
  </si>
  <si>
    <t>Fire Caulk</t>
  </si>
  <si>
    <t>12/09/2025</t>
  </si>
  <si>
    <t>4625374680</t>
  </si>
  <si>
    <t>Firestop</t>
  </si>
  <si>
    <t>4625178054</t>
  </si>
  <si>
    <t>Fire stop</t>
  </si>
  <si>
    <t>HOMEDEPOT.COM partial shipment</t>
  </si>
  <si>
    <t>HOMEDEPOT.COM Partial Shipment</t>
  </si>
  <si>
    <t>42002</t>
  </si>
  <si>
    <t>Invoice from ABCO Supply LLC to Brighten Builders LLC for tack mats, totaling $551.89</t>
  </si>
  <si>
    <t>1016342329-001</t>
  </si>
  <si>
    <t>Invoice includes 1/2" x 4' x 8' AMER M-Bloc, CDX Fire-Rated Plywood, Pro-Twist Bugle Head Fine Thread Sharp Point, and DW Utility Knife Blades.</t>
  </si>
  <si>
    <t>02/08/2026</t>
  </si>
  <si>
    <t>2243</t>
  </si>
  <si>
    <t>LOAAO 24X32 Inch Brushed Nickel Bathroom Mirror, Rounded Rectangle Silver Metal Frame Mirror, Brushed Nickel, Anti-Rust, Shatter Proof, Hangs Horizontally or Vertically (includes tax)</t>
  </si>
  <si>
    <t>11/30/2025</t>
  </si>
  <si>
    <t>LOWE'S SHAWNEE KS XXXX1028 LOWE'S LIBERTY MO XXXX1044</t>
  </si>
  <si>
    <t>LOWES #X0907* appliances</t>
  </si>
  <si>
    <t>LOWES #X0907* Fridges - rebought new sizes</t>
  </si>
  <si>
    <t>02/09/2026</t>
  </si>
  <si>
    <t>LOWES #X0907* fridges returned - too big</t>
  </si>
  <si>
    <t>1015322826001</t>
  </si>
  <si>
    <t>1015648874001</t>
  </si>
  <si>
    <t>1015317766001</t>
  </si>
  <si>
    <t>1016155157-002</t>
  </si>
  <si>
    <t>National ProForm All Purpose 50# Ctn</t>
  </si>
  <si>
    <t>02/05/2026</t>
  </si>
  <si>
    <t>1016795461-001</t>
  </si>
  <si>
    <t>OX Tools Whip Small Mud Pan Mixer and CDX Fire-Rated Plywood</t>
  </si>
  <si>
    <t>PO 1950 WESTLAKE HARDWARE #0LENEXA KS XXXX1036</t>
  </si>
  <si>
    <t>PO 1977 4 STATE SUPPLY LENEXLENEXA KS XXXX1028</t>
  </si>
  <si>
    <t>PO 1978 LOWE'S SHAWNEE KS XXXX1028</t>
  </si>
  <si>
    <t>PO 2015 4 STATE SUPPLY LENEXLENEXA KS XXXX1028</t>
  </si>
  <si>
    <t>PO 2016 THE SHERWIN-WILLIAMSCLEVELAND OH XXXX1028</t>
  </si>
  <si>
    <t>PO 2018 AMERICAN METALS SUPPHAZELWOOD MO XXXX1028</t>
  </si>
  <si>
    <t>PO 2019 4 STATE SUPPLY LENEXLENEXA KS XXXX1028</t>
  </si>
  <si>
    <t>1015531576001</t>
  </si>
  <si>
    <t>PO 2026</t>
  </si>
  <si>
    <t>PO 2037 THE HOME DEPOT 2201 OLATHE KS XXXX1036</t>
  </si>
  <si>
    <t>PO2059 THE HOME DEPOT SHAWNEE KS XXXX1044</t>
  </si>
  <si>
    <t>PO 2066 WW GRAINGER 931 ATLANTA GA XXXX1028</t>
  </si>
  <si>
    <t>PO 2073 4 STATE SUPPLY LENEXLENEXA KS XXXX1036</t>
  </si>
  <si>
    <t>1015745397001</t>
  </si>
  <si>
    <t>PO 2081</t>
  </si>
  <si>
    <t>PO 2100 WESTLAKE HARDWARE #0LENEXA KS XXXX1036</t>
  </si>
  <si>
    <t>PO 2101 THE HOME DEPOT LEAVENWORTH KS XXXX1036</t>
  </si>
  <si>
    <t>10/25/2025</t>
  </si>
  <si>
    <t>PO 2111 THE HOME DEPOT SHAWNEE KS XXXX1036</t>
  </si>
  <si>
    <t>1015943908-001</t>
  </si>
  <si>
    <t>PO 2127</t>
  </si>
  <si>
    <t>0000380808-0012128</t>
  </si>
  <si>
    <t>PO 2128 - 9 - Plywood</t>
  </si>
  <si>
    <t>PO 2162 WESTLAKE HARDWARE #0LENEXA KS XXXX1036</t>
  </si>
  <si>
    <t>PO 2168 THE HOME DEPOT 2213 SHAWNEE KS XXXX1036 LOWE'S LIBERTY MO XXXX1044</t>
  </si>
  <si>
    <t>PO 2178 THE HOME DEPOT SHAWNEE KS XXXX1036 LOWE'S LIBERTY MO XXXX1044</t>
  </si>
  <si>
    <t>0000386872-001</t>
  </si>
  <si>
    <t>PO 2206 - 250 lf 1x6 poplar, 50 lf 1x4 poplar, 7 board feet 1/2" poplar</t>
  </si>
  <si>
    <t>PO 2207 LOWE'S KANSAS CITY KS XXXX1036 LOWE'S LIBERTY MO XXXX1044</t>
  </si>
  <si>
    <t>WN44978036</t>
  </si>
  <si>
    <t>PO 2209</t>
  </si>
  <si>
    <t>PO 2209 THE HOME DEPOT LEAVENWORTH KS XXXX1036 LOWE'S LIBERTY MO XXXX1044</t>
  </si>
  <si>
    <t>PO 2209 
THE HOME DEPOT SHAWNEE KS XXXX1036 LOWE'S LIBERTY MO XXXX1044</t>
  </si>
  <si>
    <t>PO 2218 THE HOME DEPOT OLATHE KS XXXX1036 LOWE'S LIBERTY MO XXXX1044</t>
  </si>
  <si>
    <t>01/15/2026</t>
  </si>
  <si>
    <t>PO 2223 THE SHERWIN-WILLIAMSCLEVELAND OH XXXX1036</t>
  </si>
  <si>
    <t>PO 2224 THE HOME DEPOT 2216 LEAVENWORTH KS XXXX1036 LOWE'S LIBERTY MO XXXX1044</t>
  </si>
  <si>
    <t>PO 2227 
THE HOME DEPOT OLATHE KS XXXX1036 LOWE'S LIBERTY MO XXXX1044</t>
  </si>
  <si>
    <t>PO 2229</t>
  </si>
  <si>
    <t>PO 2229 THE HOME DEPOT LEAVENWORTH KS XXXX1036 LOWE'S LIBERTY MO XXXX1044</t>
  </si>
  <si>
    <t>PO 2234 THE HOME DEPOT LEAVENWORTH KS XXXX1036 LOWE'S LIBERTY MO XXXX1044</t>
  </si>
  <si>
    <t>PO 2235 THE HOME DEPOT SHAWNEE KS XXXX1036 LOWE'S LIBERTY MO XXXX1044</t>
  </si>
  <si>
    <t>PO 2259 WESTLAKE HARDWARE #0LENEXA KS XXXX1036</t>
  </si>
  <si>
    <t>03/03/2026</t>
  </si>
  <si>
    <t>PO 2274 WESTLAKE HARDWARE #0LENEXA KS XXXX1036</t>
  </si>
  <si>
    <t>INV173526</t>
  </si>
  <si>
    <t>Printing Plans</t>
  </si>
  <si>
    <t>SATECH Sticky/Tacky/Adhesive Mat 24" x 36" Blue (Case of 4 Mats,30 Sheets Each) for Cleanroom Laboratory Hospital Construction Pets (includes tax)</t>
  </si>
  <si>
    <t>SHERWIN-WILLIAMSXX7152</t>
  </si>
  <si>
    <t>11/09/2025</t>
  </si>
  <si>
    <t>SHERWIN-WILLIAMSXX7268</t>
  </si>
  <si>
    <t>08/31/2025</t>
  </si>
  <si>
    <t>SHERWIN-WILLIAMSXX7282 Paint for A503 repaint</t>
  </si>
  <si>
    <t>KC Custom Signs</t>
  </si>
  <si>
    <t>03/24/2026</t>
  </si>
  <si>
    <t>8266</t>
  </si>
  <si>
    <t>Signage for Lakeview</t>
  </si>
  <si>
    <t>Signage JB #8614: Lakeview Village Heritage unit numbers (504, 303, 311)</t>
  </si>
  <si>
    <t>02/20/2026</t>
  </si>
  <si>
    <t>STAR BEAUTY SUPPLY Shower caps for smokes</t>
  </si>
  <si>
    <t>24951</t>
  </si>
  <si>
    <t>Statement from Drexe Technologies to Brighten Builders LLC for $50.92, due on 10/3/2025</t>
  </si>
  <si>
    <t>THE HOME DEPOT 2201 OLATHE KS XXXX1036</t>
  </si>
  <si>
    <t>THE HOME DEPOT 2216 LEAVENWORTH KS XXXX1036 LOWE'S LIBERTY MO XXXX1044</t>
  </si>
  <si>
    <t>11/28/2025</t>
  </si>
  <si>
    <t>THE HOME DEPOT #3016 door reorder partial</t>
  </si>
  <si>
    <t>THE HOME DEPOT #3021 partial door reorder</t>
  </si>
  <si>
    <t>THE HOME DEPOT LEAVENWORTH KS XXXX1036 LOWE'S LIBERTY MO XXXX1044</t>
  </si>
  <si>
    <t>02/02/2026</t>
  </si>
  <si>
    <t>2201 00051 49695</t>
  </si>
  <si>
    <t>THE HOME DEPOT OLATHE KS XXXX1036 LOWE'S LIBERTY MO XXXX1044</t>
  </si>
  <si>
    <t>THE HOME DEPOT OVERLAND PARK KS XXXX1036</t>
  </si>
  <si>
    <t>THE HOME DEPOT SHAWNEE KS XXXX1036 LOWE'S LIBERTY MO XXXX1044</t>
  </si>
  <si>
    <t>01/06/2026</t>
  </si>
  <si>
    <t>THE SHERWIN-WILLIAMSCLEVELAND OH XXXX1036</t>
  </si>
  <si>
    <t>1015636837001</t>
  </si>
  <si>
    <t>1015940709001</t>
  </si>
  <si>
    <t>1015940913001</t>
  </si>
  <si>
    <t>FA0002392106001</t>
  </si>
  <si>
    <t>Trim and Casing</t>
  </si>
  <si>
    <t>0000388170-001</t>
  </si>
  <si>
    <t>Various grades of Red Oak and Poplar lumber, including FAS, thick, and S4S.</t>
  </si>
  <si>
    <t>WALMART.COM pocket door frames</t>
  </si>
  <si>
    <t>HOMEDEPOT.COM partial order delivered</t>
  </si>
  <si>
    <t>MAXTID Large Door Draft Stopper for Bottom of Doors 36" Under Door Draft Noise Blocker Black Gap Stoppers Door Draft Guard for Bottom of Doors Adjustable Door Sweep Draft Seal Home Essentials Gadgets (includes tax)</t>
  </si>
  <si>
    <t>THE HOME DEPOT #3016 door return</t>
  </si>
  <si>
    <t>THE HOME DEPOT #3021 door return</t>
  </si>
  <si>
    <t>01/31/2026</t>
  </si>
  <si>
    <t>01-J186</t>
  </si>
  <si>
    <t>01-J186 - Jan</t>
  </si>
  <si>
    <t>02/03/2026</t>
  </si>
  <si>
    <t>183822</t>
  </si>
  <si>
    <t>504C - Countertops - Silestone Quartz Ethereal Dusk Polished countertops and Blanco Silgranit Precis kitchen sink.</t>
  </si>
  <si>
    <t>26674</t>
  </si>
  <si>
    <t>58" x 70" Ht. semi frameless stall slider with 1/4" rain tempered glass and brushed nickel finish</t>
  </si>
  <si>
    <t>26676</t>
  </si>
  <si>
    <t>58" x 75" Ht. semi frameless stall slider with 1/4" rain tempered glass and brushed nickel finish</t>
  </si>
  <si>
    <t>26675</t>
  </si>
  <si>
    <t>58" x 75" Ht. semi frameless stall slider with 1/4" rain tempered glass and matte black finish</t>
  </si>
  <si>
    <t>2-J186</t>
  </si>
  <si>
    <t>Application for Payment for plumbing work at Lakeview Village project PA002</t>
  </si>
  <si>
    <t>C4 - 186 - WO 1353</t>
  </si>
  <si>
    <t>C408 Patch and Repair Soffits in Living room and bedroom</t>
  </si>
  <si>
    <t>1 - J186</t>
  </si>
  <si>
    <t>Change Order #1 Tile Increase</t>
  </si>
  <si>
    <t>02/15/2026</t>
  </si>
  <si>
    <t>cleaned all the PTAC units on 3b odd side and 5c even side.</t>
  </si>
  <si>
    <t>183305</t>
  </si>
  <si>
    <t>183818</t>
  </si>
  <si>
    <t>COUNTERTOPS 508C - KITCHEN with Silestone Quartz and Blanco Silgranit Precis Kitchen Sink.</t>
  </si>
  <si>
    <t>DayCo Painting, Inc</t>
  </si>
  <si>
    <t>J186 - 2</t>
  </si>
  <si>
    <t>CURRENT PAYMENT DUE</t>
  </si>
  <si>
    <t>02/19/2026</t>
  </si>
  <si>
    <t>2 - Ret - J186</t>
  </si>
  <si>
    <t>05/08/2026</t>
  </si>
  <si>
    <t>J186-3-Ret</t>
  </si>
  <si>
    <t>Draw #3: Jan J186</t>
  </si>
  <si>
    <t>Draw #4:</t>
  </si>
  <si>
    <t>11/11/2025</t>
  </si>
  <si>
    <t>J186-001</t>
  </si>
  <si>
    <t>Electrical work at Lakeview Village, Heritage Place 5th floor corridor 504C, 508C, and 502C temp room including installation of boxes, mc cable, connectors, fasteners, temp lighting, low voltage wiring for fire alarm, phone, cable, media box, demo conduits and wiring as needed for new construction.</t>
  </si>
  <si>
    <t>HVAC</t>
  </si>
  <si>
    <t>Installation</t>
  </si>
  <si>
    <t>11/05/2025</t>
  </si>
  <si>
    <t>J186-002</t>
  </si>
  <si>
    <t>Invoice for electrical work at Lakeview Village, including installation and demo, with a total of $115,000 and a first draw of $40,000.</t>
  </si>
  <si>
    <t>Labor</t>
  </si>
  <si>
    <t>05/18/2026</t>
  </si>
  <si>
    <t>5315100</t>
  </si>
  <si>
    <t>Labor and materials for Area 5C and Area 3B.</t>
  </si>
  <si>
    <t>LESS 10.00% RETENTION:</t>
  </si>
  <si>
    <t>PA001 Jan J186</t>
  </si>
  <si>
    <t>11/21/2025</t>
  </si>
  <si>
    <t>PA002 NOvember</t>
  </si>
  <si>
    <t>PA003 Dec</t>
  </si>
  <si>
    <t>1- Jan J186</t>
  </si>
  <si>
    <t>Painting PA1 - Jan</t>
  </si>
  <si>
    <t>WO 1354</t>
  </si>
  <si>
    <t>Patch and Repair soffit in bathroom</t>
  </si>
  <si>
    <t>02/25/2026</t>
  </si>
  <si>
    <t>J186 - 4</t>
  </si>
  <si>
    <t>J186 -003</t>
  </si>
  <si>
    <t>Plumbing PA003 Jan</t>
  </si>
  <si>
    <t>5 F - 30189 - J186</t>
  </si>
  <si>
    <t>Plumbing rough-in and fixture installations across various sections of the building.</t>
  </si>
  <si>
    <t>Plumbing Rough In B303 &amp; B311, Plumbing Fixtures B303 &amp; B311, Plumbing Rough In C504 &amp; C508, Plumbing Fixtures C504 &amp; C508</t>
  </si>
  <si>
    <t>NS Solutions LLC</t>
  </si>
  <si>
    <t>03/12/2026</t>
  </si>
  <si>
    <t>30326 BB</t>
  </si>
  <si>
    <t>Post-Construction Cleaning units 303B, 311B, 504C and 508C</t>
  </si>
  <si>
    <t>1647</t>
  </si>
  <si>
    <t>Purchase and installation of roller shades, with valences for rooms 311B, 303B, 504C &amp; 508C.</t>
  </si>
  <si>
    <t>Final - J186</t>
  </si>
  <si>
    <t>retention held</t>
  </si>
  <si>
    <t>20937K - ret</t>
  </si>
  <si>
    <t>Ret PA002</t>
  </si>
  <si>
    <t>ret PA003</t>
  </si>
  <si>
    <t>Sales tax</t>
  </si>
  <si>
    <t>Sales Tax (9.35%)</t>
  </si>
  <si>
    <t>20937K-1</t>
  </si>
  <si>
    <t>WO1406</t>
  </si>
  <si>
    <t>TOTAL LABOR</t>
  </si>
  <si>
    <t>TOTAL MATERIALS</t>
  </si>
  <si>
    <t>05/01/2026</t>
  </si>
  <si>
    <t>03/11/2026</t>
  </si>
  <si>
    <t>COMMERCEBANK IMG Brighten Builde ACH WITHDRAWAL COMMERCEBANK IMG Brighten Builders ACH DEBIT CARPESTAMP B0323</t>
  </si>
  <si>
    <t>1418</t>
  </si>
  <si>
    <t>24 hours (Manual) Lakeview J186</t>
  </si>
  <si>
    <t>1378</t>
  </si>
  <si>
    <t>40 Hrs @ 186 Final Check</t>
  </si>
  <si>
    <t>40 Hrs Tyler Beck</t>
  </si>
  <si>
    <t>1419</t>
  </si>
  <si>
    <t>8 hours (Manual) Lakeview J186</t>
  </si>
  <si>
    <t>ADP WAGE PAY BRIGHTEN BUILDERS L ACH WITHDRAWAL ADP WAGE PAY BRIGHTEN BUILDERS LLC ACH DEBIT WAGE PAY XXXXXXXX0544R4Q</t>
  </si>
  <si>
    <t>02/27/2026</t>
  </si>
  <si>
    <t>ADP WAGE PAY BRIGHTEN BUILDERS L ACH WITHDRAWAL ADP WAGE PAY BRIGHTEN BUILDERS LLC ACH DEBIT WAGE PAY XXXXXXXX2870R4Q</t>
  </si>
  <si>
    <t>ADP WAGE PAY BRIGHTEN BUILDERS L ACH WITHDRAWAL ADP WAGE PAY BRIGHTEN BUILDERS LLC ACH DEBIT WAGE PAY XXXXXXXX5276R4Q</t>
  </si>
  <si>
    <t>ADP WAGE PAY BRIGHTEN BUILDERS L ACH WITHDRAWAL ADP WAGE PAY BRIGHTEN BUILDERS LLC ACH DEBIT WAGE PAY XXXXXXXX7611R4Q</t>
  </si>
  <si>
    <t>04/09/2026</t>
  </si>
  <si>
    <t>ADP WAGE PAY BRIGHTEN BUILDERS L ACH WITHDRAWAL ADP WAGE PAY BRIGHTEN BUILDERS LLC ACH DEBIT WAGE PAY XXXXXXXX7855R4Q</t>
  </si>
  <si>
    <t>ADP WAGE PAY BRIGHTEN BUILDERS L ACH WITHDRAWAL ADP WAGE PAY BRIGHTEN BUILDERS LLC ACH DEBIT WAGE PAY XXXXXXXX8840R4Q</t>
  </si>
  <si>
    <t>ADP WAGE PAY BRIGHTEN BUILDERS L ACH WITHDRAWAL ADP WAGE PAY BRIGHTEN BUILDERS LLC ACH DEBIT WAGE PAY XXXXXXXX9915R4Q</t>
  </si>
  <si>
    <t>Deposit</t>
  </si>
  <si>
    <t>ADP WAGE PAY, WAGE PAY reimbursment for wrong DD account for Bradley Bunnell. Issued paper check - 1364</t>
  </si>
  <si>
    <t>1364</t>
  </si>
  <si>
    <t>manual check for wrong account number on DD 23HRs - J186 LVV 3 &amp; 5</t>
  </si>
  <si>
    <t>Total for 186 - LVV 3 &amp; 5</t>
  </si>
  <si>
    <t>187 - LVV - Water Damage</t>
  </si>
  <si>
    <t>Bluesky</t>
  </si>
  <si>
    <t>BLUSKY, WEB PAY</t>
  </si>
  <si>
    <t>SUNBELT RENTALS RIVERSIDE MO XXXX1044</t>
  </si>
  <si>
    <t>PO 1979 THE HOME DEPOT 2213 SHAWNEE KS XXXX1044</t>
  </si>
  <si>
    <t>PO 1983 WESTLAKE HARDWARE #0LENEXA KS XXXX1028</t>
  </si>
  <si>
    <t>PO 1989 THE HOME DEPOT MERRIAM KS XXXX1044</t>
  </si>
  <si>
    <t>PO 1990 THE HOME DEPOT MERRIAM KS XXXX1044</t>
  </si>
  <si>
    <t>PO 2002 THE HOME DEPOT OLATHE KS XXXX1036</t>
  </si>
  <si>
    <t>PO 2010 WESTLAKE HARDWARE #0LENEXA KS XXXX1028</t>
  </si>
  <si>
    <t>SHERWIN-WILLIAMS SHAWNEE KS XXXX1028</t>
  </si>
  <si>
    <t>1349</t>
  </si>
  <si>
    <t>Job invoice for sprinkler head leak repair and patch work at Heritage lake view by Brighten Builders LLC for Brighter Builders</t>
  </si>
  <si>
    <t>43417792</t>
  </si>
  <si>
    <t>Work order invoice for emergency service call and labor at Lakeview Village</t>
  </si>
  <si>
    <t>Total for 187 - LVV - Water Damage</t>
  </si>
  <si>
    <t>188 - Catalent Door Frame Replacement</t>
  </si>
  <si>
    <t>PO 2116 THE HOME DEPOT KANSAS CITY MO XXXX1028</t>
  </si>
  <si>
    <t>Total for 188 - Catalent Door Frame Replacement</t>
  </si>
  <si>
    <t>190 - KUMC Delp Office Reno</t>
  </si>
  <si>
    <t>1016795461-001 LAKEVIEW</t>
  </si>
  <si>
    <t>1016847173-001</t>
  </si>
  <si>
    <t>3-1/2" x 24" x 96" CT InsulPure R11 UNF SC CPRO-ACR 256 SF 16 PC/BG</t>
  </si>
  <si>
    <t>1016868042-001</t>
  </si>
  <si>
    <t>7/8" x 10' Trim Tex Mud On Ceiling Bead 40/bx</t>
  </si>
  <si>
    <t>1016814173-001</t>
  </si>
  <si>
    <t>Angle, track, stud, gold bond fire-shield, drywall adhesive, and utility knife.</t>
  </si>
  <si>
    <t>1016177285001</t>
  </si>
  <si>
    <t>1016219810001</t>
  </si>
  <si>
    <t>1016180150001</t>
  </si>
  <si>
    <t>1016257279001</t>
  </si>
  <si>
    <t>1015927234-001</t>
  </si>
  <si>
    <t>PO 2124</t>
  </si>
  <si>
    <t>11/08/2025</t>
  </si>
  <si>
    <t>PO 2133 THE HOME DEPOT MERRIAM KS XXXX1028</t>
  </si>
  <si>
    <t>654006607-00</t>
  </si>
  <si>
    <t>PO 2164 - 7 sheets drywall
Fire tape"</t>
  </si>
  <si>
    <t>PO 2173 SIERRA BUILDING PRODKANSAS CITY MO XXXX1028</t>
  </si>
  <si>
    <t>PO 2245 GRABBER MISSOURI XXXXXX-XXX9853 MO XXXX1051</t>
  </si>
  <si>
    <t>PO 2249 SIERRA BUILDING PRODKANSAS CITY MO XXXX1051</t>
  </si>
  <si>
    <t>PO 2261 THE HOME DEPOT KANSAS CITY MO XXXX1051 LOWE'S LIBERTY MO XXXX1044</t>
  </si>
  <si>
    <t>65400515700</t>
  </si>
  <si>
    <t>screws</t>
  </si>
  <si>
    <t>THE HOME DEPOT KANSAS CITY MO XXXX1051 LOWE'S LIBERTY MO XXXX1044</t>
  </si>
  <si>
    <t>1015854618001</t>
  </si>
  <si>
    <t>1016118732-001</t>
  </si>
  <si>
    <t>WO 1020 - C4 - 3/18/26</t>
  </si>
  <si>
    <t>1359</t>
  </si>
  <si>
    <t>WO 1359 - Quickset, mesh, and blue boxes for repairing cracks in stairways.</t>
  </si>
  <si>
    <t>02/18/2026</t>
  </si>
  <si>
    <t>1403</t>
  </si>
  <si>
    <t>WO 1403 - Patch in 3rd Floor</t>
  </si>
  <si>
    <t>03/06/2026</t>
  </si>
  <si>
    <t>ADP WAGE PAY BRIGHTEN BUILDERS L ACH WITHDRAWAL ADP WAGE PAY BRIGHTEN BUILDERS LLC ACH DEBIT WAGE PAY XXXXXXXX3119R4Q</t>
  </si>
  <si>
    <t>Total for 190 - KUMC Delp Office Reno</t>
  </si>
  <si>
    <t>191 - Project Gus</t>
  </si>
  <si>
    <t>PO 2077 THE HOME DEPOT MERRIAM KS XXXX1028</t>
  </si>
  <si>
    <t>PO 2079 LOWE'S KANSAS CITY KS XXXX1028</t>
  </si>
  <si>
    <t>HARBOR FREIGHT TOOLS 186</t>
  </si>
  <si>
    <t>Total for 191 - Project Gus</t>
  </si>
  <si>
    <t>192 - Catalent Room 135</t>
  </si>
  <si>
    <t>Total for 192 - Catalent Room 135</t>
  </si>
  <si>
    <t>193 - Pulse Design 9th Floor</t>
  </si>
  <si>
    <t>6862550001</t>
  </si>
  <si>
    <t>1016296983-001</t>
  </si>
  <si>
    <t>5/8"x4'x9' fire-shield and 1-1/2"x1-1/2"x10' angle.</t>
  </si>
  <si>
    <t>GRABBER MISSOURI XXXXXX-XXX9853 MO XXXX1044</t>
  </si>
  <si>
    <t>65400537600</t>
  </si>
  <si>
    <t>1015869721001</t>
  </si>
  <si>
    <t>INV173525</t>
  </si>
  <si>
    <t>Plans Printed</t>
  </si>
  <si>
    <t>1015779288001</t>
  </si>
  <si>
    <t>PO 2065</t>
  </si>
  <si>
    <t>1015913263001</t>
  </si>
  <si>
    <t>Po 2120</t>
  </si>
  <si>
    <t>1015913263002</t>
  </si>
  <si>
    <t>PO 2180</t>
  </si>
  <si>
    <t>PO 2225 LOWE'S SHAWNEE KS XXXX1028 LOWE'S LIBERTY MO XXXX1044</t>
  </si>
  <si>
    <t>01/30/2026</t>
  </si>
  <si>
    <t>OCQE823NSS</t>
  </si>
  <si>
    <t>This transaction includes an invoice payment and a price correction.</t>
  </si>
  <si>
    <t>Stud Splice Detail - engineer</t>
  </si>
  <si>
    <t>2025 55801</t>
  </si>
  <si>
    <t>Application and Certificate for Payment for construction project, with details on contract sum, completed work, and current payment due.</t>
  </si>
  <si>
    <t>01/10/2026</t>
  </si>
  <si>
    <t>J19301</t>
  </si>
  <si>
    <t>Drywall finishing</t>
  </si>
  <si>
    <t>202555803 - J193</t>
  </si>
  <si>
    <t>Feb - Retainage</t>
  </si>
  <si>
    <t>202555802</t>
  </si>
  <si>
    <t>PA002 - Jan J193</t>
  </si>
  <si>
    <t>retention</t>
  </si>
  <si>
    <t>04/27/2026</t>
  </si>
  <si>
    <t>1330</t>
  </si>
  <si>
    <t>WO 1330 - Pulse - 3 hrs</t>
  </si>
  <si>
    <t>8 Hrs Justin Bunnell</t>
  </si>
  <si>
    <t>ADP WAGE PAY BRIGHTEN BUILDERS L ACH WITHDRAWAL ADP WAGE PAY BRIGHTEN BUILDERS LLC ACH DEBIT WAGE PAY XXXXXXXX0340R4Q</t>
  </si>
  <si>
    <t>04/16/2026</t>
  </si>
  <si>
    <t>ADP WAGE PAY BRIGHTEN BUILDERS L ACH WITHDRAWAL ADP WAGE PAY BRIGHTEN BUILDERS LLC ACH DEBIT WAGE PAY XXXXXXXX9624R4Q</t>
  </si>
  <si>
    <t>1380</t>
  </si>
  <si>
    <t>manual check 8Hrs Pulse - J193</t>
  </si>
  <si>
    <t>Total for 193 - Pulse Design 9th Floor</t>
  </si>
  <si>
    <t>194 - Platte Co. Install</t>
  </si>
  <si>
    <t>PO 2118 JEFF S TRUE VALUE HRPLATTE CITY MO XXXX1028</t>
  </si>
  <si>
    <t>Total for 194 - Platte Co. Install</t>
  </si>
  <si>
    <t>195 - Shawnee Library Restroom Partitions</t>
  </si>
  <si>
    <t>PO 2131 LOWE'S SHAWNEE KS XXXX1028</t>
  </si>
  <si>
    <t>Total for 195 - Shawnee Library Restroom Partitions</t>
  </si>
  <si>
    <t>196 - Thrive Sprinkler Tenting</t>
  </si>
  <si>
    <t>Need Receipt - PO 2157 THE HOME DEPOT 3008</t>
  </si>
  <si>
    <t>11/15/2025</t>
  </si>
  <si>
    <t>PO 2145 THE HOME DEPOT SHAWNEE KS XXXX1028</t>
  </si>
  <si>
    <t>PO 2183 LOWE'S KANSAS CITY KS XXXX1028 LOWE'S LIBERTY MO XXXX1044</t>
  </si>
  <si>
    <t>PO 2184 LOWE'S KANSAS CITY KS XXXX1028 LOWE'S LIBERTY MO XXXX1044</t>
  </si>
  <si>
    <t>PO 2185 MENARDS XXXX XXX0033KANSAS CITY KS XXXX1044</t>
  </si>
  <si>
    <t>THE HOME DEPOT SHAWNEE KS XXXX1028 LOWE'S LIBERTY MO XXXX1044</t>
  </si>
  <si>
    <t>1016006330001</t>
  </si>
  <si>
    <t>AMAZON MARKETPLACE NAMZN.COM/BILL WA XXXX1077</t>
  </si>
  <si>
    <t>LOWES #X2767*</t>
  </si>
  <si>
    <t>Total for 196 - Thrive Sprinkler Tenting</t>
  </si>
  <si>
    <t>197 - Administrative Hallway Reno</t>
  </si>
  <si>
    <t>Lamps.com</t>
  </si>
  <si>
    <t>LAMPS.COM - 4128</t>
  </si>
  <si>
    <t>PO 2208</t>
  </si>
  <si>
    <t>01/03/2026</t>
  </si>
  <si>
    <t>PO 2214</t>
  </si>
  <si>
    <t>PO 2215</t>
  </si>
  <si>
    <t>PO 2216</t>
  </si>
  <si>
    <t>The Wood Veneer</t>
  </si>
  <si>
    <t>PO 2271 SP THE WOOD VENEER HWILMINGTON DE XXXX1028</t>
  </si>
  <si>
    <t>03/30/2026</t>
  </si>
  <si>
    <t>PO 2288 LOWE'S KANSAS CITY KS XXXX1119 LOWE'S LIBERTY MO XXXX1044</t>
  </si>
  <si>
    <t>SHERWIN-WILLIAMSXX7209 paint</t>
  </si>
  <si>
    <t>SHERWIN-WILLIAMSXX7209 paint admin hall</t>
  </si>
  <si>
    <t>SP THE WOOD VENEER H</t>
  </si>
  <si>
    <t>SP THE WOOD VENEER HWILMINGTON DE XXXX1028 Received a discount for coupon code to reduce price</t>
  </si>
  <si>
    <t>2336</t>
  </si>
  <si>
    <t>PO 2236 -10PCS Black Aluminium Wall Corner Protector Guard 1.6x1.6x48" Corner Trim Molding L Metal Edge Protectors for Walls Corner Guards (includes tax)</t>
  </si>
  <si>
    <t>05/11/2026</t>
  </si>
  <si>
    <t>WO1094</t>
  </si>
  <si>
    <t>WO 1094 - LVV Skim and Paint Below Desk</t>
  </si>
  <si>
    <t>1404</t>
  </si>
  <si>
    <t>WO 1404 - 15 hrs (1275 labor, 144 materials)</t>
  </si>
  <si>
    <t>Total for 197 - Administrative Hallway Reno</t>
  </si>
  <si>
    <t>198 - Saint James Lockers</t>
  </si>
  <si>
    <t>WESTLAKE HARDWARE #1LENEXA KS XXXX1028</t>
  </si>
  <si>
    <t>Total for 198 - Saint James Lockers</t>
  </si>
  <si>
    <t>199 - Catalent P Building - Mechanical Room</t>
  </si>
  <si>
    <t>PO 2157 THE HOME DEPOT KANSAS CITY MO XXXX1036 LOWE'S LIBERTY MO XXXX1044</t>
  </si>
  <si>
    <t>Total for 199 - Catalent P Building - Mechanical Room</t>
  </si>
  <si>
    <t>200 - WY Dotte Shelter 16</t>
  </si>
  <si>
    <t>1711</t>
  </si>
  <si>
    <t>Invoice from CWA Specialties to WYCO Shelter for partitions and toilet accessories</t>
  </si>
  <si>
    <t>PO 2210 Purchase of 5 cobalt drill bits from Menards in Kansas City</t>
  </si>
  <si>
    <t>1415</t>
  </si>
  <si>
    <t>Check No: 1415</t>
  </si>
  <si>
    <t>Total for 200 - WY Dotte Shelter 16</t>
  </si>
  <si>
    <t>201 - LKQ Lockers</t>
  </si>
  <si>
    <t>PO 2188</t>
  </si>
  <si>
    <t>S011700806.001</t>
  </si>
  <si>
    <t>PO 2192</t>
  </si>
  <si>
    <t>THE HOME DEPOT #3006INDEPENDENCE MO XXXX1010 LOWE'S LIBERTY MO XXXX1044</t>
  </si>
  <si>
    <t>Total for 201 - LKQ Lockers</t>
  </si>
  <si>
    <t>202 - Chillicothe Police Dept. Install</t>
  </si>
  <si>
    <t>LOWE'S CHILLICOTHE MO XXXX1010 LOWE'S LIBERTY MO XXXX1044</t>
  </si>
  <si>
    <t>PO 2195 WESTLAKE HARDWARE #0CHILLICOTHE MO XXXX1010</t>
  </si>
  <si>
    <t>PO 2913 LOWE'S CHILLICOTHE MO XXXX1010 LOWE'S LIBERTY MO XXXX1044</t>
  </si>
  <si>
    <t>Total for 202 - Chillicothe Police Dept. Install</t>
  </si>
  <si>
    <t>203 - NKC Hospital Roller Shade</t>
  </si>
  <si>
    <t>Total for 203 - NKC Hospital Roller Shade</t>
  </si>
  <si>
    <t>204 - LightEdge Data Center</t>
  </si>
  <si>
    <t>04/29/2026</t>
  </si>
  <si>
    <t>713575-0001</t>
  </si>
  <si>
    <t>16' ELECTRIC SINGLE MAN Make: SKYJACK Model: SJ16 HR OUT 156.000 HR IN .000 Serial No: A601006523 TOTAL: -156.00</t>
  </si>
  <si>
    <t>713575-0002</t>
  </si>
  <si>
    <t>16' ELECTRIC SINGLE MAN, Make: SKYJACK Model: SJ16, Serial No: A601006523</t>
  </si>
  <si>
    <t>04/24/2026</t>
  </si>
  <si>
    <t>712779-0001</t>
  </si>
  <si>
    <t>19' ELECTRIC SCISSOR Make: SKYJACK Model: SJ3219 Serial No: 22078268* HR OUT 66.000 HR IN .000 TOTAL: -66.00</t>
  </si>
  <si>
    <t>05/19/2026</t>
  </si>
  <si>
    <t>705965-0003</t>
  </si>
  <si>
    <t>19' ELECTRIC SCISSOR rental.</t>
  </si>
  <si>
    <t>04/21/2026</t>
  </si>
  <si>
    <t>705965-0002</t>
  </si>
  <si>
    <t>22093577 19' ELECTRIC SCISSOR Make: SKYJACK Model: SJ3219 Serial No: 22093577 HR OUT 95.700 HR IN .000 TOTAL: -95.70</t>
  </si>
  <si>
    <t>DELIVERY CHARGE</t>
  </si>
  <si>
    <t>04/01/2026</t>
  </si>
  <si>
    <t>705965-0001</t>
  </si>
  <si>
    <t>Duke Rentals - 204</t>
  </si>
  <si>
    <t>PICKUP CHARGE</t>
  </si>
  <si>
    <t>Tax @ 7.7250%:</t>
  </si>
  <si>
    <t>03/29/2026</t>
  </si>
  <si>
    <t>2286 LOWES OF GLADSTONE KANSAS CITY MO XXXX1028 LOWE'S LIBERTY MO XXXX1044</t>
  </si>
  <si>
    <t>1016823136-001</t>
  </si>
  <si>
    <t>3-5/8" x 12' Slotted Slip Track 2-1/2" Leg 20ga 30mil</t>
  </si>
  <si>
    <t>2305</t>
  </si>
  <si>
    <t>3M Double Sided Tape 1in x 16.5ft, Mounting Tape Heavy Duty, Removeable PE Foam Tape Strips, Strong Adhesive Tape Waterproof Free Damage for Paint Wall Picture Hanging Poster (includes tax)</t>
  </si>
  <si>
    <t>3M Double Sided Tape Heavy Duty 2in x 10ft, Heavy Duty Removable Mounting Tape, Adhesive Strips Double Sided Mounting Tape, Strong Foam Tape for Walls Picture Hanging Poster, Car, LED Strip Light (includes tax)</t>
  </si>
  <si>
    <t>1016792693-001</t>
  </si>
  <si>
    <t>6" BlazeFrame Fire Shield 16"OC 20ga 33mil</t>
  </si>
  <si>
    <t>BEAVER DRILL &amp; TOOL KANSAS CITY KS XXXX1028</t>
  </si>
  <si>
    <t>1017139721-001</t>
  </si>
  <si>
    <t>Gypsum wallboard, insulation, sharp point screws, and national quick set.</t>
  </si>
  <si>
    <t>93272</t>
  </si>
  <si>
    <t>Labor &amp; material to fabricate (55) 14ga galv channels per detail.</t>
  </si>
  <si>
    <t>1017565452-001</t>
  </si>
  <si>
    <t>Lightedge - Materials</t>
  </si>
  <si>
    <t>1017790003-001</t>
  </si>
  <si>
    <t>Light edge - Sheetrock,</t>
  </si>
  <si>
    <t>03/31/2026</t>
  </si>
  <si>
    <t>LOWES OF GLADSTONE KANSAS CITY MO XXXX1028</t>
  </si>
  <si>
    <t>1016857228-001</t>
  </si>
  <si>
    <t>Materials - PO ??</t>
  </si>
  <si>
    <t>04/17/2026</t>
  </si>
  <si>
    <t>Nelson Wood Shims - 8-Inch Wood Shims for Leveling, Pro Pack, 120 Count Wedges for Toilets, Tables, Doors &amp; Furniture Levelers for Uneven Floors (includes shipping, tax, discount)</t>
  </si>
  <si>
    <t>1017016803-001</t>
  </si>
  <si>
    <t>NO PO  - Materials</t>
  </si>
  <si>
    <t>1017513683-001</t>
  </si>
  <si>
    <t>Plywood, studs, insulation, hanger wire, screws, RotoZip bit, and acoustical sealant.</t>
  </si>
  <si>
    <t>03/04/2026</t>
  </si>
  <si>
    <t>93213</t>
  </si>
  <si>
    <t>PO 2238 - Bent mental</t>
  </si>
  <si>
    <t>02/04/2026</t>
  </si>
  <si>
    <t>587308683</t>
  </si>
  <si>
    <t>PO 2239 - 5 packs of anchors</t>
  </si>
  <si>
    <t>02/17/2026</t>
  </si>
  <si>
    <t>PO 2250 WW GRAINGER 931 ATLANTA GA XXXX1028</t>
  </si>
  <si>
    <t>03/02/2026</t>
  </si>
  <si>
    <t>PO 2263 THE HOME DEPOT KANSAS CITY MO XXXX1051 LOWE'S LIBERTY MO XXXX1044</t>
  </si>
  <si>
    <t>PO 2267:</t>
  </si>
  <si>
    <t>PO 2282 GRABBER MISSOURI XXXXXX-XXX9853 MO XXXX1051</t>
  </si>
  <si>
    <t>03/27/2026</t>
  </si>
  <si>
    <t>PO 2291 GRABBER MISSOURI XXXXXX-XXX9853 MO XXXX1028</t>
  </si>
  <si>
    <t>PO 2297</t>
  </si>
  <si>
    <t>PO 2301 GRABBER MISSOURI XXXXXX-XXX9853 MO XXXX1051</t>
  </si>
  <si>
    <t>PO 2310 LOWE'S INDEPENDENCE MO XXXX1028</t>
  </si>
  <si>
    <t>Sales Tax 9.975%</t>
  </si>
  <si>
    <t>1017140854-001</t>
  </si>
  <si>
    <t>Sheetrock Firecode, various stud, track, and slotted slip track for construction.</t>
  </si>
  <si>
    <t>1017790022-001</t>
  </si>
  <si>
    <t>Sheetrock, stud, track</t>
  </si>
  <si>
    <t>04/10/2026</t>
  </si>
  <si>
    <t>1017451681-001</t>
  </si>
  <si>
    <t>Studs, track, and InsulPure for construction.</t>
  </si>
  <si>
    <t>1017340250-001</t>
  </si>
  <si>
    <t>Studs, tracks, barrier mesh, clips, and spacing bar for construction.</t>
  </si>
  <si>
    <t>04/28/2026</t>
  </si>
  <si>
    <t>1017633155-001</t>
  </si>
  <si>
    <t>Studs, TradeReady Spazzer, and Barrier Mesh Clips for construction.</t>
  </si>
  <si>
    <t>TempPro TP49 Digital Hygrometer Indoor Thermometer Humidity Meter Room Thermometer with Temperature and Humidity Monitor Mini Hygrometer Outdoor Thermometer (Previously ThermoPro) (includes shipping, tax, discount)</t>
  </si>
  <si>
    <t>04/23/2026</t>
  </si>
  <si>
    <t>03/25/2026</t>
  </si>
  <si>
    <t>XFasten Construction Seaming Tape Red 3"x55Yds (6-Pack, 990Feet Total) Sheathing Tape for Epoxy Resin Tape, Waterproof Crawlspace Vapor Barrier Tape, House Wrap Construction Tape, Foam Board Tape (includes shipping, tax, discount)</t>
  </si>
  <si>
    <t>50 PCS 3/8" x 6" Flat Sleeve Anchor Zinc Plated for Heavy-Duty Fastening in Masonry, Brick, and Concrete (includes tax)</t>
  </si>
  <si>
    <t>Otoolling 250 Pcs 1/16" x 3-1/2" Stack Shims Bulk Stackable Black Shims for Windows &amp; Doors (includes tax)</t>
  </si>
  <si>
    <t>4625794672</t>
  </si>
  <si>
    <t>PO 2268 - 9 packs of 25 anchors and epoxy</t>
  </si>
  <si>
    <t>04/15/2026</t>
  </si>
  <si>
    <t>4625845633</t>
  </si>
  <si>
    <t>PO 2887 - 12 packs of 24 anchors and epoxy inserts</t>
  </si>
  <si>
    <t>204 - Lightedge</t>
  </si>
  <si>
    <t>204-LightEdge Data Center</t>
  </si>
  <si>
    <t>03/13/2026</t>
  </si>
  <si>
    <t>ADP WAGE PAY BRIGHTEN BUILDERS L ACH WITHDRAWAL ADP WAGE PAY BRIGHTEN BUILDERS LLC ACH DEBIT WAGE PAY XXXXXXXX0960R4Q</t>
  </si>
  <si>
    <t>ADP WAGE PAY BRIGHTEN BUILDERS L ACH WITHDRAWAL ADP WAGE PAY BRIGHTEN BUILDERS LLC ACH DEBIT WAGE PAY XXXXXXXX1080R4Q</t>
  </si>
  <si>
    <t>Total for 204 - LightEdge Data Center</t>
  </si>
  <si>
    <t>205 - LVV Admin T&amp;M</t>
  </si>
  <si>
    <t>PO 2234 - Tru Door Lite Kit</t>
  </si>
  <si>
    <t>PO 2236 - 20 - 3 5/8"x8' studs, 4 tubes adhesive, 3 PCs 1/4" x 8' drywall</t>
  </si>
  <si>
    <t>PO 2252 - N95 Respirators and Paint Markers</t>
  </si>
  <si>
    <t>02/16/2026</t>
  </si>
  <si>
    <t>53028</t>
  </si>
  <si>
    <t>PO 2253 - Adhesive</t>
  </si>
  <si>
    <t>PO 2254 - Paint, Primer, brushes, roller covers</t>
  </si>
  <si>
    <t>PO 2255 - 64 FT of Rubber Base</t>
  </si>
  <si>
    <t>PO 2262 THE HOME DEPOT LEAVENWORTH KS XXXX1036 LOWE'S LIBERTY MO XXXX1044</t>
  </si>
  <si>
    <t>THE HOME DEPOT #3008</t>
  </si>
  <si>
    <t>623667</t>
  </si>
  <si>
    <t>Contract Sale for carpet repairs in the Admin Building</t>
  </si>
  <si>
    <t>Invoice</t>
  </si>
  <si>
    <t>J205 - T&amp;M</t>
  </si>
  <si>
    <t>SALES TAX</t>
  </si>
  <si>
    <t>1360</t>
  </si>
  <si>
    <t>WO 1360 - 16 hrs @ $88 
Materials - $90</t>
  </si>
  <si>
    <t>Total for 205 - LVV Admin T&amp;M</t>
  </si>
  <si>
    <t>206 - LVV Heritage - 211A, 311A &amp; 317A</t>
  </si>
  <si>
    <t>04/08/2026</t>
  </si>
  <si>
    <t>02/24/2026</t>
  </si>
  <si>
    <t>15118</t>
  </si>
  <si>
    <t>Coredrill Scanning Floor Thickness: Surface: Lift Access: Floor Covering: Indoors: 8" Suspended Slab Concrete No Bare Concrete Yes Explanation: 4 locations to scan for core drilling.</t>
  </si>
  <si>
    <t>DOITBEST.COM Pocket door frames</t>
  </si>
  <si>
    <t>1016920270-001</t>
  </si>
  <si>
    <t>1-1/2" x 12' USG Fire Rated DW Suspension Main Tee 16/BX #DGLW26</t>
  </si>
  <si>
    <t>05/04/2026</t>
  </si>
  <si>
    <t>2232 THE HOME DEPOT SHAWNEE KS XXXX1036</t>
  </si>
  <si>
    <t>1017358490-002</t>
  </si>
  <si>
    <t>CT InsulPure R11 UNF SC CPRO-ACR and CT InsulPure R19 UNF CPRO-ACR</t>
  </si>
  <si>
    <t>4625715813</t>
  </si>
  <si>
    <t>FIRESTOP JOINT SPRAY CFS-SP WB RED</t>
  </si>
  <si>
    <t>4625875229</t>
  </si>
  <si>
    <t>Freight</t>
  </si>
  <si>
    <t>FS-ONE MAX 20OZ FOIL (1 CASE) FSONE-MAX 20 OZ FOIL</t>
  </si>
  <si>
    <t>HOMEDEPOT.COM reorder of glass door</t>
  </si>
  <si>
    <t>FA0002424110-002</t>
  </si>
  <si>
    <t>Interior doors and primed finger joint S4S for construction needs.</t>
  </si>
  <si>
    <t>05/20/2026</t>
  </si>
  <si>
    <t>FA0002451060-001</t>
  </si>
  <si>
    <t>Interior double doors, including slab, finish, hardware, and accessories.</t>
  </si>
  <si>
    <t>05/03/2026</t>
  </si>
  <si>
    <t>LOWES #X0907* appliances 211, 311 &amp; 317</t>
  </si>
  <si>
    <t>0000408517-001</t>
  </si>
  <si>
    <t>MO SALES TAX</t>
  </si>
  <si>
    <t>=PETTYPRODUCTS,INC XXX-XXX-0028 KS XXXX1077</t>
  </si>
  <si>
    <t>PO 2231 THE HOME DEPOT KANSAS CITY MO XXXX1036</t>
  </si>
  <si>
    <t>1016920315-001</t>
  </si>
  <si>
    <t>PO 2242</t>
  </si>
  <si>
    <t>1016883646-001</t>
  </si>
  <si>
    <t>1016818546-001</t>
  </si>
  <si>
    <t>PO 2242- Materials</t>
  </si>
  <si>
    <t>1016820077-001</t>
  </si>
  <si>
    <t>PO 2242 - Materials (2nd Invoice)</t>
  </si>
  <si>
    <t>PO 2258 4 STATE SUPPLY LENEXLENEXA KS XXXX1036</t>
  </si>
  <si>
    <t>PO 2260 THE HOME DEPOT OLATHE KS XXXX1036 LOWE'S LIBERTY MO XXXX1044</t>
  </si>
  <si>
    <t>PO 2270 THE HOME DEPOT 2201 OLATHE KS XXXX1036 LOWE'S LIBERTY MO XXXX1044</t>
  </si>
  <si>
    <t>PO 2272 THE HOME DEPOT OVERLAND PARK KS XXXX1036 LOWE'S LIBERTY MO XXXX1044</t>
  </si>
  <si>
    <t>03/17/2026</t>
  </si>
  <si>
    <t>PO 2275 4 STATE SUPPLY LENEXLENEXA KS XXXX1036</t>
  </si>
  <si>
    <t>PO 2276 THE HOME DEPOT 2201 OLATHE KS XXXX1036 LOWE'S LIBERTY MO XXXX1044</t>
  </si>
  <si>
    <t>1017379006-001</t>
  </si>
  <si>
    <t>PO 2284 - Various construction materials including gypsum boards, lumber, plywood, insulation, fasteners, and tools for building and finishing projects.</t>
  </si>
  <si>
    <t>PO 2294 WESTLAKE HARDWARE #0LENEXA KS XXXX1036</t>
  </si>
  <si>
    <t>PO 2295 THE HOME DEPOT SHAWNEE KS XXXX1036 LOWE'S LIBERTY MO XXXX1044</t>
  </si>
  <si>
    <t>04/13/2026</t>
  </si>
  <si>
    <t>PO 2303 WESTLAKE HARDWARE #0LENEXA KS XXXX1036</t>
  </si>
  <si>
    <t>PO 2337 THE HOME DEPOT LEAVENWORTH KS XXXX1036</t>
  </si>
  <si>
    <t>S0104POP 1X4 S4S POPLAR 8/10'</t>
  </si>
  <si>
    <t>S0106POP 1X6 S4S POPLAR 5/10'</t>
  </si>
  <si>
    <t>S0202POP 2X2 S4S POPLAR 2/10'</t>
  </si>
  <si>
    <t>S8/4ROAK 8/4 FAS RED OAK S2S1ESLR 1-5/8" THICK</t>
  </si>
  <si>
    <t>1017358490-001</t>
  </si>
  <si>
    <t>Sheetrock, LightRoc, plywood, J-Runner, studs, and Thermafiber for construction needs.</t>
  </si>
  <si>
    <t>SPEED STRIPS CP 767 (1 HR) 36" X 0.625" X 2"</t>
  </si>
  <si>
    <t>SPEED STRIPS CP 767 (2 HR) 36" X 1.25" X 2"</t>
  </si>
  <si>
    <t>42864</t>
  </si>
  <si>
    <t>Tack Mats, 24"x36", 30/pkg, 4/Cs 120 Sheets Total</t>
  </si>
  <si>
    <t>THE HOME DEPOT #2213 broken glass door returned</t>
  </si>
  <si>
    <t>THE HOME DEPOT 2213 SHAWNEE KS XXXX1119 LOWE'S LIBERTY MO XXXX1044</t>
  </si>
  <si>
    <t>04/20/2026</t>
  </si>
  <si>
    <t>05/13/2026</t>
  </si>
  <si>
    <t>Total Tax</t>
  </si>
  <si>
    <t>03/18/2026</t>
  </si>
  <si>
    <t>Amico Ceiling Fans with Lights, 42 inch Low Profile Ceiling Fan with Light and Remote Control, Flush Mount, Reversible, 3CCT, Dimmable, Noiseless, White Ceiling Fan for Bedroom, Indoor/Outdoor Use (includes tax)</t>
  </si>
  <si>
    <t>2317</t>
  </si>
  <si>
    <t>Hillman 100 Pcs Drywall Screws (#6 x 1") | Phillips Bugle Head Fine Thread Self-Drilling Screws | Black Phosphate Carbon Steel Fasteners for Drywall to Metal Stud Interior Construction (includes tax)</t>
  </si>
  <si>
    <t>HOMEDEPOT.COM partial shipment hardware</t>
  </si>
  <si>
    <t>05/12/2026</t>
  </si>
  <si>
    <t>PO 2339 LOWE'S OLATHE KS XXXX1036</t>
  </si>
  <si>
    <t>The Hillman Group 47110 6 x 1-Inch Self Drilling Drywall Screw Number 2 Self Drilling Point, Black (includes tax)</t>
  </si>
  <si>
    <t>THE HOME DEPOT #2216 partial shipment hardware</t>
  </si>
  <si>
    <t>THE HOME DEPOT #8460, 7 - doors</t>
  </si>
  <si>
    <t>21004K-003</t>
  </si>
  <si>
    <t>DRAW REQUEST 003</t>
  </si>
  <si>
    <t>J206 - 1</t>
  </si>
  <si>
    <t>FROM DRAW REQUEST BILLING</t>
  </si>
  <si>
    <t>J206-02</t>
  </si>
  <si>
    <t>IN *MCGLINN HEATING AND C</t>
  </si>
  <si>
    <t>Installed boxes, lighting, wiring for fire alarm, phone, cable, sub panels, and demo work for new construction.</t>
  </si>
  <si>
    <t>J206 #001</t>
  </si>
  <si>
    <t>J206 - #003</t>
  </si>
  <si>
    <t>J206-001-May</t>
  </si>
  <si>
    <t>Painting/VWC work on the contract amount for the Lakeview Village Heritage Units.</t>
  </si>
  <si>
    <t>J206-002</t>
  </si>
  <si>
    <t>Plumbing rough-in and fixtures for different sections of the project</t>
  </si>
  <si>
    <t>05/31/2026</t>
  </si>
  <si>
    <t>30202-003 - J206</t>
  </si>
  <si>
    <t>Plumbing rough-in and fixtures for units A211, A311, and A317, including a change order.</t>
  </si>
  <si>
    <t>05/21/2026</t>
  </si>
  <si>
    <t>21004K*04 - J206</t>
  </si>
  <si>
    <t>This includes design, materials, and labor for the fire sprinkler system, covering both A211 and A311/A327 sections.</t>
  </si>
  <si>
    <t>21004K*05 -  J206</t>
  </si>
  <si>
    <t>This includes the design, materials, and labor for A211, A311, and A327.</t>
  </si>
  <si>
    <t>TOTAL EARNED LESS RETAINAGE</t>
  </si>
  <si>
    <t>HOMEDEPOT.COM change order door 311A</t>
  </si>
  <si>
    <t>1931</t>
  </si>
  <si>
    <t>29 Hrs - 4/20-4/23</t>
  </si>
  <si>
    <t>1930</t>
  </si>
  <si>
    <t>32 Hrs @ J206 - 4/20-4/23</t>
  </si>
  <si>
    <t>Bruce Thompson Last Check</t>
  </si>
  <si>
    <t>Final Check for Jeff Cavenar</t>
  </si>
  <si>
    <t>1928</t>
  </si>
  <si>
    <t>Last check - 40 hrs</t>
  </si>
  <si>
    <t>Steve Malone Last Check</t>
  </si>
  <si>
    <t>Total for 206 - LVV Heritage - 211A, 311A &amp; 317A</t>
  </si>
  <si>
    <t>207 - Stowers 1st Corridor Ceilings</t>
  </si>
  <si>
    <t>FOUNDATION BUILD, ECHECKPAY PO 2263</t>
  </si>
  <si>
    <t>Total for 207 - Stowers 1st Corridor Ceilings</t>
  </si>
  <si>
    <t>Insurance - Performance Bond COGS</t>
  </si>
  <si>
    <t>208 - Park Hill 2026</t>
  </si>
  <si>
    <t>CYB827731</t>
  </si>
  <si>
    <t>Bond receipt Check #: 1923 Total Due for This Invoice</t>
  </si>
  <si>
    <t>5892915</t>
  </si>
  <si>
    <t>United Fire &amp; Casualty Company Policy No. 54246272 *New Contract Bond Obligee: Park Hill School District Bond Amount: $360,220.00 Description: 24-0011 Park Hill School District Aging Facilities Summer 2026 Congress Middle School, Gerner Family Early Education Center, Hawthorn Elementary School Kansas City, MO</t>
  </si>
  <si>
    <t>Total for 208 - Park Hill 2026</t>
  </si>
  <si>
    <t>209 - Capital Electric Fab Shop</t>
  </si>
  <si>
    <t>03/09/2026</t>
  </si>
  <si>
    <t>PO 2269 LOWE'S ROELAND PARK KS XXXX1028 LOWE'S LIBERTY MO XXXX1044</t>
  </si>
  <si>
    <t>982042538-00</t>
  </si>
  <si>
    <t>PO 2304</t>
  </si>
  <si>
    <t>THE HOME DEPOT GLADSTONE MO XXXX1028 LOWE'S LIBERTY MO XXXX1044</t>
  </si>
  <si>
    <t>982041618-00</t>
  </si>
  <si>
    <t>Utility L angle, fire-treated non-combustible lumber, and wafer-head fine-thread framing screws.</t>
  </si>
  <si>
    <t>982043416-00</t>
  </si>
  <si>
    <t>PO 2314 AMAZON.COM AMZN.COM/BILL WA XXXX1028</t>
  </si>
  <si>
    <t>2299</t>
  </si>
  <si>
    <t>PO 2299 - Stanley FBB179 5X5 26D STL Door Hinge, Satin Chrome, Box of 1, Steel, 5" Height (includes tax)</t>
  </si>
  <si>
    <t>209 - Capital electric Fab Shop</t>
  </si>
  <si>
    <t>Total for 209 - Capital Electric Fab Shop</t>
  </si>
  <si>
    <t>210 - Benedictine Library Toilet Partitions</t>
  </si>
  <si>
    <t>04/30/2026</t>
  </si>
  <si>
    <t>PO 2326 MENARDS ST. JOSEPH MST. JOSEPH MO XXXX1119</t>
  </si>
  <si>
    <t>mislabeled in adp no job - benedictine job</t>
  </si>
  <si>
    <t>Total for 210 - Benedictine Library Toilet Partitions</t>
  </si>
  <si>
    <t>211 - Edward Jones Roller Shades</t>
  </si>
  <si>
    <t>Total for 211 - Edward Jones Roller Shades</t>
  </si>
  <si>
    <t>212 - LPS Lewis &amp; Clark Restroom Reno</t>
  </si>
  <si>
    <t>USI INSURANCE SV BRIGHTEN BUILDE ACH WITHDRAWAL USI INSURANCE SV BRIGHTEN BUILDERS LLC ACH DEBIT DRAFTS 31173465</t>
  </si>
  <si>
    <t>1765</t>
  </si>
  <si>
    <t>Job materials, including toilet accessories.</t>
  </si>
  <si>
    <t>Total for 212 - LPS Lewis &amp; Clark Restroom Reno</t>
  </si>
  <si>
    <t>213 - KUMC ORR Major Access Doors</t>
  </si>
  <si>
    <t>PO 2277 - Access Doors (2)</t>
  </si>
  <si>
    <t>Total for 213 - KUMC ORR Major Access Doors</t>
  </si>
  <si>
    <t>214 - Hovey Williams LLP - Ceiling Access</t>
  </si>
  <si>
    <t>PO 2278 SP 1800CEILING WEST BABYLON NY XXXX1028</t>
  </si>
  <si>
    <t>Total for 214 - Hovey Williams LLP - Ceiling Access</t>
  </si>
  <si>
    <t>215 - 2306 Visitor Center</t>
  </si>
  <si>
    <t>0000403790-001</t>
  </si>
  <si>
    <t>16"x12' Hardie Primed Textured Solid Soffit SPECIAL ORDER / NO RETURNS / NO CANCELLATIONS</t>
  </si>
  <si>
    <t>24"x8' Hardie Primed Textured Solid Soffit SPECIAL ORDER / NO RETURNS / NO CANCELLATIONS</t>
  </si>
  <si>
    <t>3/4"x11-1/4" Hardie Arctic White Textured Trim SPECIAL ORDER / NO RETURNS / NO CANCELLATIONS 7/12'</t>
  </si>
  <si>
    <t>3/4"x5-1/2" Hardie Arctic White Textured Trim SPECIAL ORDER / NO RETURNS / NO CANCELLATIONS 19/12'</t>
  </si>
  <si>
    <t>3/4"x7-1/4" Hardie Arctic White Textured Trim SPECIAL ORDER / NO RETURNS / NO CANCELLATIONS 10/12'</t>
  </si>
  <si>
    <t>4X8 1/4" Hardie Primed Textured Solid Soffit</t>
  </si>
  <si>
    <t>Hardie Night Gray Straight Edge Shingles SPECIAL ORDER / NO RETURNS / NO CANCELLATIONS</t>
  </si>
  <si>
    <t>PO 2238 HE HOME DEPOT KANSAS CITY MO XXXX1051</t>
  </si>
  <si>
    <t>Total for 215 - 2306 Visitor Center</t>
  </si>
  <si>
    <t>216 - Unilever Phase II Demo</t>
  </si>
  <si>
    <t>PO 2293 THE HOME DEPOT KANSAS CITY MO XXXX1119 LOWE'S LIBERTY MO XXXX1044</t>
  </si>
  <si>
    <t>1017414313-001</t>
  </si>
  <si>
    <t>Tools, anchors, insulation, bags, tape, and corner beads for construction projects.</t>
  </si>
  <si>
    <t>WO 1327</t>
  </si>
  <si>
    <t>WO 1327 - 216 Unilever (5 hours t&amp;m)</t>
  </si>
  <si>
    <t>WO 1388</t>
  </si>
  <si>
    <t>WO 1388 - Original C4 contract</t>
  </si>
  <si>
    <t>Total for 216 - Unilever Phase II Demo</t>
  </si>
  <si>
    <t>218 - Dole Grand Jury Room - Water Damage</t>
  </si>
  <si>
    <t>982042799-00</t>
  </si>
  <si>
    <t>ARM CIRRUS 2X2X3/4 ANG TEG 15/16" (48') WH</t>
  </si>
  <si>
    <t>EJ WELCH CO - EARTH EARTH CITY MO XXXX1028</t>
  </si>
  <si>
    <t>PO 2292 ABC SUPPLY INTERIORSKANSAS CITY MO XXXX1119</t>
  </si>
  <si>
    <t>PO 2307 THE SHERWIN-WILLIAMSCLEVELAND OH XXXX1028</t>
  </si>
  <si>
    <t>04/14/2026</t>
  </si>
  <si>
    <t>PO 2308 THE SHERWIN-WILLIAMSCLEVELAND OH XXXX1028</t>
  </si>
  <si>
    <t>PO 2309 LOWE'S INDEPENDENCE MO XXXX1028</t>
  </si>
  <si>
    <t>PO 2324 THE SHERWIN-WILLIAMSCLEVELAND OH XXXX1028</t>
  </si>
  <si>
    <t>SUMMIT FLOORING SUPPLEES SUMMIT MO XXXX1028</t>
  </si>
  <si>
    <t>SUMMIT FLOORING SUPPLY PO 2322 roll of base</t>
  </si>
  <si>
    <t>1017591713-001</t>
  </si>
  <si>
    <t>USG Mars SLT 48SF White 12/CT</t>
  </si>
  <si>
    <t>Total for 218 - Dole Grand Jury Room - Water Damage</t>
  </si>
  <si>
    <t>219 - T&amp;M Partitions @ Fox Ridge</t>
  </si>
  <si>
    <t>LOWE'S ROELAND PARK KS XXXX1028</t>
  </si>
  <si>
    <t>Total for 219 - T&amp;M Partitions @ Fox Ridge</t>
  </si>
  <si>
    <t>221 - Whitaker USMS Vault Door</t>
  </si>
  <si>
    <t>Total for 221 - Whitaker USMS Vault Door</t>
  </si>
  <si>
    <t>Carolane</t>
  </si>
  <si>
    <t>Ferguson</t>
  </si>
  <si>
    <t>FACTORY DRCT APP 3323 - tub</t>
  </si>
  <si>
    <t>FLOOR AND DECOR 355 Shower backer and Niche - guest</t>
  </si>
  <si>
    <t>KING OF FANS</t>
  </si>
  <si>
    <t>THE HOME DEPOT 3008 Carolane</t>
  </si>
  <si>
    <t>THE HOME DEPOT DALLAS TX XXXX1002</t>
  </si>
  <si>
    <t>05/02/2026</t>
  </si>
  <si>
    <t>09/14/2025</t>
  </si>
  <si>
    <t>AMAZON MKTPL*CE8EE0083 carolane</t>
  </si>
  <si>
    <t>Ensenior 48 Pack 4 Inch LED Recessed Light, Dimmable, 2700K-5000K 5CCT, 750LM High Brightness, 9W 120V, Damp Rated, Ultra-Thin Canless Wafer Ceiling Light - ETL &amp; FCC &amp; IC (includes tax)</t>
  </si>
  <si>
    <t>LOWE'S SHAWNEE KS XXXX1028</t>
  </si>
  <si>
    <t>01/24/2026</t>
  </si>
  <si>
    <t>04/18/2026</t>
  </si>
  <si>
    <t>THE HOME DEPOT #3008 ceiling fan returns</t>
  </si>
  <si>
    <t>THE HOME DEPOT #3008 partial order delivery</t>
  </si>
  <si>
    <t>02/14/2026</t>
  </si>
  <si>
    <t>THE HOME DEPOT #3008 returned shower faucet</t>
  </si>
  <si>
    <t>THE HOME DEPOT 6816</t>
  </si>
  <si>
    <t>03/08/2026</t>
  </si>
  <si>
    <t>THE HOME DEPOT SHAWNEE KS XXXX1101</t>
  </si>
  <si>
    <t>HOMEDEPOT.COM partial order delivery</t>
  </si>
  <si>
    <t>05/16/2026</t>
  </si>
  <si>
    <t>THE HOME DEPOT 3008 carolane</t>
  </si>
  <si>
    <t>Colton at Kims</t>
  </si>
  <si>
    <t>Colton At Kim's</t>
  </si>
  <si>
    <t>Total for Carolane</t>
  </si>
  <si>
    <t>Office</t>
  </si>
  <si>
    <t>Bags Boards</t>
  </si>
  <si>
    <t>Brighten Bags Boards YOUNG SIGN CO INC 3TLEAVENWORTH KS XXXX-XXXXXX-X1028</t>
  </si>
  <si>
    <t>Snooch's Custom's Printing LLC</t>
  </si>
  <si>
    <t>Emroidery for AJ Hats and Shirts</t>
  </si>
  <si>
    <t>Sticker You</t>
  </si>
  <si>
    <t>Magnets for trucks - STICKERYOU.COM</t>
  </si>
  <si>
    <t>The Studio</t>
  </si>
  <si>
    <t>Patches for shirts and hats THESTUDIO</t>
  </si>
  <si>
    <t>Print PPS</t>
  </si>
  <si>
    <t>01/17/2024</t>
  </si>
  <si>
    <t>PRINTPPS.COM PAPER</t>
  </si>
  <si>
    <t>Southwest</t>
  </si>
  <si>
    <t>Kim Flight Southwest Airlines DALLAS TX XXXX-XXXXXX-X1002</t>
  </si>
  <si>
    <t>KIM FLIGHT Southwest Airlines DALLAS TX XXXX-XXXXXX-X1002</t>
  </si>
  <si>
    <t>Kim Flight SOUTHWES XXXXXXXXX5882</t>
  </si>
  <si>
    <t>Kim travel SOUTHWES XXXXXXXXX5653</t>
  </si>
  <si>
    <t>05/09/2024</t>
  </si>
  <si>
    <t>SOUTHWES XXXXXXXXX4710 Kim Travel</t>
  </si>
  <si>
    <t>Total for Airfare</t>
  </si>
  <si>
    <t>First Security Bank</t>
  </si>
  <si>
    <t>FSB Line of credit origination fees</t>
  </si>
  <si>
    <t>James K. Patterson</t>
  </si>
  <si>
    <t>1229</t>
  </si>
  <si>
    <t>Kyle Patterson Christmas Bonus</t>
  </si>
  <si>
    <t>Total for Bonuses</t>
  </si>
  <si>
    <t>MO SEC OF STATE</t>
  </si>
  <si>
    <t>Application of reg as a foreign LLC MO</t>
  </si>
  <si>
    <t>Pearson Vue</t>
  </si>
  <si>
    <t>Contractor License Test Oct 4 WL *VUE*TESTING EXAMBLOOMINGTON MN XXXX-XXXXXX-X1002</t>
  </si>
  <si>
    <t>CONTRACTOR-CTC</t>
  </si>
  <si>
    <t>Online Training course for contractor license CONTRACTOR-CTC RICHMOND VA XXXX-XXXXXX-X1002</t>
  </si>
  <si>
    <t>Corporate Filings LLC</t>
  </si>
  <si>
    <t>Registered Agent Service in Missouri</t>
  </si>
  <si>
    <t>Total for Business licenses</t>
  </si>
  <si>
    <t>32 HWY LIQUORS KANSAS CITY KS XXXX-XXXXXX-X1028</t>
  </si>
  <si>
    <t>08/25/2024</t>
  </si>
  <si>
    <t>GROCERIES 4 LESS 095KANSAS CITY MO XXXX-XXXXXX-X1028</t>
  </si>
  <si>
    <t>QT XXX/QUIKTRIP 5542SHAWNEE KS XXXX-XXXXXX-X1028</t>
  </si>
  <si>
    <t>04/09/2024</t>
  </si>
  <si>
    <t>Berkley Connect &amp; Berkley Specialty Ins Co</t>
  </si>
  <si>
    <t>0220385-20</t>
  </si>
  <si>
    <t>Berkley Specialty Ins. Co</t>
  </si>
  <si>
    <t>Total for Insurance</t>
  </si>
  <si>
    <t>Gus's Fried Chicken</t>
  </si>
  <si>
    <t>Gus's World Famous Fried Chicken</t>
  </si>
  <si>
    <t>Meddys</t>
  </si>
  <si>
    <t>Dinner with Devon MEDDYS PV XXXXX0002 PRAIRIE VILLA KS XXXX-XXXXXX-X1002</t>
  </si>
  <si>
    <t>Domino's Pizza</t>
  </si>
  <si>
    <t>DOMINO'S 6341</t>
  </si>
  <si>
    <t>El Patron</t>
  </si>
  <si>
    <t>05/07/2024</t>
  </si>
  <si>
    <t>Drinks with Nicole Anderson, Vazquez</t>
  </si>
  <si>
    <t>Boulevard Brewing</t>
  </si>
  <si>
    <t>03/27/2024</t>
  </si>
  <si>
    <t>Foreman (Richard)</t>
  </si>
  <si>
    <t>GUS'S FRIED CHICKEN KANSAS CITY KS XXXX-XXXXXX-X1002</t>
  </si>
  <si>
    <t>Terry's Bar &amp; Grill</t>
  </si>
  <si>
    <t>Lunch with CDF - Jeff TST* TERRYS BAR &amp; GRTOPEKA KS XXXX-XXXXXX-X1028</t>
  </si>
  <si>
    <t>MASON JAR XXXXXXXXXXXXX-XXX4102 KS XXXX-XXXXXX-X1028</t>
  </si>
  <si>
    <t>06/20/2024</t>
  </si>
  <si>
    <t>PONAKS MEXICAN KITCHKANSAS CITY MO XXXX-XXXXXX-X1028</t>
  </si>
  <si>
    <t>05/23/2024</t>
  </si>
  <si>
    <t>SUBWAY X1395 KANSAS CITY MO XXXX-XXXXXX-X1028</t>
  </si>
  <si>
    <t>SUSHI UNI</t>
  </si>
  <si>
    <t>Sushi UNI</t>
  </si>
  <si>
    <t>Grinders Stonewall</t>
  </si>
  <si>
    <t>05/30/2024</t>
  </si>
  <si>
    <t>TST* GRINDERS STONEWLENEXA KS XXXX-XXXXXX-X1028</t>
  </si>
  <si>
    <t>TST* THE BIG BISCUITLENEXA KS XXXX-XXXXXX-X1028</t>
  </si>
  <si>
    <t>MED*NEXTCARE URGENT</t>
  </si>
  <si>
    <t>Kyle Eye Injury MED*NEXTCARE URGENT TEMPE AZ XXXX-XXXXXX-X1036</t>
  </si>
  <si>
    <t>Kyle Eye Injury WAL-MART 26 LEAVENWORTH KS XXXX-XXXXXX-X1036</t>
  </si>
  <si>
    <t>Total for Medical Expense</t>
  </si>
  <si>
    <t>Wix</t>
  </si>
  <si>
    <t>WIX.COM</t>
  </si>
  <si>
    <t>WIX.COM XXXXXX1243 Webpage</t>
  </si>
  <si>
    <t>Total for Memberships &amp; subscriptions</t>
  </si>
  <si>
    <t>AMAZON MARKETPLACE NAMZN.COM/BILL WA XXXX-XXXXXX-X1010</t>
  </si>
  <si>
    <t>06/16/2024</t>
  </si>
  <si>
    <t>Michaels</t>
  </si>
  <si>
    <t>Cricut for Tees MICHAELS #XXXX XXX-XXX-4235 TX XXXX-XXXXXX-X1002</t>
  </si>
  <si>
    <t>T-Mobile</t>
  </si>
  <si>
    <t>Ipad TMOBILE WEB ORDER XXX-XXX-5390 WA XXXX-XXXXXX-X1002</t>
  </si>
  <si>
    <t>Cleaning Supplies ect for office DOLLAR GENERAL KANSAS CITY KS XXXX-XXXXXX-X1002</t>
  </si>
  <si>
    <t>COSTCO WHSE #0636 Printer and ink</t>
  </si>
  <si>
    <t>DOLLAR GENERAL KANSAS CITY KS XXXX-XXXXXX-X1028</t>
  </si>
  <si>
    <t>Energy drinks for employees COSTCO WHSE #0349</t>
  </si>
  <si>
    <t>03/17/2024</t>
  </si>
  <si>
    <t>1006</t>
  </si>
  <si>
    <t>Hammermill Printer Paper, Premium Color 28 lb Copy Paper, 11 x 17 - 1 Ream (500 Sheets) - 100 Bright, Made in the USA, 102541R (includes tax)</t>
  </si>
  <si>
    <t>INSTALLNET</t>
  </si>
  <si>
    <t>Office Furniture</t>
  </si>
  <si>
    <t>Paper for office AMAZON.COM AMZN.COM/BILL WA XXXX-XXXXXX-X1028</t>
  </si>
  <si>
    <t>Planner TARGET SHAWNEE KS XXXX-XXXXXX-X1028</t>
  </si>
  <si>
    <t>Cargo Largo</t>
  </si>
  <si>
    <t>PO 1175 CARGO LARGO 0034 INDEPENDENCE MO XXXX-XXXXXX-X1028</t>
  </si>
  <si>
    <t>Deluxe</t>
  </si>
  <si>
    <t>06/04/2024</t>
  </si>
  <si>
    <t>Quickbooks checks and envelopes</t>
  </si>
  <si>
    <t>Amazon Discounts Store</t>
  </si>
  <si>
    <t>07/21/2024</t>
  </si>
  <si>
    <t>SQ *PAYLESS RETAIL</t>
  </si>
  <si>
    <t>08/13/2024</t>
  </si>
  <si>
    <t>WM SUPERCENTER #3014</t>
  </si>
  <si>
    <t>ADP PAYROLL FEES 666281505BRIGHT ACH WITHDRAWAL ADP PAYROLL FEES 666281505BRIGHTEN BUIL ACH DEBIT ADP FEES XXXXXXXX0546</t>
  </si>
  <si>
    <t>ADP PAYROLL FEES 666661393BRIGHT ACH WITHDRAWAL ADP PAYROLL FEES 666661393BRIGHTEN BUIL ACH DEBIT ADP FEES XXXXXXXX5637</t>
  </si>
  <si>
    <t>ADP PAYROLL FEES, ADP FEES</t>
  </si>
  <si>
    <t>Total for Payroll expenses</t>
  </si>
  <si>
    <t>Cell phone allowance</t>
  </si>
  <si>
    <t>Phone Allowance</t>
  </si>
  <si>
    <t>phone reimbursement</t>
  </si>
  <si>
    <t>Total for Phone service</t>
  </si>
  <si>
    <t>Compuprint</t>
  </si>
  <si>
    <t>Work orders 3 part COMPUPRINT XXXXX0001FAIRLESS HILL PA XXXX-XXXXXX-X1002</t>
  </si>
  <si>
    <t>QuickBooks Payments</t>
  </si>
  <si>
    <t>INTUIT *QBooks Online</t>
  </si>
  <si>
    <t>Total for QuickBooks Payments Fees</t>
  </si>
  <si>
    <t>03/14/2024</t>
  </si>
  <si>
    <t>ADP WAGE PAY, WAGE PAY AJ and Kim Office</t>
  </si>
  <si>
    <t>03/08/2024</t>
  </si>
  <si>
    <t>Aj in Office</t>
  </si>
  <si>
    <t>AJ in Office</t>
  </si>
  <si>
    <t>AJ Office</t>
  </si>
  <si>
    <t>AJ OFFICE</t>
  </si>
  <si>
    <t>AJ office work</t>
  </si>
  <si>
    <t>Kim in office</t>
  </si>
  <si>
    <t>Kim in Office</t>
  </si>
  <si>
    <t>Kim In Office</t>
  </si>
  <si>
    <t>Kim Office</t>
  </si>
  <si>
    <t>KIM OFFICE</t>
  </si>
  <si>
    <t>Total for Salaries &amp; wages</t>
  </si>
  <si>
    <t>Constructconnect Services, LLC</t>
  </si>
  <si>
    <t>01/30/2024</t>
  </si>
  <si>
    <t>ConstructConnect /Takeoff</t>
  </si>
  <si>
    <t>Total for Software &amp; apps</t>
  </si>
  <si>
    <t>AJ Union Dues For office work</t>
  </si>
  <si>
    <t>AJ Union Dues to Keep Insurance COMMERCEBANK IMG, CARPESTAMP</t>
  </si>
  <si>
    <t>Deliveries</t>
  </si>
  <si>
    <t>Total for Office</t>
  </si>
  <si>
    <t>Fuel</t>
  </si>
  <si>
    <t>Shop</t>
  </si>
  <si>
    <t>CASEYS GEN'L STORES LEAVENWORTH KS XXXX-XXXXXX-X1036</t>
  </si>
  <si>
    <t>CASEY S #XXXX XX0004LENEXA KS XXXX-XXXXXX-X1028</t>
  </si>
  <si>
    <t>GRAND SLAM CONVENIENKANSAS CITY MO XXXX-XXXXXX-X1028</t>
  </si>
  <si>
    <t>Hy-Vee</t>
  </si>
  <si>
    <t>HY-VEE F&amp;F LENEXA 53LENEXA KS XXXX-XXXXXX-X1028</t>
  </si>
  <si>
    <t>LANSING QUIKE STOP 0LANSING KS XXXX-XXXXXX-X1028</t>
  </si>
  <si>
    <t>06/09/2024</t>
  </si>
  <si>
    <t>MINIT MART EG X71 09LENEXA KS XXXX-XXXXXX-X1028</t>
  </si>
  <si>
    <t>CABLE DAHMER Chevy</t>
  </si>
  <si>
    <t>Oil Change in Chevy</t>
  </si>
  <si>
    <t>QT 163 OUTSIDE/QUIKTKANSAS CITY MO XXXX-XXXXXX-X1010</t>
  </si>
  <si>
    <t>QT 188 OUTSIDE/QUIKTLANSING KS XXXX-XXXXXX-X1002</t>
  </si>
  <si>
    <t>QT 188 OUTSIDE/QUIKTLANSING KS XXXX-XXXXXX-X1036</t>
  </si>
  <si>
    <t>QT 253 INSIDE/QUIKTRLENEXA KS XXXX-XXXXXX-X1028</t>
  </si>
  <si>
    <t>07/04/2024</t>
  </si>
  <si>
    <t>QT 253 OUTSIDE/QUIKTLENEXA KS XXXX-XXXXXX-X1028</t>
  </si>
  <si>
    <t>04/02/2024</t>
  </si>
  <si>
    <t>08/03/2024</t>
  </si>
  <si>
    <t>QT 254 OUTSIDE/QUIKTSHAWNEE KS XXXX-XXXXXX-X1028</t>
  </si>
  <si>
    <t>04/13/2024</t>
  </si>
  <si>
    <t>QT BONNER SPRINGS KS XXXX-XXXXXX-X1028</t>
  </si>
  <si>
    <t>QT GLADSTONE MO XXXX-XXXXXX-X1010</t>
  </si>
  <si>
    <t>07/27/2024</t>
  </si>
  <si>
    <t>QT INDEPENDENCE MO XXXX-XXXXXX-X1036</t>
  </si>
  <si>
    <t>QT KANSAS CITY KS XXXX-XXXXXX-X1028</t>
  </si>
  <si>
    <t>QT KANSAS CITY MO XXXX-XXXXXX-X1028</t>
  </si>
  <si>
    <t>QT LENEXA KS XXXX-XXXXXX-X1028</t>
  </si>
  <si>
    <t>QT OLATHE KS XXXX-XXXXXX-X1028</t>
  </si>
  <si>
    <t>QT PLEASANT VALLEY MO XXXX-XXXXXX-X1028</t>
  </si>
  <si>
    <t>08/20/2024</t>
  </si>
  <si>
    <t>QT XXX/QUIKTRIP 5542KANSAS CITY MO XXXX-XXXXXX-X1028</t>
  </si>
  <si>
    <t>QT XXX/QUIKTRIP 5542LENEXA KS XXXX-XXXXXX-X1028</t>
  </si>
  <si>
    <t>QT XXX/QUIKTRIP 5542SHAWNEE KS XXXX-XXXXXX-X1002</t>
  </si>
  <si>
    <t>RIGHT CHOICE XXX8173CAMERON MO XXXX-XXXXXX-X1028</t>
  </si>
  <si>
    <t>SEI XXXXX XXXX2997 LEAVENWORTH KS XXXX-XXXXXX-X1036</t>
  </si>
  <si>
    <t>SEI XXXXX XXXX8599 SHAWNEE MISSION KS XXXX-XXXXXX-X1028</t>
  </si>
  <si>
    <t>SNAPPY STORE XXX5015EDWARDSVILLE KS XXXX-XXXXXX-X1028</t>
  </si>
  <si>
    <t>PO1044 TRACTOR SUPPLY CO #5BRENTWOOD TN XXXX-XXXXXX-X1028 Mikita 18v metal cutting saw</t>
  </si>
  <si>
    <t>Refund for Cancelled job box locks</t>
  </si>
  <si>
    <t>return on toll boxes</t>
  </si>
  <si>
    <t>1003</t>
  </si>
  <si>
    <t>REW MATERIALS KANSAS CITY KS XXXX-XXXXXX-X1028</t>
  </si>
  <si>
    <t>Arby's</t>
  </si>
  <si>
    <t>ARBYS XXXX 8454 KANSAS CITY MO XXXX-XXXXXX-X1028</t>
  </si>
  <si>
    <t>Phillips 66</t>
  </si>
  <si>
    <t>Drinks for lunch with crew- Mike, Jason and Theng</t>
  </si>
  <si>
    <t>Pigwich</t>
  </si>
  <si>
    <t>Lunch meeting with Mike, Jason and Theng</t>
  </si>
  <si>
    <t>Celtic Fox</t>
  </si>
  <si>
    <t>Lunch with Kyle TST* CELTIC FOX 3005TOPEKA KS XXXX-XXXXXX-X1028</t>
  </si>
  <si>
    <t>Mannys bday lunch PIGWICH Kansas City MO XXXX-XXXXXX-X1028</t>
  </si>
  <si>
    <t>ANTIOCH BAR &amp; GRILL</t>
  </si>
  <si>
    <t>07/13/2024</t>
  </si>
  <si>
    <t>Meeting with Mike Walls ANTIOCH BAR &amp; GRILL KANSAS CITY MO XXXX-XXXXXX-X1028</t>
  </si>
  <si>
    <t>The Other Place</t>
  </si>
  <si>
    <t>TST* THE OTHER PLACEOLATHE KS XXXX-XXXXXX-X1028</t>
  </si>
  <si>
    <t>Other Expense</t>
  </si>
  <si>
    <t>Kyle Materials Delivery</t>
  </si>
  <si>
    <t>Total for Mileage</t>
  </si>
  <si>
    <t>38817</t>
  </si>
  <si>
    <t>ABCO Supply</t>
  </si>
  <si>
    <t>ENVENTOR Fine-tuning Bracket Laser Level Adapter, 1/4"-20 Male Threaded L-Shape Magnetic Pivoting Base with Adjustable Clip for Wall &amp; Ceiling Mounted, 360° Adjustable Support, Height Adjustment (includes tax)</t>
  </si>
  <si>
    <t>Laser Level,Elikliv 5-Point Self-Leveling Laser Level Line Tool with Pulse Mode-200ft Green Laser Range for Indoor/Outdoor Use,Accurate Measurements,Easy to Operate-Ideal for Construction/DIY Projects (includes tax)</t>
  </si>
  <si>
    <t>PO 1210 WESTLAKE HARDWARE #0LENEXA KS XXXX-XXXXXX-X1028</t>
  </si>
  <si>
    <t>AMZN Mktp US*R67YN2D72 Lights for office</t>
  </si>
  <si>
    <t>Batteries TARGET XX3888KANSAS CITY MO XXXX-XXXXXX-X1028</t>
  </si>
  <si>
    <t>Ben Deliveries</t>
  </si>
  <si>
    <t>deliveries</t>
  </si>
  <si>
    <t>Shop 999</t>
  </si>
  <si>
    <t>Shop work</t>
  </si>
  <si>
    <t>Shop Work</t>
  </si>
  <si>
    <t>Theng union pay correction</t>
  </si>
  <si>
    <t>Theng working at AJs</t>
  </si>
  <si>
    <t>07/20/2024</t>
  </si>
  <si>
    <t>2 Scaffolds and Gloves WESTLAKE HARDWARE #011</t>
  </si>
  <si>
    <t>02/25/2024</t>
  </si>
  <si>
    <t>AMAZON MARKETPLACE NAMZN.COM/BILL WA XXXX-XXXXXX-X1028</t>
  </si>
  <si>
    <t>03/09/2024</t>
  </si>
  <si>
    <t>CARGO LARGO</t>
  </si>
  <si>
    <t>09/14/2024</t>
  </si>
  <si>
    <t>trailer</t>
  </si>
  <si>
    <t>GADFISH Spare Tire Carrier,Spare Tire Mount Boat Trailer Carrier Bracket,Heavy Duty Lock Holder,Fits 4 &amp; 5 &amp; 6 Lugs Trailer Wheels on 4", 4.5'', 4.75'', 5'' and 5.5'' Bolt Patterns,Holds up to 150 Lbs (includes tax)</t>
  </si>
  <si>
    <t>HOMEDEPOT.COM XXX-XXX-3376 GA XXXX-XXXXXX-X1002</t>
  </si>
  <si>
    <t>Husky Tool bags THE HOME DEPOT 2213</t>
  </si>
  <si>
    <t>LOVE'S HOME CENTERS, LLC</t>
  </si>
  <si>
    <t>Master Lock 379ATPY Universal Trailer Hitch Lock , Black (includes tax)</t>
  </si>
  <si>
    <t>MINIT MART EG X58 09KANSAS CITY MO XXXX-XXXXXX-X1028</t>
  </si>
  <si>
    <t>National Safety Gear</t>
  </si>
  <si>
    <t>NATIONAL SAFETY GEAR LLC</t>
  </si>
  <si>
    <t>NATIONAL SAFETY GEAR LLC High viz shirts</t>
  </si>
  <si>
    <t>NO PO Entered THE HOME DEPOT OLATHE KS XXXX-XXXXXX-X1028</t>
  </si>
  <si>
    <t>PO1029</t>
  </si>
  <si>
    <t>1046</t>
  </si>
  <si>
    <t>PO1046</t>
  </si>
  <si>
    <t>PO 1054 Safety Equipm</t>
  </si>
  <si>
    <t>PO 1054 Safety Equipment for crew</t>
  </si>
  <si>
    <t>PO1077 THE HOME DEPOT KANSAS CITY MO XXXX-XXXXXX-X1028</t>
  </si>
  <si>
    <t>PO1093 WAL-MART SUPERCENTERKANSAS CITY MO XXXX-XXXXXX-X1028</t>
  </si>
  <si>
    <t>PO1169 THE HOME DEPOT 2202</t>
  </si>
  <si>
    <t>PO 1176 WESTLAKE HARDWARE #0LENEXA KS XXXX-XXXXXX-X1028</t>
  </si>
  <si>
    <t>07/29/2024</t>
  </si>
  <si>
    <t>PO 1197 TOTAL TOOL SUPPLY-KAKANSAS CITY KS XXXX-XXXXXX-X1028</t>
  </si>
  <si>
    <t>Harry J. Epstein Company</t>
  </si>
  <si>
    <t>PO 1225 HARRY J. EPSTEIN CO.KANSAS CITY MO XXXX-XXXXXX-X1028</t>
  </si>
  <si>
    <t>PO1362 AMAZON MARKETPLACE NAMZN.COM/BILL WA XXXX1028</t>
  </si>
  <si>
    <t>All Pad Locks</t>
  </si>
  <si>
    <t>Refund for order change SP ALLPADLOCKS.COM</t>
  </si>
  <si>
    <t>SP ALLPADLOCKS.COM</t>
  </si>
  <si>
    <t>Sullivan Brim Co</t>
  </si>
  <si>
    <t>SP SBRIMCO-TX Hats</t>
  </si>
  <si>
    <t>THE HOME DEPOT 2202 Hard Hat</t>
  </si>
  <si>
    <t>1014</t>
  </si>
  <si>
    <t>08/27/2024</t>
  </si>
  <si>
    <t>Trailer decking and screws THE HOME DEPOT DALLAS TX XXXX-XXXXXX-X1002</t>
  </si>
  <si>
    <t>Walgreens ATM withdraw</t>
  </si>
  <si>
    <t>7ELEVEN-FCTI 16801 GUDGELL, INDEPENDENCE, MOUS ATM withdraw for rock dolly</t>
  </si>
  <si>
    <t>atm withdraw 7ELEVEN-FCTI 11724 QUIVERA RD, OVERLAND PARK, KSUS HEPA Vac</t>
  </si>
  <si>
    <t>ATM withdraw. 7ELEVEN-FCTI 16675 MIDLAND DR, SHAWNEE, KSUS</t>
  </si>
  <si>
    <t>CENEX C-STORE OPERATKANSAS CITY KS XXXX-XXXXXX-X1002</t>
  </si>
  <si>
    <t>06/02/2024</t>
  </si>
  <si>
    <t>Charger</t>
  </si>
  <si>
    <t>Cooler for field COSTCO WHSE #0636</t>
  </si>
  <si>
    <t>03/13/2024</t>
  </si>
  <si>
    <t>COSTCO WHSE #0349</t>
  </si>
  <si>
    <t>dewalt toolbox</t>
  </si>
  <si>
    <t>1007</t>
  </si>
  <si>
    <t>HARBOR FREIGHT TOOLSSHAWNEE KS XXXX-XXXXXX-X1028</t>
  </si>
  <si>
    <t>04/17/2024</t>
  </si>
  <si>
    <t>HILTI INC</t>
  </si>
  <si>
    <t>Hook and Hanger</t>
  </si>
  <si>
    <t>HOOKANDHANGERCOM - Viper Pole</t>
  </si>
  <si>
    <t>05/11/2024</t>
  </si>
  <si>
    <t>Ladder Rack</t>
  </si>
  <si>
    <t>1022</t>
  </si>
  <si>
    <t>MADE IN USA TOOLS</t>
  </si>
  <si>
    <t>04/30/2024</t>
  </si>
  <si>
    <t>MADE IN USA TOOLS, LLC</t>
  </si>
  <si>
    <t>NO PO or receipt did not populate from Amx CC bill attached</t>
  </si>
  <si>
    <t>03/04/2024</t>
  </si>
  <si>
    <t>Outbound Check Bill tools</t>
  </si>
  <si>
    <t>PAI ISO PAI ISO, KANSAS CITY, MO tools</t>
  </si>
  <si>
    <t>1045</t>
  </si>
  <si>
    <t>PO1045</t>
  </si>
  <si>
    <t>PO 1049</t>
  </si>
  <si>
    <t>PO1085</t>
  </si>
  <si>
    <t>PO 1226 HARRY J. EPSTEIN CO.KANSAS CITY MO XXXX-XXXXXX-X1028</t>
  </si>
  <si>
    <t>PO1246 LOWE'S SHAWNEE KS XXXX-XXXXXX-X1028</t>
  </si>
  <si>
    <t>Scaffolds from Dusty</t>
  </si>
  <si>
    <t>1071</t>
  </si>
  <si>
    <t>THE HOME DEPOT #2213 - Milwaukee Packout</t>
  </si>
  <si>
    <t>1066</t>
  </si>
  <si>
    <t>THE HOME DEPOT 3021 KANSAS CITY MO XXXX-XXXXXX-X1028</t>
  </si>
  <si>
    <t>1002</t>
  </si>
  <si>
    <t>THE HOME DEPOT MERRIAM KS XXXX-XXXXXX-X1028</t>
  </si>
  <si>
    <t>Toys for trucks</t>
  </si>
  <si>
    <t>TOYS FOR TRUCKS OLATOLATHE KS XXXX-XXXXXX-X1028</t>
  </si>
  <si>
    <t>AJ Oil Change CABLE DAHMER OF KANSKANSAS CITY MO XXXX-XXXXXX-X1028</t>
  </si>
  <si>
    <t>AutoZone</t>
  </si>
  <si>
    <t>08/11/2024</t>
  </si>
  <si>
    <t>AUTOZONE XXXX XX0004LENEXA KS XXXX-XXXXXX-X1028</t>
  </si>
  <si>
    <t>Total for Vehicle expenses</t>
  </si>
  <si>
    <t>Ben Delivering Materials</t>
  </si>
  <si>
    <t>Total for Shop</t>
  </si>
  <si>
    <t>Vendor</t>
  </si>
  <si>
    <t>Transaction type</t>
  </si>
  <si>
    <t>Date</t>
  </si>
  <si>
    <t>Num</t>
  </si>
  <si>
    <t>Distribution account type</t>
  </si>
  <si>
    <t>Class</t>
  </si>
  <si>
    <t>Memo/Description</t>
  </si>
  <si>
    <t>Amount</t>
  </si>
  <si>
    <t xml:space="preserve"> Wednesday, May 27, 2026 10:40 AM GMT-05:00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</si>
</sst>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quot;$&quot;#,##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38">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0" fillId="0" borderId="0" xfId="0" applyAlignment="1">
      <alignment horizontal="left" indent="1"/>
    </xf>
    <xf numFmtId="0" fontId="3" fillId="0" borderId="0" xfId="0" applyFont="1" applyAlignment="1">
      <alignment horizontal="left" indent="1"/>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indent="1"/>
    </xf>
    <xf numFmtId="0" fontId="4" fillId="0" borderId="0" xfId="0" applyFont="1" applyAlignment="1">
      <alignment horizontal="left" indent="1"/>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2" fillId="0" borderId="0" xfId="0" applyFont="1" applyAlignment="1">
      <alignment horizontal="left"/>
    </xf>
    <xf numFmtId="0" fontId="4" fillId="0" borderId="0" xfId="0" applyFont="1" applyAlignment="1">
      <alignment horizontal="left"/>
    </xf>
    <xf numFmtId="177" fontId="3" fillId="0" borderId="0" xfId="0" applyNumberFormat="1" applyFont="1"/>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8" fillId="0" borderId="1" xfId="20" applyFont="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177" fontId="3" fillId="0" borderId="0" xfId="0" applyNumberFormat="1" applyFont="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4" fillId="0" borderId="0" xfId="0" applyFont="1" applyAlignment="1">
      <alignment horizontal="left" wrapTex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I4697"/>
  <sheetViews>
    <sheetView tabSelected="1" workbookViewId="0" topLeftCell="A1"/>
  </sheetViews>
  <sheetFormatPr defaultColWidth="11.255" defaultRowHeight="16"/>
  <cols>
    <col min="1" max="1" width="51.375" style="25" customWidth="1"/>
    <col min="2" max="2" width="36.75" style="25" customWidth="1"/>
    <col min="3" max="3" width="16.125" style="25" customWidth="1"/>
    <col min="4" max="4" width="9.25" style="25" customWidth="1"/>
    <col min="5" max="5" width="18.625" style="25" customWidth="1"/>
    <col min="6" max="6" width="22.125" style="25" customWidth="1"/>
    <col min="7" max="7" width="7.5" style="25" customWidth="1"/>
    <col min="8" max="8" width="86.625" style="25" customWidth="1"/>
    <col min="9" max="9" width="17" style="25" customWidth="1"/>
  </cols>
  <sheetData>
    <row r="1" spans="1:1" ht="16">
      <c r="A1" s="30" t="s">
        <v>0</v>
      </c>
    </row>
    <row r="2" spans="1:1" ht="16">
      <c r="A2" s="31" t="s">
        <v>1</v>
      </c>
    </row>
    <row r="3" spans="1:1" ht="16">
      <c r="A3" s="32" t="s">
        <v>2</v>
      </c>
    </row>
    <row r="5" spans="2:9" ht="16">
      <c r="B5" s="26" t="s">
        <v>3677</v>
      </c>
      <c r="C5" s="26" t="s">
        <v>3678</v>
      </c>
      <c r="D5" s="26" t="s">
        <v>3679</v>
      </c>
      <c r="E5" s="26" t="s">
        <v>3680</v>
      </c>
      <c r="F5" s="26" t="s">
        <v>3681</v>
      </c>
      <c r="G5" s="26" t="s">
        <v>3682</v>
      </c>
      <c r="H5" s="26" t="s">
        <v>3683</v>
      </c>
      <c r="I5" s="26" t="s">
        <v>3684</v>
      </c>
    </row>
    <row r="6" spans="1:1" ht="16">
      <c r="A6" s="33" t="s">
        <v>3</v>
      </c>
    </row>
    <row r="7" spans="1:1" ht="16">
      <c r="A7" s="34" t="s">
        <v>4</v>
      </c>
    </row>
    <row r="8" spans="2:9" ht="16">
      <c r="B8" s="24" t="s">
        <v>5</v>
      </c>
      <c r="C8" s="24" t="s">
        <v>6</v>
      </c>
      <c r="D8" s="24" t="s">
        <v>7</v>
      </c>
      <c r="E8" s="24" t="s">
        <v>8</v>
      </c>
      <c r="F8" s="24" t="s">
        <v>9</v>
      </c>
      <c r="G8" s="24" t="s">
        <v>8</v>
      </c>
      <c r="H8" s="24" t="s">
        <v>10</v>
      </c>
      <c r="I8" s="27">
        <v>64.28</v>
      </c>
    </row>
    <row r="9" spans="1:9" ht="16">
      <c r="A9" s="35" t="s">
        <v>11</v>
      </c>
      <c r="I9" s="28">
        <f>I7+I8</f>
        <v>64.28</v>
      </c>
    </row>
    <row r="10" spans="1:1" ht="16">
      <c r="A10" s="34" t="s">
        <v>4</v>
      </c>
    </row>
    <row r="11" spans="2:9" ht="16">
      <c r="B11" s="24" t="s">
        <v>12</v>
      </c>
      <c r="C11" s="24" t="s">
        <v>13</v>
      </c>
      <c r="D11" s="24" t="s">
        <v>14</v>
      </c>
      <c r="E11" s="24" t="s">
        <v>15</v>
      </c>
      <c r="F11" s="24" t="s">
        <v>9</v>
      </c>
      <c r="G11" s="24" t="s">
        <v>8</v>
      </c>
      <c r="H11" s="24" t="s">
        <v>16</v>
      </c>
      <c r="I11" s="27">
        <v>415.2</v>
      </c>
    </row>
    <row r="12" spans="2:9" ht="16">
      <c r="B12" s="24" t="s">
        <v>17</v>
      </c>
      <c r="C12" s="24" t="s">
        <v>6</v>
      </c>
      <c r="D12" s="24" t="s">
        <v>18</v>
      </c>
      <c r="E12" s="24" t="s">
        <v>19</v>
      </c>
      <c r="F12" s="24" t="s">
        <v>9</v>
      </c>
      <c r="G12" s="24" t="s">
        <v>8</v>
      </c>
      <c r="H12" s="24" t="s">
        <v>20</v>
      </c>
      <c r="I12" s="27">
        <v>222.17</v>
      </c>
    </row>
    <row r="13" spans="2:9" ht="16">
      <c r="B13" s="24" t="s">
        <v>21</v>
      </c>
      <c r="C13" s="24" t="s">
        <v>13</v>
      </c>
      <c r="D13" s="24" t="s">
        <v>22</v>
      </c>
      <c r="E13" s="24" t="s">
        <v>23</v>
      </c>
      <c r="F13" s="24" t="s">
        <v>9</v>
      </c>
      <c r="G13" s="24" t="s">
        <v>8</v>
      </c>
      <c r="H13" s="24" t="s">
        <v>24</v>
      </c>
      <c r="I13" s="27">
        <v>104.58</v>
      </c>
    </row>
    <row r="14" spans="2:9" ht="16">
      <c r="B14" s="24" t="s">
        <v>21</v>
      </c>
      <c r="C14" s="24" t="s">
        <v>13</v>
      </c>
      <c r="D14" s="24" t="s">
        <v>25</v>
      </c>
      <c r="E14" s="24" t="s">
        <v>26</v>
      </c>
      <c r="F14" s="24" t="s">
        <v>9</v>
      </c>
      <c r="G14" s="24" t="s">
        <v>8</v>
      </c>
      <c r="H14" s="24" t="s">
        <v>24</v>
      </c>
      <c r="I14" s="27">
        <v>539.38</v>
      </c>
    </row>
    <row r="15" spans="2:9" ht="16">
      <c r="B15" s="24" t="s">
        <v>21</v>
      </c>
      <c r="C15" s="24" t="s">
        <v>13</v>
      </c>
      <c r="D15" s="24" t="s">
        <v>27</v>
      </c>
      <c r="E15" s="24" t="s">
        <v>28</v>
      </c>
      <c r="F15" s="24" t="s">
        <v>9</v>
      </c>
      <c r="G15" s="24" t="s">
        <v>8</v>
      </c>
      <c r="H15" s="24" t="s">
        <v>24</v>
      </c>
      <c r="I15" s="27">
        <v>5.62</v>
      </c>
    </row>
    <row r="16" spans="2:9" ht="16">
      <c r="B16" s="24" t="s">
        <v>21</v>
      </c>
      <c r="C16" s="24" t="s">
        <v>13</v>
      </c>
      <c r="D16" s="24" t="s">
        <v>29</v>
      </c>
      <c r="E16" s="24" t="s">
        <v>30</v>
      </c>
      <c r="F16" s="24" t="s">
        <v>9</v>
      </c>
      <c r="G16" s="24" t="s">
        <v>8</v>
      </c>
      <c r="H16" s="24" t="s">
        <v>24</v>
      </c>
      <c r="I16" s="27">
        <v>196.33</v>
      </c>
    </row>
    <row r="17" spans="2:9" ht="16">
      <c r="B17" s="24" t="s">
        <v>21</v>
      </c>
      <c r="C17" s="24" t="s">
        <v>13</v>
      </c>
      <c r="D17" s="24" t="s">
        <v>31</v>
      </c>
      <c r="E17" s="24" t="s">
        <v>32</v>
      </c>
      <c r="F17" s="24" t="s">
        <v>9</v>
      </c>
      <c r="G17" s="24" t="s">
        <v>8</v>
      </c>
      <c r="H17" s="24" t="s">
        <v>24</v>
      </c>
      <c r="I17" s="27">
        <v>607.13</v>
      </c>
    </row>
    <row r="18" spans="2:9" ht="16">
      <c r="B18" s="24" t="s">
        <v>21</v>
      </c>
      <c r="C18" s="24" t="s">
        <v>13</v>
      </c>
      <c r="D18" s="24" t="s">
        <v>7</v>
      </c>
      <c r="E18" s="24" t="s">
        <v>33</v>
      </c>
      <c r="F18" s="24" t="s">
        <v>9</v>
      </c>
      <c r="G18" s="24" t="s">
        <v>8</v>
      </c>
      <c r="H18" s="24" t="s">
        <v>24</v>
      </c>
      <c r="I18" s="27">
        <v>384.99</v>
      </c>
    </row>
    <row r="19" spans="2:9" ht="16">
      <c r="B19" s="24" t="s">
        <v>21</v>
      </c>
      <c r="C19" s="24" t="s">
        <v>13</v>
      </c>
      <c r="D19" s="24" t="s">
        <v>34</v>
      </c>
      <c r="E19" s="24" t="s">
        <v>35</v>
      </c>
      <c r="F19" s="24" t="s">
        <v>9</v>
      </c>
      <c r="G19" s="24" t="s">
        <v>8</v>
      </c>
      <c r="H19" s="24" t="s">
        <v>24</v>
      </c>
      <c r="I19" s="27">
        <v>254.64</v>
      </c>
    </row>
    <row r="20" spans="2:9" ht="16">
      <c r="B20" s="24" t="s">
        <v>36</v>
      </c>
      <c r="C20" s="24" t="s">
        <v>6</v>
      </c>
      <c r="D20" s="24" t="s">
        <v>37</v>
      </c>
      <c r="E20" s="24" t="s">
        <v>38</v>
      </c>
      <c r="F20" s="24" t="s">
        <v>9</v>
      </c>
      <c r="G20" s="24" t="s">
        <v>8</v>
      </c>
      <c r="H20" s="24" t="s">
        <v>39</v>
      </c>
      <c r="I20" s="27">
        <v>104.34</v>
      </c>
    </row>
    <row r="21" spans="1:9" ht="16">
      <c r="A21" s="35" t="s">
        <v>40</v>
      </c>
      <c r="I21" s="28">
        <f>I10+I11+I12+I13+I14+I15+I16+I17+I18+I19+I20</f>
        <v>2834.3799999999997</v>
      </c>
    </row>
    <row r="22" spans="1:1" ht="16">
      <c r="A22" s="34" t="s">
        <v>4</v>
      </c>
    </row>
    <row r="23" spans="2:9" ht="16">
      <c r="B23" s="24" t="s">
        <v>8</v>
      </c>
      <c r="C23" s="24" t="s">
        <v>6</v>
      </c>
      <c r="D23" s="24" t="s">
        <v>41</v>
      </c>
      <c r="E23" s="24" t="s">
        <v>8</v>
      </c>
      <c r="F23" s="24" t="s">
        <v>42</v>
      </c>
      <c r="G23" s="24" t="s">
        <v>8</v>
      </c>
      <c r="H23" s="24" t="s">
        <v>43</v>
      </c>
      <c r="I23" s="27">
        <v>5.0</v>
      </c>
    </row>
    <row r="24" spans="1:9" ht="16">
      <c r="A24" s="35" t="s">
        <v>44</v>
      </c>
      <c r="I24" s="28">
        <f>I22+I23</f>
        <v>5.0</v>
      </c>
    </row>
    <row r="25" spans="1:1" ht="16">
      <c r="A25" s="34" t="s">
        <v>4</v>
      </c>
    </row>
    <row r="26" spans="2:9" ht="16">
      <c r="B26" s="24" t="s">
        <v>45</v>
      </c>
      <c r="C26" s="24" t="s">
        <v>6</v>
      </c>
      <c r="D26" s="24" t="s">
        <v>46</v>
      </c>
      <c r="E26" s="24" t="s">
        <v>8</v>
      </c>
      <c r="F26" s="24" t="s">
        <v>9</v>
      </c>
      <c r="G26" s="24" t="s">
        <v>8</v>
      </c>
      <c r="H26" s="24" t="s">
        <v>47</v>
      </c>
      <c r="I26" s="27">
        <v>463.79</v>
      </c>
    </row>
    <row r="27" spans="2:9" ht="16">
      <c r="B27" s="24" t="s">
        <v>45</v>
      </c>
      <c r="C27" s="24" t="s">
        <v>6</v>
      </c>
      <c r="D27" s="24" t="s">
        <v>48</v>
      </c>
      <c r="E27" s="24" t="s">
        <v>8</v>
      </c>
      <c r="F27" s="24" t="s">
        <v>9</v>
      </c>
      <c r="G27" s="24" t="s">
        <v>8</v>
      </c>
      <c r="H27" s="24" t="s">
        <v>47</v>
      </c>
      <c r="I27" s="27">
        <v>96.68</v>
      </c>
    </row>
    <row r="28" spans="2:9" ht="16">
      <c r="B28" s="24" t="s">
        <v>45</v>
      </c>
      <c r="C28" s="24" t="s">
        <v>6</v>
      </c>
      <c r="D28" s="24" t="s">
        <v>49</v>
      </c>
      <c r="E28" s="24" t="s">
        <v>8</v>
      </c>
      <c r="F28" s="24" t="s">
        <v>9</v>
      </c>
      <c r="G28" s="24" t="s">
        <v>8</v>
      </c>
      <c r="H28" s="24" t="s">
        <v>47</v>
      </c>
      <c r="I28" s="27">
        <v>3885.4</v>
      </c>
    </row>
    <row r="29" spans="1:9" ht="16">
      <c r="A29" s="35" t="s">
        <v>50</v>
      </c>
      <c r="I29" s="28">
        <f>I25+I26+I27+I28</f>
        <v>4445.87</v>
      </c>
    </row>
    <row r="30" spans="1:1" ht="16">
      <c r="A30" s="34" t="s">
        <v>4</v>
      </c>
    </row>
    <row r="31" spans="2:9" ht="16">
      <c r="B31" s="24" t="s">
        <v>51</v>
      </c>
      <c r="C31" s="24" t="s">
        <v>6</v>
      </c>
      <c r="D31" s="24" t="s">
        <v>52</v>
      </c>
      <c r="E31" s="24" t="s">
        <v>8</v>
      </c>
      <c r="F31" s="24" t="s">
        <v>9</v>
      </c>
      <c r="G31" s="24" t="s">
        <v>8</v>
      </c>
      <c r="H31" s="24" t="s">
        <v>53</v>
      </c>
      <c r="I31" s="27">
        <v>419.97</v>
      </c>
    </row>
    <row r="32" spans="2:9" ht="16">
      <c r="B32" s="24" t="s">
        <v>51</v>
      </c>
      <c r="C32" s="24" t="s">
        <v>6</v>
      </c>
      <c r="D32" s="24" t="s">
        <v>54</v>
      </c>
      <c r="E32" s="24" t="s">
        <v>8</v>
      </c>
      <c r="F32" s="24" t="s">
        <v>9</v>
      </c>
      <c r="G32" s="24" t="s">
        <v>8</v>
      </c>
      <c r="H32" s="24" t="s">
        <v>53</v>
      </c>
      <c r="I32" s="27">
        <v>3118.15</v>
      </c>
    </row>
    <row r="33" spans="2:9" ht="16">
      <c r="B33" s="24" t="s">
        <v>51</v>
      </c>
      <c r="C33" s="24" t="s">
        <v>6</v>
      </c>
      <c r="D33" s="24" t="s">
        <v>22</v>
      </c>
      <c r="E33" s="24" t="s">
        <v>8</v>
      </c>
      <c r="F33" s="24" t="s">
        <v>9</v>
      </c>
      <c r="G33" s="24" t="s">
        <v>8</v>
      </c>
      <c r="H33" s="24" t="s">
        <v>53</v>
      </c>
      <c r="I33" s="27">
        <v>1409.2</v>
      </c>
    </row>
    <row r="34" spans="2:9" ht="16">
      <c r="B34" s="24" t="s">
        <v>51</v>
      </c>
      <c r="C34" s="24" t="s">
        <v>6</v>
      </c>
      <c r="D34" s="24" t="s">
        <v>55</v>
      </c>
      <c r="E34" s="24" t="s">
        <v>8</v>
      </c>
      <c r="F34" s="24" t="s">
        <v>9</v>
      </c>
      <c r="G34" s="24" t="s">
        <v>8</v>
      </c>
      <c r="H34" s="24" t="s">
        <v>53</v>
      </c>
      <c r="I34" s="27">
        <v>101.44</v>
      </c>
    </row>
    <row r="35" spans="2:9" ht="16">
      <c r="B35" s="24" t="s">
        <v>51</v>
      </c>
      <c r="C35" s="24" t="s">
        <v>6</v>
      </c>
      <c r="D35" s="24" t="s">
        <v>56</v>
      </c>
      <c r="E35" s="24" t="s">
        <v>8</v>
      </c>
      <c r="F35" s="24" t="s">
        <v>9</v>
      </c>
      <c r="G35" s="24" t="s">
        <v>8</v>
      </c>
      <c r="H35" s="24" t="s">
        <v>53</v>
      </c>
      <c r="I35" s="27">
        <v>2171.06</v>
      </c>
    </row>
    <row r="36" spans="2:9" ht="16">
      <c r="B36" s="24" t="s">
        <v>51</v>
      </c>
      <c r="C36" s="24" t="s">
        <v>6</v>
      </c>
      <c r="D36" s="24" t="s">
        <v>57</v>
      </c>
      <c r="E36" s="24" t="s">
        <v>8</v>
      </c>
      <c r="F36" s="24" t="s">
        <v>9</v>
      </c>
      <c r="G36" s="24" t="s">
        <v>8</v>
      </c>
      <c r="H36" s="24" t="s">
        <v>53</v>
      </c>
      <c r="I36" s="27">
        <v>1517.9</v>
      </c>
    </row>
    <row r="37" spans="2:9" ht="16">
      <c r="B37" s="24" t="s">
        <v>8</v>
      </c>
      <c r="C37" s="24" t="s">
        <v>6</v>
      </c>
      <c r="D37" s="24" t="s">
        <v>58</v>
      </c>
      <c r="E37" s="24" t="s">
        <v>8</v>
      </c>
      <c r="F37" s="24" t="s">
        <v>9</v>
      </c>
      <c r="G37" s="24" t="s">
        <v>8</v>
      </c>
      <c r="H37" s="24" t="s">
        <v>53</v>
      </c>
      <c r="I37" s="27">
        <v>240.23</v>
      </c>
    </row>
    <row r="38" spans="2:9" ht="16">
      <c r="B38" s="24" t="s">
        <v>51</v>
      </c>
      <c r="C38" s="24" t="s">
        <v>6</v>
      </c>
      <c r="D38" s="24" t="s">
        <v>34</v>
      </c>
      <c r="E38" s="24" t="s">
        <v>8</v>
      </c>
      <c r="F38" s="24" t="s">
        <v>9</v>
      </c>
      <c r="G38" s="24" t="s">
        <v>8</v>
      </c>
      <c r="H38" s="24" t="s">
        <v>53</v>
      </c>
      <c r="I38" s="27">
        <v>663.66</v>
      </c>
    </row>
    <row r="39" spans="2:9" ht="16">
      <c r="B39" s="24" t="s">
        <v>51</v>
      </c>
      <c r="C39" s="24" t="s">
        <v>6</v>
      </c>
      <c r="D39" s="24" t="s">
        <v>59</v>
      </c>
      <c r="E39" s="24" t="s">
        <v>8</v>
      </c>
      <c r="F39" s="24" t="s">
        <v>9</v>
      </c>
      <c r="G39" s="24" t="s">
        <v>8</v>
      </c>
      <c r="H39" s="24" t="s">
        <v>53</v>
      </c>
      <c r="I39" s="27">
        <v>572.51</v>
      </c>
    </row>
    <row r="40" spans="2:9" ht="16">
      <c r="B40" s="24" t="s">
        <v>8</v>
      </c>
      <c r="C40" s="24" t="s">
        <v>6</v>
      </c>
      <c r="D40" s="24" t="s">
        <v>60</v>
      </c>
      <c r="E40" s="24" t="s">
        <v>8</v>
      </c>
      <c r="F40" s="24" t="s">
        <v>9</v>
      </c>
      <c r="G40" s="24" t="s">
        <v>8</v>
      </c>
      <c r="H40" s="24" t="s">
        <v>53</v>
      </c>
      <c r="I40" s="27">
        <v>633.0</v>
      </c>
    </row>
    <row r="41" spans="2:9" ht="16">
      <c r="B41" s="24" t="s">
        <v>51</v>
      </c>
      <c r="C41" s="24" t="s">
        <v>6</v>
      </c>
      <c r="D41" s="24" t="s">
        <v>61</v>
      </c>
      <c r="E41" s="24" t="s">
        <v>8</v>
      </c>
      <c r="F41" s="24" t="s">
        <v>9</v>
      </c>
      <c r="G41" s="24" t="s">
        <v>8</v>
      </c>
      <c r="H41" s="24" t="s">
        <v>53</v>
      </c>
      <c r="I41" s="27">
        <v>98.43</v>
      </c>
    </row>
    <row r="42" spans="2:9" ht="16">
      <c r="B42" s="24" t="s">
        <v>8</v>
      </c>
      <c r="C42" s="24" t="s">
        <v>6</v>
      </c>
      <c r="D42" s="24" t="s">
        <v>62</v>
      </c>
      <c r="E42" s="24" t="s">
        <v>8</v>
      </c>
      <c r="F42" s="24" t="s">
        <v>9</v>
      </c>
      <c r="G42" s="24" t="s">
        <v>8</v>
      </c>
      <c r="H42" s="24" t="s">
        <v>63</v>
      </c>
      <c r="I42" s="27">
        <v>356.92</v>
      </c>
    </row>
    <row r="43" spans="2:9" ht="16">
      <c r="B43" s="24" t="s">
        <v>64</v>
      </c>
      <c r="C43" s="24" t="s">
        <v>13</v>
      </c>
      <c r="D43" s="24" t="s">
        <v>65</v>
      </c>
      <c r="E43" s="24" t="s">
        <v>66</v>
      </c>
      <c r="F43" s="24" t="s">
        <v>9</v>
      </c>
      <c r="G43" s="24" t="s">
        <v>8</v>
      </c>
      <c r="H43" s="24" t="s">
        <v>64</v>
      </c>
      <c r="I43" s="27">
        <v>1588.0</v>
      </c>
    </row>
    <row r="44" spans="1:9" ht="16">
      <c r="A44" s="35" t="s">
        <v>67</v>
      </c>
      <c r="I44" s="28">
        <f>I30+I31+I32+I33+I34+I35+I36+I37+I38+I39+I40+I41+I42+I43</f>
        <v>12890.47</v>
      </c>
    </row>
    <row r="45" spans="1:9" ht="16">
      <c r="A45" s="36" t="s">
        <v>68</v>
      </c>
      <c r="I45" s="28">
        <f>I9+I21+I24+I29+I44</f>
        <v>20240.0</v>
      </c>
    </row>
    <row r="46" spans="1:1" ht="16">
      <c r="A46" s="33" t="s">
        <v>69</v>
      </c>
    </row>
    <row r="47" spans="1:1" ht="16">
      <c r="A47" s="34" t="s">
        <v>70</v>
      </c>
    </row>
    <row r="48" spans="2:9" ht="16">
      <c r="B48" s="24" t="s">
        <v>71</v>
      </c>
      <c r="C48" s="24" t="s">
        <v>6</v>
      </c>
      <c r="D48" s="24" t="s">
        <v>72</v>
      </c>
      <c r="E48" s="24" t="s">
        <v>8</v>
      </c>
      <c r="F48" s="24" t="s">
        <v>9</v>
      </c>
      <c r="G48" s="24" t="s">
        <v>8</v>
      </c>
      <c r="H48" s="24" t="s">
        <v>73</v>
      </c>
      <c r="I48" s="27">
        <v>96.0</v>
      </c>
    </row>
    <row r="49" spans="2:9" ht="16">
      <c r="B49" s="24" t="s">
        <v>71</v>
      </c>
      <c r="C49" s="24" t="s">
        <v>6</v>
      </c>
      <c r="D49" s="24" t="s">
        <v>74</v>
      </c>
      <c r="E49" s="24" t="s">
        <v>8</v>
      </c>
      <c r="F49" s="24" t="s">
        <v>9</v>
      </c>
      <c r="G49" s="24" t="s">
        <v>8</v>
      </c>
      <c r="H49" s="24" t="s">
        <v>75</v>
      </c>
      <c r="I49" s="27">
        <v>96.0</v>
      </c>
    </row>
    <row r="50" spans="1:9" ht="16">
      <c r="A50" s="35" t="s">
        <v>76</v>
      </c>
      <c r="I50" s="28">
        <f>I47+I48+I49</f>
        <v>192.0</v>
      </c>
    </row>
    <row r="51" spans="1:1" ht="16">
      <c r="A51" s="34" t="s">
        <v>70</v>
      </c>
    </row>
    <row r="52" spans="2:9" ht="16">
      <c r="B52" s="24" t="s">
        <v>77</v>
      </c>
      <c r="C52" s="24" t="s">
        <v>13</v>
      </c>
      <c r="D52" s="24" t="s">
        <v>78</v>
      </c>
      <c r="E52" s="24" t="s">
        <v>79</v>
      </c>
      <c r="F52" s="24" t="s">
        <v>9</v>
      </c>
      <c r="G52" s="24" t="s">
        <v>8</v>
      </c>
      <c r="H52" s="24" t="s">
        <v>80</v>
      </c>
      <c r="I52" s="27">
        <v>892.1</v>
      </c>
    </row>
    <row r="53" spans="1:9" ht="16">
      <c r="A53" s="35" t="s">
        <v>81</v>
      </c>
      <c r="I53" s="28">
        <f>I51+I52</f>
        <v>892.1</v>
      </c>
    </row>
    <row r="54" spans="1:1" ht="16">
      <c r="A54" s="34" t="s">
        <v>70</v>
      </c>
    </row>
    <row r="55" spans="2:9" ht="16">
      <c r="B55" s="24" t="s">
        <v>82</v>
      </c>
      <c r="C55" s="24" t="s">
        <v>13</v>
      </c>
      <c r="D55" s="24" t="s">
        <v>83</v>
      </c>
      <c r="E55" s="24" t="s">
        <v>84</v>
      </c>
      <c r="F55" s="24" t="s">
        <v>9</v>
      </c>
      <c r="G55" s="24" t="s">
        <v>8</v>
      </c>
      <c r="H55" s="24" t="s">
        <v>85</v>
      </c>
      <c r="I55" s="27">
        <v>500.0</v>
      </c>
    </row>
    <row r="56" spans="2:9" ht="16">
      <c r="B56" s="24" t="s">
        <v>86</v>
      </c>
      <c r="C56" s="24" t="s">
        <v>13</v>
      </c>
      <c r="D56" s="24" t="s">
        <v>87</v>
      </c>
      <c r="E56" s="24" t="s">
        <v>88</v>
      </c>
      <c r="F56" s="24" t="s">
        <v>9</v>
      </c>
      <c r="G56" s="24" t="s">
        <v>8</v>
      </c>
      <c r="H56" s="24" t="s">
        <v>89</v>
      </c>
      <c r="I56" s="27">
        <v>950.05</v>
      </c>
    </row>
    <row r="57" spans="2:9" ht="16">
      <c r="B57" s="24" t="s">
        <v>86</v>
      </c>
      <c r="C57" s="24" t="s">
        <v>13</v>
      </c>
      <c r="D57" s="24" t="s">
        <v>49</v>
      </c>
      <c r="E57" s="24" t="s">
        <v>90</v>
      </c>
      <c r="F57" s="24" t="s">
        <v>9</v>
      </c>
      <c r="G57" s="24" t="s">
        <v>8</v>
      </c>
      <c r="H57" s="24" t="s">
        <v>89</v>
      </c>
      <c r="I57" s="27">
        <v>4798.48</v>
      </c>
    </row>
    <row r="58" spans="2:9" ht="16">
      <c r="B58" s="24" t="s">
        <v>86</v>
      </c>
      <c r="C58" s="24" t="s">
        <v>13</v>
      </c>
      <c r="D58" s="24" t="s">
        <v>91</v>
      </c>
      <c r="E58" s="24" t="s">
        <v>92</v>
      </c>
      <c r="F58" s="24" t="s">
        <v>9</v>
      </c>
      <c r="G58" s="24" t="s">
        <v>8</v>
      </c>
      <c r="H58" s="24" t="s">
        <v>89</v>
      </c>
      <c r="I58" s="27">
        <v>2126.81</v>
      </c>
    </row>
    <row r="59" spans="2:9" ht="16">
      <c r="B59" s="24" t="s">
        <v>86</v>
      </c>
      <c r="C59" s="24" t="s">
        <v>13</v>
      </c>
      <c r="D59" s="24" t="s">
        <v>93</v>
      </c>
      <c r="E59" s="24" t="s">
        <v>94</v>
      </c>
      <c r="F59" s="24" t="s">
        <v>9</v>
      </c>
      <c r="G59" s="24" t="s">
        <v>8</v>
      </c>
      <c r="H59" s="24" t="s">
        <v>89</v>
      </c>
      <c r="I59" s="27">
        <v>3100.13</v>
      </c>
    </row>
    <row r="60" spans="2:9" ht="16">
      <c r="B60" s="24" t="s">
        <v>86</v>
      </c>
      <c r="C60" s="24" t="s">
        <v>13</v>
      </c>
      <c r="D60" s="24" t="s">
        <v>95</v>
      </c>
      <c r="E60" s="24" t="s">
        <v>96</v>
      </c>
      <c r="F60" s="24" t="s">
        <v>9</v>
      </c>
      <c r="G60" s="24" t="s">
        <v>8</v>
      </c>
      <c r="H60" s="24" t="s">
        <v>89</v>
      </c>
      <c r="I60" s="27">
        <v>84.54</v>
      </c>
    </row>
    <row r="61" spans="2:9" ht="16">
      <c r="B61" s="24" t="s">
        <v>86</v>
      </c>
      <c r="C61" s="24" t="s">
        <v>13</v>
      </c>
      <c r="D61" s="24" t="s">
        <v>97</v>
      </c>
      <c r="E61" s="24" t="s">
        <v>98</v>
      </c>
      <c r="F61" s="24" t="s">
        <v>9</v>
      </c>
      <c r="G61" s="24" t="s">
        <v>8</v>
      </c>
      <c r="H61" s="24" t="s">
        <v>89</v>
      </c>
      <c r="I61" s="27">
        <v>635.27</v>
      </c>
    </row>
    <row r="62" spans="2:9" ht="16">
      <c r="B62" s="24" t="s">
        <v>86</v>
      </c>
      <c r="C62" s="24" t="s">
        <v>13</v>
      </c>
      <c r="D62" s="24" t="s">
        <v>99</v>
      </c>
      <c r="E62" s="24" t="s">
        <v>100</v>
      </c>
      <c r="F62" s="24" t="s">
        <v>9</v>
      </c>
      <c r="G62" s="24" t="s">
        <v>8</v>
      </c>
      <c r="H62" s="24" t="s">
        <v>89</v>
      </c>
      <c r="I62" s="27">
        <v>455.4</v>
      </c>
    </row>
    <row r="63" spans="2:9" ht="16">
      <c r="B63" s="24" t="s">
        <v>86</v>
      </c>
      <c r="C63" s="24" t="s">
        <v>13</v>
      </c>
      <c r="D63" s="24" t="s">
        <v>93</v>
      </c>
      <c r="E63" s="24" t="s">
        <v>101</v>
      </c>
      <c r="F63" s="24" t="s">
        <v>9</v>
      </c>
      <c r="G63" s="24" t="s">
        <v>8</v>
      </c>
      <c r="H63" s="24" t="s">
        <v>89</v>
      </c>
      <c r="I63" s="27">
        <v>2793.35</v>
      </c>
    </row>
    <row r="64" spans="2:9" ht="16">
      <c r="B64" s="24" t="s">
        <v>86</v>
      </c>
      <c r="C64" s="24" t="s">
        <v>13</v>
      </c>
      <c r="D64" s="24" t="s">
        <v>102</v>
      </c>
      <c r="E64" s="24" t="s">
        <v>103</v>
      </c>
      <c r="F64" s="24" t="s">
        <v>9</v>
      </c>
      <c r="G64" s="24" t="s">
        <v>8</v>
      </c>
      <c r="H64" s="24" t="s">
        <v>89</v>
      </c>
      <c r="I64" s="27">
        <v>576.0</v>
      </c>
    </row>
    <row r="65" spans="2:9" ht="16">
      <c r="B65" s="24" t="s">
        <v>86</v>
      </c>
      <c r="C65" s="24" t="s">
        <v>13</v>
      </c>
      <c r="D65" s="24" t="s">
        <v>104</v>
      </c>
      <c r="E65" s="24" t="s">
        <v>105</v>
      </c>
      <c r="F65" s="24" t="s">
        <v>9</v>
      </c>
      <c r="G65" s="24" t="s">
        <v>8</v>
      </c>
      <c r="H65" s="24" t="s">
        <v>89</v>
      </c>
      <c r="I65" s="27">
        <v>954.55</v>
      </c>
    </row>
    <row r="66" spans="2:9" ht="16">
      <c r="B66" s="24" t="s">
        <v>86</v>
      </c>
      <c r="C66" s="24" t="s">
        <v>13</v>
      </c>
      <c r="D66" s="24" t="s">
        <v>49</v>
      </c>
      <c r="E66" s="24" t="s">
        <v>106</v>
      </c>
      <c r="F66" s="24" t="s">
        <v>9</v>
      </c>
      <c r="G66" s="24" t="s">
        <v>8</v>
      </c>
      <c r="H66" s="24" t="s">
        <v>89</v>
      </c>
      <c r="I66" s="27">
        <v>2357.67</v>
      </c>
    </row>
    <row r="67" spans="2:9" ht="16">
      <c r="B67" s="24" t="s">
        <v>86</v>
      </c>
      <c r="C67" s="24" t="s">
        <v>13</v>
      </c>
      <c r="D67" s="24" t="s">
        <v>78</v>
      </c>
      <c r="E67" s="24" t="s">
        <v>107</v>
      </c>
      <c r="F67" s="24" t="s">
        <v>9</v>
      </c>
      <c r="G67" s="24" t="s">
        <v>8</v>
      </c>
      <c r="H67" s="24" t="s">
        <v>89</v>
      </c>
      <c r="I67" s="27">
        <v>2872.4</v>
      </c>
    </row>
    <row r="68" spans="2:9" ht="16">
      <c r="B68" s="24" t="s">
        <v>17</v>
      </c>
      <c r="C68" s="24" t="s">
        <v>6</v>
      </c>
      <c r="D68" s="24" t="s">
        <v>91</v>
      </c>
      <c r="E68" s="24" t="s">
        <v>108</v>
      </c>
      <c r="F68" s="24" t="s">
        <v>9</v>
      </c>
      <c r="G68" s="24" t="s">
        <v>8</v>
      </c>
      <c r="H68" s="24" t="s">
        <v>109</v>
      </c>
      <c r="I68" s="27">
        <v>679.06</v>
      </c>
    </row>
    <row r="69" spans="2:9" ht="16">
      <c r="B69" s="24" t="s">
        <v>21</v>
      </c>
      <c r="C69" s="24" t="s">
        <v>13</v>
      </c>
      <c r="D69" s="24" t="s">
        <v>110</v>
      </c>
      <c r="E69" s="24" t="s">
        <v>111</v>
      </c>
      <c r="F69" s="24" t="s">
        <v>9</v>
      </c>
      <c r="G69" s="24" t="s">
        <v>8</v>
      </c>
      <c r="H69" s="24" t="s">
        <v>24</v>
      </c>
      <c r="I69" s="27">
        <v>102.0</v>
      </c>
    </row>
    <row r="70" spans="2:9" ht="16">
      <c r="B70" s="24" t="s">
        <v>21</v>
      </c>
      <c r="C70" s="24" t="s">
        <v>13</v>
      </c>
      <c r="D70" s="24" t="s">
        <v>112</v>
      </c>
      <c r="E70" s="24" t="s">
        <v>113</v>
      </c>
      <c r="F70" s="24" t="s">
        <v>9</v>
      </c>
      <c r="G70" s="24" t="s">
        <v>8</v>
      </c>
      <c r="H70" s="24" t="s">
        <v>24</v>
      </c>
      <c r="I70" s="27">
        <v>211.86</v>
      </c>
    </row>
    <row r="71" spans="2:9" ht="16">
      <c r="B71" s="24" t="s">
        <v>21</v>
      </c>
      <c r="C71" s="24" t="s">
        <v>13</v>
      </c>
      <c r="D71" s="24" t="s">
        <v>78</v>
      </c>
      <c r="E71" s="24" t="s">
        <v>114</v>
      </c>
      <c r="F71" s="24" t="s">
        <v>9</v>
      </c>
      <c r="G71" s="24" t="s">
        <v>8</v>
      </c>
      <c r="H71" s="24" t="s">
        <v>24</v>
      </c>
      <c r="I71" s="27">
        <v>221.68</v>
      </c>
    </row>
    <row r="72" spans="2:9" ht="16">
      <c r="B72" s="24" t="s">
        <v>21</v>
      </c>
      <c r="C72" s="24" t="s">
        <v>13</v>
      </c>
      <c r="D72" s="24" t="s">
        <v>115</v>
      </c>
      <c r="E72" s="24" t="s">
        <v>116</v>
      </c>
      <c r="F72" s="24" t="s">
        <v>9</v>
      </c>
      <c r="G72" s="24" t="s">
        <v>8</v>
      </c>
      <c r="H72" s="24" t="s">
        <v>24</v>
      </c>
      <c r="I72" s="27">
        <v>200.5</v>
      </c>
    </row>
    <row r="73" spans="2:9" ht="16">
      <c r="B73" s="24" t="s">
        <v>117</v>
      </c>
      <c r="C73" s="24" t="s">
        <v>6</v>
      </c>
      <c r="D73" s="24" t="s">
        <v>91</v>
      </c>
      <c r="E73" s="24" t="s">
        <v>8</v>
      </c>
      <c r="F73" s="24" t="s">
        <v>9</v>
      </c>
      <c r="G73" s="24" t="s">
        <v>8</v>
      </c>
      <c r="H73" s="24" t="s">
        <v>118</v>
      </c>
      <c r="I73" s="27">
        <v>23.11</v>
      </c>
    </row>
    <row r="74" spans="2:9" ht="16">
      <c r="B74" s="24" t="s">
        <v>119</v>
      </c>
      <c r="C74" s="24" t="s">
        <v>6</v>
      </c>
      <c r="D74" s="24" t="s">
        <v>49</v>
      </c>
      <c r="E74" s="24" t="s">
        <v>8</v>
      </c>
      <c r="F74" s="24" t="s">
        <v>9</v>
      </c>
      <c r="G74" s="24" t="s">
        <v>8</v>
      </c>
      <c r="H74" s="24" t="s">
        <v>120</v>
      </c>
      <c r="I74" s="27">
        <v>91.05</v>
      </c>
    </row>
    <row r="75" spans="2:9" ht="16">
      <c r="B75" s="24" t="s">
        <v>119</v>
      </c>
      <c r="C75" s="24" t="s">
        <v>6</v>
      </c>
      <c r="D75" s="24" t="s">
        <v>87</v>
      </c>
      <c r="E75" s="24" t="s">
        <v>8</v>
      </c>
      <c r="F75" s="24" t="s">
        <v>9</v>
      </c>
      <c r="G75" s="24" t="s">
        <v>8</v>
      </c>
      <c r="H75" s="24" t="s">
        <v>121</v>
      </c>
      <c r="I75" s="27">
        <v>197.83</v>
      </c>
    </row>
    <row r="76" spans="2:9" ht="16">
      <c r="B76" s="24" t="s">
        <v>119</v>
      </c>
      <c r="C76" s="24" t="s">
        <v>6</v>
      </c>
      <c r="D76" s="24" t="s">
        <v>122</v>
      </c>
      <c r="E76" s="24" t="s">
        <v>8</v>
      </c>
      <c r="F76" s="24" t="s">
        <v>9</v>
      </c>
      <c r="G76" s="24" t="s">
        <v>8</v>
      </c>
      <c r="H76" s="24" t="s">
        <v>123</v>
      </c>
      <c r="I76" s="27">
        <v>197.29</v>
      </c>
    </row>
    <row r="77" spans="2:9" ht="16">
      <c r="B77" s="24" t="s">
        <v>119</v>
      </c>
      <c r="C77" s="24" t="s">
        <v>6</v>
      </c>
      <c r="D77" s="24" t="s">
        <v>124</v>
      </c>
      <c r="E77" s="24" t="s">
        <v>8</v>
      </c>
      <c r="F77" s="24" t="s">
        <v>9</v>
      </c>
      <c r="G77" s="24" t="s">
        <v>8</v>
      </c>
      <c r="H77" s="24" t="s">
        <v>125</v>
      </c>
      <c r="I77" s="27">
        <v>292.08</v>
      </c>
    </row>
    <row r="78" spans="2:9" ht="16">
      <c r="B78" s="24" t="s">
        <v>119</v>
      </c>
      <c r="C78" s="24" t="s">
        <v>6</v>
      </c>
      <c r="D78" s="24" t="s">
        <v>78</v>
      </c>
      <c r="E78" s="24" t="s">
        <v>8</v>
      </c>
      <c r="F78" s="24" t="s">
        <v>9</v>
      </c>
      <c r="G78" s="24" t="s">
        <v>8</v>
      </c>
      <c r="H78" s="24" t="s">
        <v>126</v>
      </c>
      <c r="I78" s="27">
        <v>18.41</v>
      </c>
    </row>
    <row r="79" spans="2:9" ht="16">
      <c r="B79" s="24" t="s">
        <v>127</v>
      </c>
      <c r="C79" s="24" t="s">
        <v>6</v>
      </c>
      <c r="D79" s="24" t="s">
        <v>128</v>
      </c>
      <c r="E79" s="24" t="s">
        <v>8</v>
      </c>
      <c r="F79" s="24" t="s">
        <v>9</v>
      </c>
      <c r="G79" s="24" t="s">
        <v>8</v>
      </c>
      <c r="H79" s="24" t="s">
        <v>129</v>
      </c>
      <c r="I79" s="27">
        <v>13.01</v>
      </c>
    </row>
    <row r="80" spans="2:9" ht="16">
      <c r="B80" s="24" t="s">
        <v>36</v>
      </c>
      <c r="C80" s="24" t="s">
        <v>6</v>
      </c>
      <c r="D80" s="24" t="s">
        <v>128</v>
      </c>
      <c r="E80" s="24" t="s">
        <v>8</v>
      </c>
      <c r="F80" s="24" t="s">
        <v>9</v>
      </c>
      <c r="G80" s="24" t="s">
        <v>8</v>
      </c>
      <c r="H80" s="24" t="s">
        <v>130</v>
      </c>
      <c r="I80" s="27">
        <v>77.49</v>
      </c>
    </row>
    <row r="81" spans="2:9" ht="16">
      <c r="B81" s="24" t="s">
        <v>127</v>
      </c>
      <c r="C81" s="24" t="s">
        <v>6</v>
      </c>
      <c r="D81" s="24" t="s">
        <v>131</v>
      </c>
      <c r="E81" s="24" t="s">
        <v>8</v>
      </c>
      <c r="F81" s="24" t="s">
        <v>9</v>
      </c>
      <c r="G81" s="24" t="s">
        <v>8</v>
      </c>
      <c r="H81" s="24" t="s">
        <v>132</v>
      </c>
      <c r="I81" s="27">
        <v>34.22</v>
      </c>
    </row>
    <row r="82" spans="2:9" ht="16">
      <c r="B82" s="24" t="s">
        <v>127</v>
      </c>
      <c r="C82" s="24" t="s">
        <v>6</v>
      </c>
      <c r="D82" s="24" t="s">
        <v>133</v>
      </c>
      <c r="E82" s="24" t="s">
        <v>8</v>
      </c>
      <c r="F82" s="24" t="s">
        <v>9</v>
      </c>
      <c r="G82" s="24" t="s">
        <v>8</v>
      </c>
      <c r="H82" s="24" t="s">
        <v>134</v>
      </c>
      <c r="I82" s="27">
        <v>64.02</v>
      </c>
    </row>
    <row r="83" spans="2:9" ht="16">
      <c r="B83" s="24" t="s">
        <v>36</v>
      </c>
      <c r="C83" s="24" t="s">
        <v>6</v>
      </c>
      <c r="D83" s="24" t="s">
        <v>133</v>
      </c>
      <c r="E83" s="24" t="s">
        <v>8</v>
      </c>
      <c r="F83" s="24" t="s">
        <v>9</v>
      </c>
      <c r="G83" s="24" t="s">
        <v>8</v>
      </c>
      <c r="H83" s="24" t="s">
        <v>135</v>
      </c>
      <c r="I83" s="27">
        <v>199.1</v>
      </c>
    </row>
    <row r="84" spans="2:9" ht="16">
      <c r="B84" s="24" t="s">
        <v>36</v>
      </c>
      <c r="C84" s="24" t="s">
        <v>6</v>
      </c>
      <c r="D84" s="24" t="s">
        <v>133</v>
      </c>
      <c r="E84" s="24" t="s">
        <v>8</v>
      </c>
      <c r="F84" s="24" t="s">
        <v>9</v>
      </c>
      <c r="G84" s="24" t="s">
        <v>8</v>
      </c>
      <c r="H84" s="24" t="s">
        <v>136</v>
      </c>
      <c r="I84" s="27">
        <v>68.64</v>
      </c>
    </row>
    <row r="85" spans="2:9" ht="16">
      <c r="B85" s="24" t="s">
        <v>36</v>
      </c>
      <c r="C85" s="24" t="s">
        <v>6</v>
      </c>
      <c r="D85" s="24" t="s">
        <v>137</v>
      </c>
      <c r="E85" s="24" t="s">
        <v>8</v>
      </c>
      <c r="F85" s="24" t="s">
        <v>9</v>
      </c>
      <c r="G85" s="24" t="s">
        <v>8</v>
      </c>
      <c r="H85" s="24" t="s">
        <v>138</v>
      </c>
      <c r="I85" s="27">
        <v>67.94</v>
      </c>
    </row>
    <row r="86" spans="2:9" ht="16">
      <c r="B86" s="24" t="s">
        <v>17</v>
      </c>
      <c r="C86" s="24" t="s">
        <v>139</v>
      </c>
      <c r="D86" s="24" t="s">
        <v>58</v>
      </c>
      <c r="E86" s="24" t="s">
        <v>8</v>
      </c>
      <c r="F86" s="24" t="s">
        <v>9</v>
      </c>
      <c r="G86" s="24" t="s">
        <v>8</v>
      </c>
      <c r="H86" s="24" t="s">
        <v>140</v>
      </c>
      <c r="I86" s="27">
        <v>-419.02</v>
      </c>
    </row>
    <row r="87" spans="2:9" ht="16">
      <c r="B87" s="24" t="s">
        <v>86</v>
      </c>
      <c r="C87" s="24" t="s">
        <v>141</v>
      </c>
      <c r="D87" s="24" t="s">
        <v>142</v>
      </c>
      <c r="E87" s="24" t="s">
        <v>8</v>
      </c>
      <c r="F87" s="24" t="s">
        <v>9</v>
      </c>
      <c r="G87" s="24" t="s">
        <v>8</v>
      </c>
      <c r="H87" s="24" t="s">
        <v>143</v>
      </c>
      <c r="I87" s="27">
        <v>-211.05</v>
      </c>
    </row>
    <row r="88" spans="2:9" ht="16">
      <c r="B88" s="24" t="s">
        <v>86</v>
      </c>
      <c r="C88" s="24" t="s">
        <v>141</v>
      </c>
      <c r="D88" s="24" t="s">
        <v>142</v>
      </c>
      <c r="E88" s="24" t="s">
        <v>8</v>
      </c>
      <c r="F88" s="24" t="s">
        <v>9</v>
      </c>
      <c r="G88" s="24" t="s">
        <v>8</v>
      </c>
      <c r="H88" s="24" t="s">
        <v>143</v>
      </c>
      <c r="I88" s="27">
        <v>-503.6</v>
      </c>
    </row>
    <row r="89" spans="2:9" ht="16">
      <c r="B89" s="24" t="s">
        <v>86</v>
      </c>
      <c r="C89" s="24" t="s">
        <v>141</v>
      </c>
      <c r="D89" s="24" t="s">
        <v>142</v>
      </c>
      <c r="E89" s="24" t="s">
        <v>8</v>
      </c>
      <c r="F89" s="24" t="s">
        <v>9</v>
      </c>
      <c r="G89" s="24" t="s">
        <v>8</v>
      </c>
      <c r="H89" s="24" t="s">
        <v>143</v>
      </c>
      <c r="I89" s="27">
        <v>-19.21</v>
      </c>
    </row>
    <row r="90" spans="2:9" ht="16">
      <c r="B90" s="24" t="s">
        <v>86</v>
      </c>
      <c r="C90" s="24" t="s">
        <v>141</v>
      </c>
      <c r="D90" s="24" t="s">
        <v>142</v>
      </c>
      <c r="E90" s="24" t="s">
        <v>8</v>
      </c>
      <c r="F90" s="24" t="s">
        <v>9</v>
      </c>
      <c r="G90" s="24" t="s">
        <v>8</v>
      </c>
      <c r="H90" s="24" t="s">
        <v>143</v>
      </c>
      <c r="I90" s="27">
        <v>-406.22</v>
      </c>
    </row>
    <row r="91" spans="1:9" ht="16">
      <c r="A91" s="35" t="s">
        <v>40</v>
      </c>
      <c r="I91" s="28">
        <f>I54+I55+I56+I57+I58+I59+I60+I61+I62+I63+I64+I65+I66+I67+I68+I69+I70+I71+I72+I73+I74+I75+I76+I77+I78+I79+I80+I81+I82+I83+I84+I85+I86+I87+I88+I89+I90</f>
        <v>23404.840000000007</v>
      </c>
    </row>
    <row r="92" spans="1:1" ht="16">
      <c r="A92" s="34" t="s">
        <v>70</v>
      </c>
    </row>
    <row r="93" spans="2:9" ht="16">
      <c r="B93" s="24" t="s">
        <v>144</v>
      </c>
      <c r="C93" s="24" t="s">
        <v>6</v>
      </c>
      <c r="D93" s="24" t="s">
        <v>145</v>
      </c>
      <c r="E93" s="24" t="s">
        <v>8</v>
      </c>
      <c r="F93" s="24" t="s">
        <v>42</v>
      </c>
      <c r="G93" s="24" t="s">
        <v>8</v>
      </c>
      <c r="H93" s="24" t="s">
        <v>146</v>
      </c>
      <c r="I93" s="27">
        <v>30.07</v>
      </c>
    </row>
    <row r="94" spans="2:9" ht="16">
      <c r="B94" s="24" t="s">
        <v>147</v>
      </c>
      <c r="C94" s="24" t="s">
        <v>6</v>
      </c>
      <c r="D94" s="24" t="s">
        <v>128</v>
      </c>
      <c r="E94" s="24" t="s">
        <v>8</v>
      </c>
      <c r="F94" s="24" t="s">
        <v>42</v>
      </c>
      <c r="G94" s="24" t="s">
        <v>8</v>
      </c>
      <c r="H94" s="24" t="s">
        <v>148</v>
      </c>
      <c r="I94" s="27">
        <v>62.12</v>
      </c>
    </row>
    <row r="95" spans="1:9" ht="16">
      <c r="A95" s="35" t="s">
        <v>149</v>
      </c>
      <c r="I95" s="28">
        <f>I92+I93+I94</f>
        <v>92.19</v>
      </c>
    </row>
    <row r="96" spans="1:1" ht="16">
      <c r="A96" s="34" t="s">
        <v>70</v>
      </c>
    </row>
    <row r="97" spans="2:9" ht="16">
      <c r="B97" s="24" t="s">
        <v>82</v>
      </c>
      <c r="C97" s="24" t="s">
        <v>150</v>
      </c>
      <c r="D97" s="24" t="s">
        <v>151</v>
      </c>
      <c r="E97" s="24" t="s">
        <v>152</v>
      </c>
      <c r="F97" s="24" t="s">
        <v>9</v>
      </c>
      <c r="G97" s="24" t="s">
        <v>8</v>
      </c>
      <c r="H97" s="24" t="s">
        <v>153</v>
      </c>
      <c r="I97" s="29">
        <v>0</v>
      </c>
    </row>
    <row r="98" spans="1:9" ht="16">
      <c r="A98" s="35" t="s">
        <v>154</v>
      </c>
      <c r="I98" s="28">
        <f>I96+I97</f>
        <v>0.0</v>
      </c>
    </row>
    <row r="99" spans="1:1" ht="16">
      <c r="A99" s="34" t="s">
        <v>70</v>
      </c>
    </row>
    <row r="100" spans="2:9" ht="16">
      <c r="B100" s="24" t="s">
        <v>155</v>
      </c>
      <c r="C100" s="24" t="s">
        <v>13</v>
      </c>
      <c r="D100" s="24" t="s">
        <v>60</v>
      </c>
      <c r="E100" s="24" t="s">
        <v>156</v>
      </c>
      <c r="F100" s="24" t="s">
        <v>42</v>
      </c>
      <c r="G100" s="24" t="s">
        <v>8</v>
      </c>
      <c r="H100" s="24" t="s">
        <v>157</v>
      </c>
      <c r="I100" s="27">
        <v>214.71</v>
      </c>
    </row>
    <row r="101" spans="1:9" ht="16">
      <c r="A101" s="35" t="s">
        <v>158</v>
      </c>
      <c r="I101" s="28">
        <f>I99+I100</f>
        <v>214.71</v>
      </c>
    </row>
    <row r="102" spans="1:1" ht="16">
      <c r="A102" s="34" t="s">
        <v>70</v>
      </c>
    </row>
    <row r="103" spans="2:9" ht="16">
      <c r="B103" s="24" t="s">
        <v>159</v>
      </c>
      <c r="C103" s="24" t="s">
        <v>13</v>
      </c>
      <c r="D103" s="24" t="s">
        <v>160</v>
      </c>
      <c r="E103" s="24" t="s">
        <v>161</v>
      </c>
      <c r="F103" s="24" t="s">
        <v>9</v>
      </c>
      <c r="G103" s="24" t="s">
        <v>8</v>
      </c>
      <c r="H103" s="24" t="s">
        <v>162</v>
      </c>
      <c r="I103" s="27">
        <v>6860.0</v>
      </c>
    </row>
    <row r="104" spans="2:9" ht="16">
      <c r="B104" s="24" t="s">
        <v>159</v>
      </c>
      <c r="C104" s="24" t="s">
        <v>13</v>
      </c>
      <c r="D104" s="24" t="s">
        <v>160</v>
      </c>
      <c r="E104" s="24" t="s">
        <v>161</v>
      </c>
      <c r="F104" s="24" t="s">
        <v>9</v>
      </c>
      <c r="G104" s="24" t="s">
        <v>8</v>
      </c>
      <c r="H104" s="24" t="s">
        <v>163</v>
      </c>
      <c r="I104" s="27">
        <v>13250.0</v>
      </c>
    </row>
    <row r="105" spans="1:9" ht="16">
      <c r="A105" s="35" t="s">
        <v>164</v>
      </c>
      <c r="I105" s="28">
        <f>I102+I103+I104</f>
        <v>20110.0</v>
      </c>
    </row>
    <row r="106" spans="1:1" ht="16">
      <c r="A106" s="34" t="s">
        <v>70</v>
      </c>
    </row>
    <row r="107" spans="2:9" ht="16">
      <c r="B107" s="24" t="s">
        <v>45</v>
      </c>
      <c r="C107" s="24" t="s">
        <v>6</v>
      </c>
      <c r="D107" s="24" t="s">
        <v>48</v>
      </c>
      <c r="E107" s="24" t="s">
        <v>8</v>
      </c>
      <c r="F107" s="24" t="s">
        <v>9</v>
      </c>
      <c r="G107" s="24" t="s">
        <v>8</v>
      </c>
      <c r="H107" s="24" t="s">
        <v>47</v>
      </c>
      <c r="I107" s="27">
        <v>4203.65</v>
      </c>
    </row>
    <row r="108" spans="2:9" ht="16">
      <c r="B108" s="24" t="s">
        <v>45</v>
      </c>
      <c r="C108" s="24" t="s">
        <v>13</v>
      </c>
      <c r="D108" s="24" t="s">
        <v>165</v>
      </c>
      <c r="E108" s="24" t="s">
        <v>8</v>
      </c>
      <c r="F108" s="24" t="s">
        <v>9</v>
      </c>
      <c r="G108" s="24" t="s">
        <v>8</v>
      </c>
      <c r="H108" s="24" t="s">
        <v>8</v>
      </c>
      <c r="I108" s="27">
        <v>6266.57</v>
      </c>
    </row>
    <row r="109" spans="1:9" ht="16">
      <c r="A109" s="35" t="s">
        <v>50</v>
      </c>
      <c r="I109" s="28">
        <f>I106+I107+I108</f>
        <v>10470.22</v>
      </c>
    </row>
    <row r="110" spans="1:1" ht="16">
      <c r="A110" s="34" t="s">
        <v>70</v>
      </c>
    </row>
    <row r="111" spans="2:9" ht="16">
      <c r="B111" s="24" t="s">
        <v>51</v>
      </c>
      <c r="C111" s="24" t="s">
        <v>6</v>
      </c>
      <c r="D111" s="24" t="s">
        <v>166</v>
      </c>
      <c r="E111" s="24" t="s">
        <v>8</v>
      </c>
      <c r="F111" s="24" t="s">
        <v>9</v>
      </c>
      <c r="G111" s="24" t="s">
        <v>8</v>
      </c>
      <c r="H111" s="24" t="s">
        <v>167</v>
      </c>
      <c r="I111" s="27">
        <v>1250.45</v>
      </c>
    </row>
    <row r="112" spans="2:9" ht="16">
      <c r="B112" s="24" t="s">
        <v>51</v>
      </c>
      <c r="C112" s="24" t="s">
        <v>6</v>
      </c>
      <c r="D112" s="24" t="s">
        <v>168</v>
      </c>
      <c r="E112" s="24" t="s">
        <v>8</v>
      </c>
      <c r="F112" s="24" t="s">
        <v>9</v>
      </c>
      <c r="G112" s="24" t="s">
        <v>8</v>
      </c>
      <c r="H112" s="24" t="s">
        <v>169</v>
      </c>
      <c r="I112" s="27">
        <v>6435.51</v>
      </c>
    </row>
    <row r="113" spans="2:9" ht="16">
      <c r="B113" s="24" t="s">
        <v>51</v>
      </c>
      <c r="C113" s="24" t="s">
        <v>6</v>
      </c>
      <c r="D113" s="24" t="s">
        <v>110</v>
      </c>
      <c r="E113" s="24" t="s">
        <v>8</v>
      </c>
      <c r="F113" s="24" t="s">
        <v>9</v>
      </c>
      <c r="G113" s="24" t="s">
        <v>8</v>
      </c>
      <c r="H113" s="24" t="s">
        <v>53</v>
      </c>
      <c r="I113" s="27">
        <v>2364.51</v>
      </c>
    </row>
    <row r="114" spans="2:9" ht="16">
      <c r="B114" s="24" t="s">
        <v>51</v>
      </c>
      <c r="C114" s="24" t="s">
        <v>6</v>
      </c>
      <c r="D114" s="24" t="s">
        <v>122</v>
      </c>
      <c r="E114" s="24" t="s">
        <v>8</v>
      </c>
      <c r="F114" s="24" t="s">
        <v>9</v>
      </c>
      <c r="G114" s="24" t="s">
        <v>8</v>
      </c>
      <c r="H114" s="24" t="s">
        <v>53</v>
      </c>
      <c r="I114" s="27">
        <v>3277.45</v>
      </c>
    </row>
    <row r="115" spans="2:9" ht="16">
      <c r="B115" s="24" t="s">
        <v>51</v>
      </c>
      <c r="C115" s="24" t="s">
        <v>6</v>
      </c>
      <c r="D115" s="24" t="s">
        <v>52</v>
      </c>
      <c r="E115" s="24" t="s">
        <v>8</v>
      </c>
      <c r="F115" s="24" t="s">
        <v>9</v>
      </c>
      <c r="G115" s="24" t="s">
        <v>8</v>
      </c>
      <c r="H115" s="24" t="s">
        <v>53</v>
      </c>
      <c r="I115" s="27">
        <v>1048.37</v>
      </c>
    </row>
    <row r="116" spans="2:9" ht="16">
      <c r="B116" s="24" t="s">
        <v>51</v>
      </c>
      <c r="C116" s="24" t="s">
        <v>6</v>
      </c>
      <c r="D116" s="24" t="s">
        <v>133</v>
      </c>
      <c r="E116" s="24" t="s">
        <v>8</v>
      </c>
      <c r="F116" s="24" t="s">
        <v>9</v>
      </c>
      <c r="G116" s="24" t="s">
        <v>8</v>
      </c>
      <c r="H116" s="24" t="s">
        <v>53</v>
      </c>
      <c r="I116" s="27">
        <v>4874.3</v>
      </c>
    </row>
    <row r="117" spans="2:9" ht="16">
      <c r="B117" s="24" t="s">
        <v>51</v>
      </c>
      <c r="C117" s="24" t="s">
        <v>6</v>
      </c>
      <c r="D117" s="24" t="s">
        <v>93</v>
      </c>
      <c r="E117" s="24" t="s">
        <v>8</v>
      </c>
      <c r="F117" s="24" t="s">
        <v>9</v>
      </c>
      <c r="G117" s="24" t="s">
        <v>8</v>
      </c>
      <c r="H117" s="24" t="s">
        <v>53</v>
      </c>
      <c r="I117" s="27">
        <v>825.03</v>
      </c>
    </row>
    <row r="118" spans="2:9" ht="16">
      <c r="B118" s="24" t="s">
        <v>51</v>
      </c>
      <c r="C118" s="24" t="s">
        <v>6</v>
      </c>
      <c r="D118" s="24" t="s">
        <v>170</v>
      </c>
      <c r="E118" s="24" t="s">
        <v>8</v>
      </c>
      <c r="F118" s="24" t="s">
        <v>9</v>
      </c>
      <c r="G118" s="24" t="s">
        <v>8</v>
      </c>
      <c r="H118" s="24" t="s">
        <v>53</v>
      </c>
      <c r="I118" s="27">
        <v>3156.49</v>
      </c>
    </row>
    <row r="119" spans="1:9" ht="16">
      <c r="A119" s="35" t="s">
        <v>67</v>
      </c>
      <c r="I119" s="28">
        <f>I110+I111+I112+I113+I114+I115+I116+I117+I118</f>
        <v>23232.11</v>
      </c>
    </row>
    <row r="120" spans="1:9" ht="16">
      <c r="A120" s="36" t="s">
        <v>171</v>
      </c>
      <c r="I120" s="28">
        <f>I50+I53+I91+I95+I98+I101+I105+I109+I119</f>
        <v>78608.17000000001</v>
      </c>
    </row>
    <row r="121" spans="1:1" ht="16">
      <c r="A121" s="33" t="s">
        <v>172</v>
      </c>
    </row>
    <row r="122" spans="1:1" ht="16">
      <c r="A122" s="34" t="s">
        <v>173</v>
      </c>
    </row>
    <row r="123" spans="2:9" ht="16">
      <c r="B123" s="24" t="s">
        <v>77</v>
      </c>
      <c r="C123" s="24" t="s">
        <v>13</v>
      </c>
      <c r="D123" s="24" t="s">
        <v>174</v>
      </c>
      <c r="E123" s="24" t="s">
        <v>175</v>
      </c>
      <c r="F123" s="24" t="s">
        <v>9</v>
      </c>
      <c r="G123" s="24" t="s">
        <v>8</v>
      </c>
      <c r="H123" s="24" t="s">
        <v>80</v>
      </c>
      <c r="I123" s="27">
        <v>499.07</v>
      </c>
    </row>
    <row r="124" spans="2:9" ht="16">
      <c r="B124" s="24" t="s">
        <v>77</v>
      </c>
      <c r="C124" s="24" t="s">
        <v>13</v>
      </c>
      <c r="D124" s="24" t="s">
        <v>176</v>
      </c>
      <c r="E124" s="24" t="s">
        <v>177</v>
      </c>
      <c r="F124" s="24" t="s">
        <v>9</v>
      </c>
      <c r="G124" s="24" t="s">
        <v>8</v>
      </c>
      <c r="H124" s="24" t="s">
        <v>80</v>
      </c>
      <c r="I124" s="27">
        <v>261.71</v>
      </c>
    </row>
    <row r="125" spans="2:9" ht="16">
      <c r="B125" s="24" t="s">
        <v>77</v>
      </c>
      <c r="C125" s="24" t="s">
        <v>13</v>
      </c>
      <c r="D125" s="24" t="s">
        <v>178</v>
      </c>
      <c r="E125" s="24" t="s">
        <v>179</v>
      </c>
      <c r="F125" s="24" t="s">
        <v>9</v>
      </c>
      <c r="G125" s="24" t="s">
        <v>8</v>
      </c>
      <c r="H125" s="24" t="s">
        <v>80</v>
      </c>
      <c r="I125" s="27">
        <v>749.07</v>
      </c>
    </row>
    <row r="126" spans="1:9" ht="16">
      <c r="A126" s="35" t="s">
        <v>81</v>
      </c>
      <c r="I126" s="28">
        <f>I122+I123+I124+I125</f>
        <v>1509.85</v>
      </c>
    </row>
    <row r="127" spans="1:1" ht="16">
      <c r="A127" s="34" t="s">
        <v>173</v>
      </c>
    </row>
    <row r="128" spans="2:9" ht="16">
      <c r="B128" s="24" t="s">
        <v>21</v>
      </c>
      <c r="C128" s="24" t="s">
        <v>141</v>
      </c>
      <c r="D128" s="24" t="s">
        <v>180</v>
      </c>
      <c r="E128" s="24" t="s">
        <v>8</v>
      </c>
      <c r="F128" s="24" t="s">
        <v>9</v>
      </c>
      <c r="G128" s="24" t="s">
        <v>8</v>
      </c>
      <c r="H128" s="24" t="s">
        <v>181</v>
      </c>
      <c r="I128" s="27">
        <v>-70.0</v>
      </c>
    </row>
    <row r="129" spans="2:9" ht="16">
      <c r="B129" s="24" t="s">
        <v>21</v>
      </c>
      <c r="C129" s="24" t="s">
        <v>141</v>
      </c>
      <c r="D129" s="24" t="s">
        <v>180</v>
      </c>
      <c r="E129" s="24" t="s">
        <v>8</v>
      </c>
      <c r="F129" s="24" t="s">
        <v>9</v>
      </c>
      <c r="G129" s="24" t="s">
        <v>8</v>
      </c>
      <c r="H129" s="24" t="s">
        <v>182</v>
      </c>
      <c r="I129" s="27">
        <v>-31.2</v>
      </c>
    </row>
    <row r="130" spans="2:9" ht="16">
      <c r="B130" s="24" t="s">
        <v>119</v>
      </c>
      <c r="C130" s="24" t="s">
        <v>6</v>
      </c>
      <c r="D130" s="24" t="s">
        <v>183</v>
      </c>
      <c r="E130" s="24" t="s">
        <v>8</v>
      </c>
      <c r="F130" s="24" t="s">
        <v>9</v>
      </c>
      <c r="G130" s="24" t="s">
        <v>8</v>
      </c>
      <c r="H130" s="24" t="s">
        <v>184</v>
      </c>
      <c r="I130" s="27">
        <v>21.46</v>
      </c>
    </row>
    <row r="131" spans="2:9" ht="16">
      <c r="B131" s="24" t="s">
        <v>36</v>
      </c>
      <c r="C131" s="24" t="s">
        <v>6</v>
      </c>
      <c r="D131" s="24" t="s">
        <v>124</v>
      </c>
      <c r="E131" s="24" t="s">
        <v>8</v>
      </c>
      <c r="F131" s="24" t="s">
        <v>9</v>
      </c>
      <c r="G131" s="24" t="s">
        <v>8</v>
      </c>
      <c r="H131" s="24" t="s">
        <v>185</v>
      </c>
      <c r="I131" s="27">
        <v>12.8</v>
      </c>
    </row>
    <row r="132" spans="2:9" ht="16">
      <c r="B132" s="24" t="s">
        <v>186</v>
      </c>
      <c r="C132" s="24" t="s">
        <v>6</v>
      </c>
      <c r="D132" s="24" t="s">
        <v>151</v>
      </c>
      <c r="E132" s="24" t="s">
        <v>8</v>
      </c>
      <c r="F132" s="24" t="s">
        <v>9</v>
      </c>
      <c r="G132" s="24" t="s">
        <v>8</v>
      </c>
      <c r="H132" s="24" t="s">
        <v>187</v>
      </c>
      <c r="I132" s="27">
        <v>66.51</v>
      </c>
    </row>
    <row r="133" spans="2:9" ht="16">
      <c r="B133" s="24" t="s">
        <v>119</v>
      </c>
      <c r="C133" s="24" t="s">
        <v>6</v>
      </c>
      <c r="D133" s="24" t="s">
        <v>122</v>
      </c>
      <c r="E133" s="24" t="s">
        <v>188</v>
      </c>
      <c r="F133" s="24" t="s">
        <v>9</v>
      </c>
      <c r="G133" s="24" t="s">
        <v>8</v>
      </c>
      <c r="H133" s="24" t="s">
        <v>119</v>
      </c>
      <c r="I133" s="27">
        <v>84.72</v>
      </c>
    </row>
    <row r="134" spans="2:9" ht="16">
      <c r="B134" s="24" t="s">
        <v>119</v>
      </c>
      <c r="C134" s="24" t="s">
        <v>6</v>
      </c>
      <c r="D134" s="24" t="s">
        <v>189</v>
      </c>
      <c r="E134" s="24" t="s">
        <v>8</v>
      </c>
      <c r="F134" s="24" t="s">
        <v>9</v>
      </c>
      <c r="G134" s="24" t="s">
        <v>8</v>
      </c>
      <c r="H134" s="24" t="s">
        <v>190</v>
      </c>
      <c r="I134" s="27">
        <v>36.25</v>
      </c>
    </row>
    <row r="135" spans="2:9" ht="16">
      <c r="B135" s="24" t="s">
        <v>191</v>
      </c>
      <c r="C135" s="24" t="s">
        <v>6</v>
      </c>
      <c r="D135" s="24" t="s">
        <v>124</v>
      </c>
      <c r="E135" s="24" t="s">
        <v>8</v>
      </c>
      <c r="F135" s="24" t="s">
        <v>9</v>
      </c>
      <c r="G135" s="24" t="s">
        <v>8</v>
      </c>
      <c r="H135" s="24" t="s">
        <v>192</v>
      </c>
      <c r="I135" s="27">
        <v>9.79</v>
      </c>
    </row>
    <row r="136" spans="2:9" ht="16">
      <c r="B136" s="24" t="s">
        <v>21</v>
      </c>
      <c r="C136" s="24" t="s">
        <v>13</v>
      </c>
      <c r="D136" s="24" t="s">
        <v>104</v>
      </c>
      <c r="E136" s="24" t="s">
        <v>193</v>
      </c>
      <c r="F136" s="24" t="s">
        <v>9</v>
      </c>
      <c r="G136" s="24" t="s">
        <v>8</v>
      </c>
      <c r="H136" s="24" t="s">
        <v>24</v>
      </c>
      <c r="I136" s="27">
        <v>7341.86</v>
      </c>
    </row>
    <row r="137" spans="2:9" ht="16">
      <c r="B137" s="24" t="s">
        <v>21</v>
      </c>
      <c r="C137" s="24" t="s">
        <v>13</v>
      </c>
      <c r="D137" s="24" t="s">
        <v>194</v>
      </c>
      <c r="E137" s="24" t="s">
        <v>195</v>
      </c>
      <c r="F137" s="24" t="s">
        <v>9</v>
      </c>
      <c r="G137" s="24" t="s">
        <v>8</v>
      </c>
      <c r="H137" s="24" t="s">
        <v>24</v>
      </c>
      <c r="I137" s="27">
        <v>63.76</v>
      </c>
    </row>
    <row r="138" spans="2:9" ht="16">
      <c r="B138" s="24" t="s">
        <v>21</v>
      </c>
      <c r="C138" s="24" t="s">
        <v>13</v>
      </c>
      <c r="D138" s="24" t="s">
        <v>151</v>
      </c>
      <c r="E138" s="24" t="s">
        <v>196</v>
      </c>
      <c r="F138" s="24" t="s">
        <v>9</v>
      </c>
      <c r="G138" s="24" t="s">
        <v>8</v>
      </c>
      <c r="H138" s="24" t="s">
        <v>24</v>
      </c>
      <c r="I138" s="27">
        <v>2049.29</v>
      </c>
    </row>
    <row r="139" spans="2:9" ht="16">
      <c r="B139" s="24" t="s">
        <v>21</v>
      </c>
      <c r="C139" s="24" t="s">
        <v>13</v>
      </c>
      <c r="D139" s="24" t="s">
        <v>197</v>
      </c>
      <c r="E139" s="24" t="s">
        <v>198</v>
      </c>
      <c r="F139" s="24" t="s">
        <v>9</v>
      </c>
      <c r="G139" s="24" t="s">
        <v>8</v>
      </c>
      <c r="H139" s="24" t="s">
        <v>24</v>
      </c>
      <c r="I139" s="27">
        <v>3311.06</v>
      </c>
    </row>
    <row r="140" spans="2:9" ht="16">
      <c r="B140" s="24" t="s">
        <v>21</v>
      </c>
      <c r="C140" s="24" t="s">
        <v>13</v>
      </c>
      <c r="D140" s="24" t="s">
        <v>168</v>
      </c>
      <c r="E140" s="24" t="s">
        <v>199</v>
      </c>
      <c r="F140" s="24" t="s">
        <v>9</v>
      </c>
      <c r="G140" s="24" t="s">
        <v>8</v>
      </c>
      <c r="H140" s="24" t="s">
        <v>24</v>
      </c>
      <c r="I140" s="27">
        <v>7376.79</v>
      </c>
    </row>
    <row r="141" spans="2:9" ht="16">
      <c r="B141" s="24" t="s">
        <v>21</v>
      </c>
      <c r="C141" s="24" t="s">
        <v>13</v>
      </c>
      <c r="D141" s="24" t="s">
        <v>200</v>
      </c>
      <c r="E141" s="24" t="s">
        <v>201</v>
      </c>
      <c r="F141" s="24" t="s">
        <v>9</v>
      </c>
      <c r="G141" s="24" t="s">
        <v>8</v>
      </c>
      <c r="H141" s="24" t="s">
        <v>24</v>
      </c>
      <c r="I141" s="27">
        <v>187.32</v>
      </c>
    </row>
    <row r="142" spans="2:9" ht="16">
      <c r="B142" s="24" t="s">
        <v>21</v>
      </c>
      <c r="C142" s="24" t="s">
        <v>13</v>
      </c>
      <c r="D142" s="24" t="s">
        <v>168</v>
      </c>
      <c r="E142" s="24" t="s">
        <v>202</v>
      </c>
      <c r="F142" s="24" t="s">
        <v>9</v>
      </c>
      <c r="G142" s="24" t="s">
        <v>8</v>
      </c>
      <c r="H142" s="24" t="s">
        <v>24</v>
      </c>
      <c r="I142" s="27">
        <v>781.45</v>
      </c>
    </row>
    <row r="143" spans="2:9" ht="16">
      <c r="B143" s="24" t="s">
        <v>21</v>
      </c>
      <c r="C143" s="24" t="s">
        <v>13</v>
      </c>
      <c r="D143" s="24" t="s">
        <v>168</v>
      </c>
      <c r="E143" s="24" t="s">
        <v>203</v>
      </c>
      <c r="F143" s="24" t="s">
        <v>9</v>
      </c>
      <c r="G143" s="24" t="s">
        <v>8</v>
      </c>
      <c r="H143" s="24" t="s">
        <v>24</v>
      </c>
      <c r="I143" s="27">
        <v>7137.82</v>
      </c>
    </row>
    <row r="144" spans="2:9" ht="16">
      <c r="B144" s="24" t="s">
        <v>21</v>
      </c>
      <c r="C144" s="24" t="s">
        <v>13</v>
      </c>
      <c r="D144" s="24" t="s">
        <v>204</v>
      </c>
      <c r="E144" s="24" t="s">
        <v>205</v>
      </c>
      <c r="F144" s="24" t="s">
        <v>9</v>
      </c>
      <c r="G144" s="24" t="s">
        <v>8</v>
      </c>
      <c r="H144" s="24" t="s">
        <v>24</v>
      </c>
      <c r="I144" s="27">
        <v>153.01</v>
      </c>
    </row>
    <row r="145" spans="2:9" ht="16">
      <c r="B145" s="24" t="s">
        <v>21</v>
      </c>
      <c r="C145" s="24" t="s">
        <v>13</v>
      </c>
      <c r="D145" s="24" t="s">
        <v>206</v>
      </c>
      <c r="E145" s="24" t="s">
        <v>207</v>
      </c>
      <c r="F145" s="24" t="s">
        <v>9</v>
      </c>
      <c r="G145" s="24" t="s">
        <v>8</v>
      </c>
      <c r="H145" s="24" t="s">
        <v>24</v>
      </c>
      <c r="I145" s="27">
        <v>125.96</v>
      </c>
    </row>
    <row r="146" spans="2:9" ht="16">
      <c r="B146" s="24" t="s">
        <v>21</v>
      </c>
      <c r="C146" s="24" t="s">
        <v>13</v>
      </c>
      <c r="D146" s="24" t="s">
        <v>110</v>
      </c>
      <c r="E146" s="24" t="s">
        <v>208</v>
      </c>
      <c r="F146" s="24" t="s">
        <v>9</v>
      </c>
      <c r="G146" s="24" t="s">
        <v>8</v>
      </c>
      <c r="H146" s="24" t="s">
        <v>24</v>
      </c>
      <c r="I146" s="27">
        <v>531.89</v>
      </c>
    </row>
    <row r="147" spans="2:9" ht="16">
      <c r="B147" s="24" t="s">
        <v>21</v>
      </c>
      <c r="C147" s="24" t="s">
        <v>13</v>
      </c>
      <c r="D147" s="24" t="s">
        <v>209</v>
      </c>
      <c r="E147" s="24" t="s">
        <v>210</v>
      </c>
      <c r="F147" s="24" t="s">
        <v>9</v>
      </c>
      <c r="G147" s="24" t="s">
        <v>8</v>
      </c>
      <c r="H147" s="24" t="s">
        <v>24</v>
      </c>
      <c r="I147" s="27">
        <v>876.71</v>
      </c>
    </row>
    <row r="148" spans="2:9" ht="16">
      <c r="B148" s="24" t="s">
        <v>21</v>
      </c>
      <c r="C148" s="24" t="s">
        <v>13</v>
      </c>
      <c r="D148" s="24" t="s">
        <v>110</v>
      </c>
      <c r="E148" s="24" t="s">
        <v>211</v>
      </c>
      <c r="F148" s="24" t="s">
        <v>9</v>
      </c>
      <c r="G148" s="24" t="s">
        <v>8</v>
      </c>
      <c r="H148" s="24" t="s">
        <v>24</v>
      </c>
      <c r="I148" s="27">
        <v>2300.85</v>
      </c>
    </row>
    <row r="149" spans="2:9" ht="16">
      <c r="B149" s="24" t="s">
        <v>21</v>
      </c>
      <c r="C149" s="24" t="s">
        <v>13</v>
      </c>
      <c r="D149" s="24" t="s">
        <v>112</v>
      </c>
      <c r="E149" s="24" t="s">
        <v>212</v>
      </c>
      <c r="F149" s="24" t="s">
        <v>9</v>
      </c>
      <c r="G149" s="24" t="s">
        <v>8</v>
      </c>
      <c r="H149" s="24" t="s">
        <v>24</v>
      </c>
      <c r="I149" s="27">
        <v>438.08</v>
      </c>
    </row>
    <row r="150" spans="2:9" ht="16">
      <c r="B150" s="24" t="s">
        <v>21</v>
      </c>
      <c r="C150" s="24" t="s">
        <v>13</v>
      </c>
      <c r="D150" s="24" t="s">
        <v>112</v>
      </c>
      <c r="E150" s="24" t="s">
        <v>213</v>
      </c>
      <c r="F150" s="24" t="s">
        <v>9</v>
      </c>
      <c r="G150" s="24" t="s">
        <v>8</v>
      </c>
      <c r="H150" s="24" t="s">
        <v>24</v>
      </c>
      <c r="I150" s="27">
        <v>95.09</v>
      </c>
    </row>
    <row r="151" spans="2:9" ht="16">
      <c r="B151" s="24" t="s">
        <v>21</v>
      </c>
      <c r="C151" s="24" t="s">
        <v>13</v>
      </c>
      <c r="D151" s="24" t="s">
        <v>78</v>
      </c>
      <c r="E151" s="24" t="s">
        <v>214</v>
      </c>
      <c r="F151" s="24" t="s">
        <v>9</v>
      </c>
      <c r="G151" s="24" t="s">
        <v>8</v>
      </c>
      <c r="H151" s="24" t="s">
        <v>24</v>
      </c>
      <c r="I151" s="27">
        <v>18.5</v>
      </c>
    </row>
    <row r="152" spans="2:9" ht="16">
      <c r="B152" s="24" t="s">
        <v>21</v>
      </c>
      <c r="C152" s="24" t="s">
        <v>13</v>
      </c>
      <c r="D152" s="24" t="s">
        <v>215</v>
      </c>
      <c r="E152" s="24" t="s">
        <v>216</v>
      </c>
      <c r="F152" s="24" t="s">
        <v>9</v>
      </c>
      <c r="G152" s="24" t="s">
        <v>8</v>
      </c>
      <c r="H152" s="24" t="s">
        <v>24</v>
      </c>
      <c r="I152" s="27">
        <v>94.27</v>
      </c>
    </row>
    <row r="153" spans="2:9" ht="16">
      <c r="B153" s="24" t="s">
        <v>21</v>
      </c>
      <c r="C153" s="24" t="s">
        <v>13</v>
      </c>
      <c r="D153" s="24" t="s">
        <v>217</v>
      </c>
      <c r="E153" s="24" t="s">
        <v>218</v>
      </c>
      <c r="F153" s="24" t="s">
        <v>9</v>
      </c>
      <c r="G153" s="24" t="s">
        <v>8</v>
      </c>
      <c r="H153" s="24" t="s">
        <v>24</v>
      </c>
      <c r="I153" s="27">
        <v>4673.4</v>
      </c>
    </row>
    <row r="154" spans="2:9" ht="16">
      <c r="B154" s="24" t="s">
        <v>21</v>
      </c>
      <c r="C154" s="24" t="s">
        <v>13</v>
      </c>
      <c r="D154" s="24" t="s">
        <v>217</v>
      </c>
      <c r="E154" s="24" t="s">
        <v>219</v>
      </c>
      <c r="F154" s="24" t="s">
        <v>9</v>
      </c>
      <c r="G154" s="24" t="s">
        <v>8</v>
      </c>
      <c r="H154" s="24" t="s">
        <v>24</v>
      </c>
      <c r="I154" s="27">
        <v>140.85</v>
      </c>
    </row>
    <row r="155" spans="2:9" ht="16">
      <c r="B155" s="24" t="s">
        <v>21</v>
      </c>
      <c r="C155" s="24" t="s">
        <v>13</v>
      </c>
      <c r="D155" s="24" t="s">
        <v>217</v>
      </c>
      <c r="E155" s="24" t="s">
        <v>220</v>
      </c>
      <c r="F155" s="24" t="s">
        <v>9</v>
      </c>
      <c r="G155" s="24" t="s">
        <v>8</v>
      </c>
      <c r="H155" s="24" t="s">
        <v>24</v>
      </c>
      <c r="I155" s="27">
        <v>645.6</v>
      </c>
    </row>
    <row r="156" spans="2:9" ht="16">
      <c r="B156" s="24" t="s">
        <v>21</v>
      </c>
      <c r="C156" s="24" t="s">
        <v>13</v>
      </c>
      <c r="D156" s="24" t="s">
        <v>217</v>
      </c>
      <c r="E156" s="24" t="s">
        <v>221</v>
      </c>
      <c r="F156" s="24" t="s">
        <v>9</v>
      </c>
      <c r="G156" s="24" t="s">
        <v>8</v>
      </c>
      <c r="H156" s="24" t="s">
        <v>24</v>
      </c>
      <c r="I156" s="27">
        <v>1625.4</v>
      </c>
    </row>
    <row r="157" spans="2:9" ht="16">
      <c r="B157" s="24" t="s">
        <v>21</v>
      </c>
      <c r="C157" s="24" t="s">
        <v>13</v>
      </c>
      <c r="D157" s="24" t="s">
        <v>122</v>
      </c>
      <c r="E157" s="24" t="s">
        <v>222</v>
      </c>
      <c r="F157" s="24" t="s">
        <v>9</v>
      </c>
      <c r="G157" s="24" t="s">
        <v>8</v>
      </c>
      <c r="H157" s="24" t="s">
        <v>24</v>
      </c>
      <c r="I157" s="27">
        <v>195.48</v>
      </c>
    </row>
    <row r="158" spans="2:9" ht="16">
      <c r="B158" s="24" t="s">
        <v>21</v>
      </c>
      <c r="C158" s="24" t="s">
        <v>13</v>
      </c>
      <c r="D158" s="24" t="s">
        <v>112</v>
      </c>
      <c r="E158" s="24" t="s">
        <v>223</v>
      </c>
      <c r="F158" s="24" t="s">
        <v>9</v>
      </c>
      <c r="G158" s="24" t="s">
        <v>8</v>
      </c>
      <c r="H158" s="24" t="s">
        <v>24</v>
      </c>
      <c r="I158" s="27">
        <v>112.7</v>
      </c>
    </row>
    <row r="159" spans="2:9" ht="16">
      <c r="B159" s="24" t="s">
        <v>119</v>
      </c>
      <c r="C159" s="24" t="s">
        <v>6</v>
      </c>
      <c r="D159" s="24" t="s">
        <v>58</v>
      </c>
      <c r="E159" s="24" t="s">
        <v>8</v>
      </c>
      <c r="F159" s="24" t="s">
        <v>9</v>
      </c>
      <c r="G159" s="24" t="s">
        <v>8</v>
      </c>
      <c r="H159" s="24" t="s">
        <v>224</v>
      </c>
      <c r="I159" s="27">
        <v>44.49</v>
      </c>
    </row>
    <row r="160" spans="2:9" ht="16">
      <c r="B160" s="24" t="s">
        <v>119</v>
      </c>
      <c r="C160" s="24" t="s">
        <v>6</v>
      </c>
      <c r="D160" s="24" t="s">
        <v>215</v>
      </c>
      <c r="E160" s="24" t="s">
        <v>8</v>
      </c>
      <c r="F160" s="24" t="s">
        <v>9</v>
      </c>
      <c r="G160" s="24" t="s">
        <v>8</v>
      </c>
      <c r="H160" s="24" t="s">
        <v>225</v>
      </c>
      <c r="I160" s="27">
        <v>33.01</v>
      </c>
    </row>
    <row r="161" spans="2:9" ht="16">
      <c r="B161" s="24" t="s">
        <v>119</v>
      </c>
      <c r="C161" s="24" t="s">
        <v>6</v>
      </c>
      <c r="D161" s="24" t="s">
        <v>226</v>
      </c>
      <c r="E161" s="24" t="s">
        <v>8</v>
      </c>
      <c r="F161" s="24" t="s">
        <v>9</v>
      </c>
      <c r="G161" s="24" t="s">
        <v>8</v>
      </c>
      <c r="H161" s="24" t="s">
        <v>227</v>
      </c>
      <c r="I161" s="27">
        <v>182.1</v>
      </c>
    </row>
    <row r="162" spans="2:9" ht="16">
      <c r="B162" s="24" t="s">
        <v>119</v>
      </c>
      <c r="C162" s="24" t="s">
        <v>6</v>
      </c>
      <c r="D162" s="24" t="s">
        <v>112</v>
      </c>
      <c r="E162" s="24" t="s">
        <v>8</v>
      </c>
      <c r="F162" s="24" t="s">
        <v>9</v>
      </c>
      <c r="G162" s="24" t="s">
        <v>8</v>
      </c>
      <c r="H162" s="24" t="s">
        <v>228</v>
      </c>
      <c r="I162" s="27">
        <v>12.43</v>
      </c>
    </row>
    <row r="163" spans="2:9" ht="16">
      <c r="B163" s="24" t="s">
        <v>119</v>
      </c>
      <c r="C163" s="24" t="s">
        <v>6</v>
      </c>
      <c r="D163" s="24" t="s">
        <v>78</v>
      </c>
      <c r="E163" s="24" t="s">
        <v>8</v>
      </c>
      <c r="F163" s="24" t="s">
        <v>9</v>
      </c>
      <c r="G163" s="24" t="s">
        <v>8</v>
      </c>
      <c r="H163" s="24" t="s">
        <v>229</v>
      </c>
      <c r="I163" s="27">
        <v>32.11</v>
      </c>
    </row>
    <row r="164" spans="2:9" ht="16">
      <c r="B164" s="24" t="s">
        <v>186</v>
      </c>
      <c r="C164" s="24" t="s">
        <v>6</v>
      </c>
      <c r="D164" s="24" t="s">
        <v>168</v>
      </c>
      <c r="E164" s="24" t="s">
        <v>8</v>
      </c>
      <c r="F164" s="24" t="s">
        <v>9</v>
      </c>
      <c r="G164" s="24" t="s">
        <v>8</v>
      </c>
      <c r="H164" s="24" t="s">
        <v>230</v>
      </c>
      <c r="I164" s="27">
        <v>376.76</v>
      </c>
    </row>
    <row r="165" spans="2:9" ht="16">
      <c r="B165" s="24" t="s">
        <v>119</v>
      </c>
      <c r="C165" s="24" t="s">
        <v>6</v>
      </c>
      <c r="D165" s="24" t="s">
        <v>200</v>
      </c>
      <c r="E165" s="24" t="s">
        <v>8</v>
      </c>
      <c r="F165" s="24" t="s">
        <v>9</v>
      </c>
      <c r="G165" s="24" t="s">
        <v>8</v>
      </c>
      <c r="H165" s="24" t="s">
        <v>231</v>
      </c>
      <c r="I165" s="27">
        <v>243.31</v>
      </c>
    </row>
    <row r="166" spans="2:9" ht="16">
      <c r="B166" s="24" t="s">
        <v>119</v>
      </c>
      <c r="C166" s="24" t="s">
        <v>6</v>
      </c>
      <c r="D166" s="24" t="s">
        <v>200</v>
      </c>
      <c r="E166" s="24" t="s">
        <v>8</v>
      </c>
      <c r="F166" s="24" t="s">
        <v>9</v>
      </c>
      <c r="G166" s="24" t="s">
        <v>8</v>
      </c>
      <c r="H166" s="24" t="s">
        <v>232</v>
      </c>
      <c r="I166" s="27">
        <v>244.86</v>
      </c>
    </row>
    <row r="167" spans="2:9" ht="16">
      <c r="B167" s="24" t="s">
        <v>36</v>
      </c>
      <c r="C167" s="24" t="s">
        <v>6</v>
      </c>
      <c r="D167" s="24" t="s">
        <v>178</v>
      </c>
      <c r="E167" s="24" t="s">
        <v>8</v>
      </c>
      <c r="F167" s="24" t="s">
        <v>9</v>
      </c>
      <c r="G167" s="24" t="s">
        <v>8</v>
      </c>
      <c r="H167" s="24" t="s">
        <v>233</v>
      </c>
      <c r="I167" s="27">
        <v>108.52</v>
      </c>
    </row>
    <row r="168" spans="2:9" ht="16">
      <c r="B168" s="24" t="s">
        <v>119</v>
      </c>
      <c r="C168" s="24" t="s">
        <v>6</v>
      </c>
      <c r="D168" s="24" t="s">
        <v>166</v>
      </c>
      <c r="E168" s="24" t="s">
        <v>8</v>
      </c>
      <c r="F168" s="24" t="s">
        <v>9</v>
      </c>
      <c r="G168" s="24" t="s">
        <v>8</v>
      </c>
      <c r="H168" s="24" t="s">
        <v>234</v>
      </c>
      <c r="I168" s="27">
        <v>40.16</v>
      </c>
    </row>
    <row r="169" spans="2:9" ht="16">
      <c r="B169" s="24" t="s">
        <v>36</v>
      </c>
      <c r="C169" s="24" t="s">
        <v>6</v>
      </c>
      <c r="D169" s="24" t="s">
        <v>235</v>
      </c>
      <c r="E169" s="24" t="s">
        <v>8</v>
      </c>
      <c r="F169" s="24" t="s">
        <v>9</v>
      </c>
      <c r="G169" s="24" t="s">
        <v>8</v>
      </c>
      <c r="H169" s="24" t="s">
        <v>236</v>
      </c>
      <c r="I169" s="27">
        <v>19.55</v>
      </c>
    </row>
    <row r="170" spans="2:9" ht="16">
      <c r="B170" s="24" t="s">
        <v>119</v>
      </c>
      <c r="C170" s="24" t="s">
        <v>6</v>
      </c>
      <c r="D170" s="24" t="s">
        <v>165</v>
      </c>
      <c r="E170" s="24" t="s">
        <v>8</v>
      </c>
      <c r="F170" s="24" t="s">
        <v>9</v>
      </c>
      <c r="G170" s="24" t="s">
        <v>8</v>
      </c>
      <c r="H170" s="24" t="s">
        <v>237</v>
      </c>
      <c r="I170" s="27">
        <v>277.89</v>
      </c>
    </row>
    <row r="171" spans="2:9" ht="16">
      <c r="B171" s="24" t="s">
        <v>127</v>
      </c>
      <c r="C171" s="24" t="s">
        <v>6</v>
      </c>
      <c r="D171" s="24" t="s">
        <v>174</v>
      </c>
      <c r="E171" s="24" t="s">
        <v>8</v>
      </c>
      <c r="F171" s="24" t="s">
        <v>9</v>
      </c>
      <c r="G171" s="24" t="s">
        <v>8</v>
      </c>
      <c r="H171" s="24" t="s">
        <v>238</v>
      </c>
      <c r="I171" s="27">
        <v>27.32</v>
      </c>
    </row>
    <row r="172" spans="2:9" ht="16">
      <c r="B172" s="24" t="s">
        <v>239</v>
      </c>
      <c r="C172" s="24" t="s">
        <v>6</v>
      </c>
      <c r="D172" s="24" t="s">
        <v>240</v>
      </c>
      <c r="E172" s="24" t="s">
        <v>8</v>
      </c>
      <c r="F172" s="24" t="s">
        <v>9</v>
      </c>
      <c r="G172" s="24" t="s">
        <v>8</v>
      </c>
      <c r="H172" s="24" t="s">
        <v>241</v>
      </c>
      <c r="I172" s="27">
        <v>71.67</v>
      </c>
    </row>
    <row r="173" spans="2:9" ht="16">
      <c r="B173" s="24" t="s">
        <v>119</v>
      </c>
      <c r="C173" s="24" t="s">
        <v>6</v>
      </c>
      <c r="D173" s="24" t="s">
        <v>104</v>
      </c>
      <c r="E173" s="24" t="s">
        <v>8</v>
      </c>
      <c r="F173" s="24" t="s">
        <v>9</v>
      </c>
      <c r="G173" s="24" t="s">
        <v>8</v>
      </c>
      <c r="H173" s="24" t="s">
        <v>242</v>
      </c>
      <c r="I173" s="27">
        <v>19.16</v>
      </c>
    </row>
    <row r="174" spans="2:9" ht="16">
      <c r="B174" s="24" t="s">
        <v>119</v>
      </c>
      <c r="C174" s="24" t="s">
        <v>6</v>
      </c>
      <c r="D174" s="24" t="s">
        <v>243</v>
      </c>
      <c r="E174" s="24" t="s">
        <v>8</v>
      </c>
      <c r="F174" s="24" t="s">
        <v>9</v>
      </c>
      <c r="G174" s="24" t="s">
        <v>8</v>
      </c>
      <c r="H174" s="24" t="s">
        <v>244</v>
      </c>
      <c r="I174" s="27">
        <v>21.71</v>
      </c>
    </row>
    <row r="175" spans="2:9" ht="16">
      <c r="B175" s="24" t="s">
        <v>119</v>
      </c>
      <c r="C175" s="24" t="s">
        <v>6</v>
      </c>
      <c r="D175" s="24" t="s">
        <v>245</v>
      </c>
      <c r="E175" s="24" t="s">
        <v>8</v>
      </c>
      <c r="F175" s="24" t="s">
        <v>9</v>
      </c>
      <c r="G175" s="24" t="s">
        <v>8</v>
      </c>
      <c r="H175" s="24" t="s">
        <v>246</v>
      </c>
      <c r="I175" s="27">
        <v>45.86</v>
      </c>
    </row>
    <row r="176" spans="2:9" ht="16">
      <c r="B176" s="24" t="s">
        <v>21</v>
      </c>
      <c r="C176" s="24" t="s">
        <v>13</v>
      </c>
      <c r="D176" s="24" t="s">
        <v>247</v>
      </c>
      <c r="E176" s="24" t="s">
        <v>248</v>
      </c>
      <c r="F176" s="24" t="s">
        <v>9</v>
      </c>
      <c r="G176" s="24" t="s">
        <v>8</v>
      </c>
      <c r="H176" s="24" t="s">
        <v>249</v>
      </c>
      <c r="I176" s="27">
        <v>-729.66</v>
      </c>
    </row>
    <row r="177" spans="2:9" ht="16">
      <c r="B177" s="24" t="s">
        <v>250</v>
      </c>
      <c r="C177" s="24" t="s">
        <v>6</v>
      </c>
      <c r="D177" s="24" t="s">
        <v>251</v>
      </c>
      <c r="E177" s="24" t="s">
        <v>8</v>
      </c>
      <c r="F177" s="24" t="s">
        <v>9</v>
      </c>
      <c r="G177" s="24" t="s">
        <v>8</v>
      </c>
      <c r="H177" s="24" t="s">
        <v>252</v>
      </c>
      <c r="I177" s="27">
        <v>6.39</v>
      </c>
    </row>
    <row r="178" spans="1:9" ht="16">
      <c r="A178" s="35" t="s">
        <v>40</v>
      </c>
      <c r="I178" s="28">
        <f>I127+I128+I129+I130+I131+I132+I133+I134+I135+I136+I137+I138+I139+I140+I141+I142+I143+I144+I145+I146+I147+I148+I149+I150+I151+I152+I153+I154+I155+I156+I157+I158+I159+I160+I161+I162+I163+I164+I165+I166+I167+I168+I169+I170+I171+I172+I173+I174+I175+I176+I177</f>
        <v>41485.109999999986</v>
      </c>
    </row>
    <row r="179" spans="1:1" ht="16">
      <c r="A179" s="34" t="s">
        <v>173</v>
      </c>
    </row>
    <row r="180" spans="2:9" ht="16">
      <c r="B180" s="24" t="s">
        <v>253</v>
      </c>
      <c r="C180" s="24" t="s">
        <v>6</v>
      </c>
      <c r="D180" s="24" t="s">
        <v>254</v>
      </c>
      <c r="E180" s="24" t="s">
        <v>8</v>
      </c>
      <c r="F180" s="24" t="s">
        <v>42</v>
      </c>
      <c r="G180" s="24" t="s">
        <v>8</v>
      </c>
      <c r="H180" s="24" t="s">
        <v>255</v>
      </c>
      <c r="I180" s="27">
        <v>190.0</v>
      </c>
    </row>
    <row r="181" spans="2:9" ht="16">
      <c r="B181" s="24" t="s">
        <v>256</v>
      </c>
      <c r="C181" s="24" t="s">
        <v>6</v>
      </c>
      <c r="D181" s="24" t="s">
        <v>104</v>
      </c>
      <c r="E181" s="24" t="s">
        <v>8</v>
      </c>
      <c r="F181" s="24" t="s">
        <v>42</v>
      </c>
      <c r="G181" s="24" t="s">
        <v>8</v>
      </c>
      <c r="H181" s="24" t="s">
        <v>257</v>
      </c>
      <c r="I181" s="27">
        <v>34.92</v>
      </c>
    </row>
    <row r="182" spans="2:9" ht="16">
      <c r="B182" s="24" t="s">
        <v>258</v>
      </c>
      <c r="C182" s="24" t="s">
        <v>6</v>
      </c>
      <c r="D182" s="24" t="s">
        <v>259</v>
      </c>
      <c r="E182" s="24" t="s">
        <v>8</v>
      </c>
      <c r="F182" s="24" t="s">
        <v>42</v>
      </c>
      <c r="G182" s="24" t="s">
        <v>8</v>
      </c>
      <c r="H182" s="24" t="s">
        <v>260</v>
      </c>
      <c r="I182" s="27">
        <v>40.02</v>
      </c>
    </row>
    <row r="183" spans="2:9" ht="16">
      <c r="B183" s="24" t="s">
        <v>261</v>
      </c>
      <c r="C183" s="24" t="s">
        <v>6</v>
      </c>
      <c r="D183" s="24" t="s">
        <v>262</v>
      </c>
      <c r="E183" s="24" t="s">
        <v>8</v>
      </c>
      <c r="F183" s="24" t="s">
        <v>42</v>
      </c>
      <c r="G183" s="24" t="s">
        <v>8</v>
      </c>
      <c r="H183" s="24" t="s">
        <v>263</v>
      </c>
      <c r="I183" s="27">
        <v>40.66</v>
      </c>
    </row>
    <row r="184" spans="1:9" ht="16">
      <c r="A184" s="35" t="s">
        <v>149</v>
      </c>
      <c r="I184" s="28">
        <f>I179+I180+I181+I182+I183</f>
        <v>305.6</v>
      </c>
    </row>
    <row r="185" spans="1:1" ht="16">
      <c r="A185" s="34" t="s">
        <v>173</v>
      </c>
    </row>
    <row r="186" spans="2:9" ht="16">
      <c r="B186" s="24" t="s">
        <v>155</v>
      </c>
      <c r="C186" s="24" t="s">
        <v>13</v>
      </c>
      <c r="D186" s="24" t="s">
        <v>264</v>
      </c>
      <c r="E186" s="24" t="s">
        <v>265</v>
      </c>
      <c r="F186" s="24" t="s">
        <v>42</v>
      </c>
      <c r="G186" s="24" t="s">
        <v>8</v>
      </c>
      <c r="H186" s="24" t="s">
        <v>157</v>
      </c>
      <c r="I186" s="27">
        <v>193.76</v>
      </c>
    </row>
    <row r="187" spans="1:9" ht="16">
      <c r="A187" s="35" t="s">
        <v>158</v>
      </c>
      <c r="I187" s="28">
        <f>I185+I186</f>
        <v>193.76</v>
      </c>
    </row>
    <row r="188" spans="1:1" ht="16">
      <c r="A188" s="34" t="s">
        <v>173</v>
      </c>
    </row>
    <row r="189" spans="2:9" ht="16">
      <c r="B189" s="24" t="s">
        <v>21</v>
      </c>
      <c r="C189" s="24" t="s">
        <v>13</v>
      </c>
      <c r="D189" s="24" t="s">
        <v>112</v>
      </c>
      <c r="E189" s="24" t="s">
        <v>266</v>
      </c>
      <c r="F189" s="24" t="s">
        <v>9</v>
      </c>
      <c r="G189" s="24" t="s">
        <v>8</v>
      </c>
      <c r="H189" s="24" t="s">
        <v>24</v>
      </c>
      <c r="I189" s="27">
        <v>487.52</v>
      </c>
    </row>
    <row r="190" spans="1:9" ht="16">
      <c r="A190" s="35" t="s">
        <v>267</v>
      </c>
      <c r="I190" s="28">
        <f>I188+I189</f>
        <v>487.52</v>
      </c>
    </row>
    <row r="191" spans="1:1" ht="16">
      <c r="A191" s="34" t="s">
        <v>173</v>
      </c>
    </row>
    <row r="192" spans="2:9" ht="16">
      <c r="B192" s="24" t="s">
        <v>159</v>
      </c>
      <c r="C192" s="24" t="s">
        <v>13</v>
      </c>
      <c r="D192" s="24" t="s">
        <v>268</v>
      </c>
      <c r="E192" s="24" t="s">
        <v>269</v>
      </c>
      <c r="F192" s="24" t="s">
        <v>9</v>
      </c>
      <c r="G192" s="24" t="s">
        <v>8</v>
      </c>
      <c r="H192" s="24" t="s">
        <v>159</v>
      </c>
      <c r="I192" s="27">
        <v>2685.0</v>
      </c>
    </row>
    <row r="193" spans="2:9" ht="16">
      <c r="B193" s="24" t="s">
        <v>159</v>
      </c>
      <c r="C193" s="24" t="s">
        <v>13</v>
      </c>
      <c r="D193" s="24" t="s">
        <v>270</v>
      </c>
      <c r="E193" s="24" t="s">
        <v>271</v>
      </c>
      <c r="F193" s="24" t="s">
        <v>9</v>
      </c>
      <c r="G193" s="24" t="s">
        <v>8</v>
      </c>
      <c r="H193" s="24" t="s">
        <v>163</v>
      </c>
      <c r="I193" s="27">
        <v>30840.0</v>
      </c>
    </row>
    <row r="194" spans="1:9" ht="16">
      <c r="A194" s="35" t="s">
        <v>164</v>
      </c>
      <c r="I194" s="28">
        <f>I191+I192+I193</f>
        <v>33525.0</v>
      </c>
    </row>
    <row r="195" spans="1:1" ht="16">
      <c r="A195" s="34" t="s">
        <v>173</v>
      </c>
    </row>
    <row r="196" spans="2:9" ht="16">
      <c r="B196" s="24" t="s">
        <v>45</v>
      </c>
      <c r="C196" s="24" t="s">
        <v>6</v>
      </c>
      <c r="D196" s="24" t="s">
        <v>240</v>
      </c>
      <c r="E196" s="24" t="s">
        <v>8</v>
      </c>
      <c r="F196" s="24" t="s">
        <v>9</v>
      </c>
      <c r="G196" s="24" t="s">
        <v>8</v>
      </c>
      <c r="H196" s="24" t="s">
        <v>47</v>
      </c>
      <c r="I196" s="27">
        <v>1307.13</v>
      </c>
    </row>
    <row r="197" spans="2:9" ht="16">
      <c r="B197" s="24" t="s">
        <v>45</v>
      </c>
      <c r="C197" s="24" t="s">
        <v>6</v>
      </c>
      <c r="D197" s="24" t="s">
        <v>48</v>
      </c>
      <c r="E197" s="24" t="s">
        <v>8</v>
      </c>
      <c r="F197" s="24" t="s">
        <v>9</v>
      </c>
      <c r="G197" s="24" t="s">
        <v>8</v>
      </c>
      <c r="H197" s="24" t="s">
        <v>47</v>
      </c>
      <c r="I197" s="27">
        <v>2823.68</v>
      </c>
    </row>
    <row r="198" spans="2:9" ht="16">
      <c r="B198" s="24" t="s">
        <v>45</v>
      </c>
      <c r="C198" s="24" t="s">
        <v>6</v>
      </c>
      <c r="D198" s="24" t="s">
        <v>272</v>
      </c>
      <c r="E198" s="24" t="s">
        <v>8</v>
      </c>
      <c r="F198" s="24" t="s">
        <v>9</v>
      </c>
      <c r="G198" s="24" t="s">
        <v>8</v>
      </c>
      <c r="H198" s="24" t="s">
        <v>47</v>
      </c>
      <c r="I198" s="27">
        <v>51.26</v>
      </c>
    </row>
    <row r="199" spans="2:9" ht="16">
      <c r="B199" s="24" t="s">
        <v>45</v>
      </c>
      <c r="C199" s="24" t="s">
        <v>6</v>
      </c>
      <c r="D199" s="24" t="s">
        <v>273</v>
      </c>
      <c r="E199" s="24" t="s">
        <v>8</v>
      </c>
      <c r="F199" s="24" t="s">
        <v>9</v>
      </c>
      <c r="G199" s="24" t="s">
        <v>8</v>
      </c>
      <c r="H199" s="24" t="s">
        <v>47</v>
      </c>
      <c r="I199" s="27">
        <v>13776.13</v>
      </c>
    </row>
    <row r="200" spans="2:9" ht="16">
      <c r="B200" s="24" t="s">
        <v>8</v>
      </c>
      <c r="C200" s="24" t="s">
        <v>6</v>
      </c>
      <c r="D200" s="24" t="s">
        <v>274</v>
      </c>
      <c r="E200" s="24" t="s">
        <v>8</v>
      </c>
      <c r="F200" s="24" t="s">
        <v>9</v>
      </c>
      <c r="G200" s="24" t="s">
        <v>8</v>
      </c>
      <c r="H200" s="24" t="s">
        <v>47</v>
      </c>
      <c r="I200" s="27">
        <v>1133.8</v>
      </c>
    </row>
    <row r="201" spans="2:9" ht="16">
      <c r="B201" s="24" t="s">
        <v>45</v>
      </c>
      <c r="C201" s="24" t="s">
        <v>13</v>
      </c>
      <c r="D201" s="24" t="s">
        <v>165</v>
      </c>
      <c r="E201" s="24" t="s">
        <v>8</v>
      </c>
      <c r="F201" s="24" t="s">
        <v>9</v>
      </c>
      <c r="G201" s="24" t="s">
        <v>8</v>
      </c>
      <c r="H201" s="24" t="s">
        <v>8</v>
      </c>
      <c r="I201" s="27">
        <v>5946.16</v>
      </c>
    </row>
    <row r="202" spans="1:9" ht="16">
      <c r="A202" s="35" t="s">
        <v>50</v>
      </c>
      <c r="I202" s="28">
        <f>I195+I196+I197+I198+I199+I200+I201</f>
        <v>25038.159999999996</v>
      </c>
    </row>
    <row r="203" spans="1:1" ht="16">
      <c r="A203" s="34" t="s">
        <v>173</v>
      </c>
    </row>
    <row r="204" spans="2:9" ht="16">
      <c r="B204" s="24" t="s">
        <v>51</v>
      </c>
      <c r="C204" s="24" t="s">
        <v>6</v>
      </c>
      <c r="D204" s="24" t="s">
        <v>183</v>
      </c>
      <c r="E204" s="24" t="s">
        <v>8</v>
      </c>
      <c r="F204" s="24" t="s">
        <v>9</v>
      </c>
      <c r="G204" s="24" t="s">
        <v>8</v>
      </c>
      <c r="H204" s="24" t="s">
        <v>275</v>
      </c>
      <c r="I204" s="27">
        <v>7058.0</v>
      </c>
    </row>
    <row r="205" spans="2:9" ht="16">
      <c r="B205" s="24" t="s">
        <v>51</v>
      </c>
      <c r="C205" s="24" t="s">
        <v>6</v>
      </c>
      <c r="D205" s="24" t="s">
        <v>276</v>
      </c>
      <c r="E205" s="24" t="s">
        <v>8</v>
      </c>
      <c r="F205" s="24" t="s">
        <v>9</v>
      </c>
      <c r="G205" s="24" t="s">
        <v>8</v>
      </c>
      <c r="H205" s="24" t="s">
        <v>277</v>
      </c>
      <c r="I205" s="27">
        <v>8162.79</v>
      </c>
    </row>
    <row r="206" spans="2:9" ht="16">
      <c r="B206" s="24" t="s">
        <v>51</v>
      </c>
      <c r="C206" s="24" t="s">
        <v>6</v>
      </c>
      <c r="D206" s="24" t="s">
        <v>165</v>
      </c>
      <c r="E206" s="24" t="s">
        <v>8</v>
      </c>
      <c r="F206" s="24" t="s">
        <v>9</v>
      </c>
      <c r="G206" s="24" t="s">
        <v>8</v>
      </c>
      <c r="H206" s="24" t="s">
        <v>278</v>
      </c>
      <c r="I206" s="27">
        <v>6336.39</v>
      </c>
    </row>
    <row r="207" spans="2:9" ht="16">
      <c r="B207" s="24" t="s">
        <v>51</v>
      </c>
      <c r="C207" s="24" t="s">
        <v>6</v>
      </c>
      <c r="D207" s="24" t="s">
        <v>166</v>
      </c>
      <c r="E207" s="24" t="s">
        <v>8</v>
      </c>
      <c r="F207" s="24" t="s">
        <v>9</v>
      </c>
      <c r="G207" s="24" t="s">
        <v>8</v>
      </c>
      <c r="H207" s="24" t="s">
        <v>167</v>
      </c>
      <c r="I207" s="27">
        <v>4464.15</v>
      </c>
    </row>
    <row r="208" spans="2:9" ht="16">
      <c r="B208" s="24" t="s">
        <v>51</v>
      </c>
      <c r="C208" s="24" t="s">
        <v>6</v>
      </c>
      <c r="D208" s="24" t="s">
        <v>168</v>
      </c>
      <c r="E208" s="24" t="s">
        <v>8</v>
      </c>
      <c r="F208" s="24" t="s">
        <v>9</v>
      </c>
      <c r="G208" s="24" t="s">
        <v>8</v>
      </c>
      <c r="H208" s="24" t="s">
        <v>169</v>
      </c>
      <c r="I208" s="27">
        <v>811.78</v>
      </c>
    </row>
    <row r="209" spans="2:9" ht="16">
      <c r="B209" s="24" t="s">
        <v>51</v>
      </c>
      <c r="C209" s="24" t="s">
        <v>6</v>
      </c>
      <c r="D209" s="24" t="s">
        <v>235</v>
      </c>
      <c r="E209" s="24" t="s">
        <v>8</v>
      </c>
      <c r="F209" s="24" t="s">
        <v>9</v>
      </c>
      <c r="G209" s="24" t="s">
        <v>8</v>
      </c>
      <c r="H209" s="24" t="s">
        <v>279</v>
      </c>
      <c r="I209" s="27">
        <v>3843.51</v>
      </c>
    </row>
    <row r="210" spans="2:9" ht="16">
      <c r="B210" s="24" t="s">
        <v>51</v>
      </c>
      <c r="C210" s="24" t="s">
        <v>6</v>
      </c>
      <c r="D210" s="24" t="s">
        <v>280</v>
      </c>
      <c r="E210" s="24" t="s">
        <v>8</v>
      </c>
      <c r="F210" s="24" t="s">
        <v>9</v>
      </c>
      <c r="G210" s="24" t="s">
        <v>8</v>
      </c>
      <c r="H210" s="24" t="s">
        <v>53</v>
      </c>
      <c r="I210" s="27">
        <v>243.54</v>
      </c>
    </row>
    <row r="211" spans="2:9" ht="16">
      <c r="B211" s="24" t="s">
        <v>51</v>
      </c>
      <c r="C211" s="24" t="s">
        <v>6</v>
      </c>
      <c r="D211" s="24" t="s">
        <v>122</v>
      </c>
      <c r="E211" s="24" t="s">
        <v>8</v>
      </c>
      <c r="F211" s="24" t="s">
        <v>9</v>
      </c>
      <c r="G211" s="24" t="s">
        <v>8</v>
      </c>
      <c r="H211" s="24" t="s">
        <v>53</v>
      </c>
      <c r="I211" s="27">
        <v>4494.41</v>
      </c>
    </row>
    <row r="212" spans="2:9" ht="16">
      <c r="B212" s="24" t="s">
        <v>51</v>
      </c>
      <c r="C212" s="24" t="s">
        <v>6</v>
      </c>
      <c r="D212" s="24" t="s">
        <v>110</v>
      </c>
      <c r="E212" s="24" t="s">
        <v>8</v>
      </c>
      <c r="F212" s="24" t="s">
        <v>9</v>
      </c>
      <c r="G212" s="24" t="s">
        <v>8</v>
      </c>
      <c r="H212" s="24" t="s">
        <v>53</v>
      </c>
      <c r="I212" s="27">
        <v>4860.7</v>
      </c>
    </row>
    <row r="213" spans="2:9" ht="16">
      <c r="B213" s="24" t="s">
        <v>51</v>
      </c>
      <c r="C213" s="24" t="s">
        <v>6</v>
      </c>
      <c r="D213" s="24" t="s">
        <v>281</v>
      </c>
      <c r="E213" s="24" t="s">
        <v>8</v>
      </c>
      <c r="F213" s="24" t="s">
        <v>9</v>
      </c>
      <c r="G213" s="24" t="s">
        <v>8</v>
      </c>
      <c r="H213" s="24" t="s">
        <v>53</v>
      </c>
      <c r="I213" s="27">
        <v>1644.6</v>
      </c>
    </row>
    <row r="214" spans="2:9" ht="16">
      <c r="B214" s="24" t="s">
        <v>51</v>
      </c>
      <c r="C214" s="24" t="s">
        <v>6</v>
      </c>
      <c r="D214" s="24" t="s">
        <v>282</v>
      </c>
      <c r="E214" s="24" t="s">
        <v>8</v>
      </c>
      <c r="F214" s="24" t="s">
        <v>9</v>
      </c>
      <c r="G214" s="24" t="s">
        <v>8</v>
      </c>
      <c r="H214" s="24" t="s">
        <v>53</v>
      </c>
      <c r="I214" s="27">
        <v>240.23</v>
      </c>
    </row>
    <row r="215" spans="2:9" ht="16">
      <c r="B215" s="24" t="s">
        <v>51</v>
      </c>
      <c r="C215" s="24" t="s">
        <v>6</v>
      </c>
      <c r="D215" s="24" t="s">
        <v>283</v>
      </c>
      <c r="E215" s="24" t="s">
        <v>8</v>
      </c>
      <c r="F215" s="24" t="s">
        <v>9</v>
      </c>
      <c r="G215" s="24" t="s">
        <v>8</v>
      </c>
      <c r="H215" s="24" t="s">
        <v>53</v>
      </c>
      <c r="I215" s="27">
        <v>405.89</v>
      </c>
    </row>
    <row r="216" spans="2:9" ht="16">
      <c r="B216" s="24" t="s">
        <v>51</v>
      </c>
      <c r="C216" s="24" t="s">
        <v>6</v>
      </c>
      <c r="D216" s="24" t="s">
        <v>52</v>
      </c>
      <c r="E216" s="24" t="s">
        <v>8</v>
      </c>
      <c r="F216" s="24" t="s">
        <v>9</v>
      </c>
      <c r="G216" s="24" t="s">
        <v>8</v>
      </c>
      <c r="H216" s="24" t="s">
        <v>53</v>
      </c>
      <c r="I216" s="27">
        <v>522.79</v>
      </c>
    </row>
    <row r="217" spans="2:9" ht="16">
      <c r="B217" s="24" t="s">
        <v>51</v>
      </c>
      <c r="C217" s="24" t="s">
        <v>6</v>
      </c>
      <c r="D217" s="24" t="s">
        <v>284</v>
      </c>
      <c r="E217" s="24" t="s">
        <v>8</v>
      </c>
      <c r="F217" s="24" t="s">
        <v>9</v>
      </c>
      <c r="G217" s="24" t="s">
        <v>8</v>
      </c>
      <c r="H217" s="24" t="s">
        <v>53</v>
      </c>
      <c r="I217" s="27">
        <v>111.12</v>
      </c>
    </row>
    <row r="218" spans="2:9" ht="16">
      <c r="B218" s="24" t="s">
        <v>51</v>
      </c>
      <c r="C218" s="24" t="s">
        <v>6</v>
      </c>
      <c r="D218" s="24" t="s">
        <v>133</v>
      </c>
      <c r="E218" s="24" t="s">
        <v>8</v>
      </c>
      <c r="F218" s="24" t="s">
        <v>9</v>
      </c>
      <c r="G218" s="24" t="s">
        <v>8</v>
      </c>
      <c r="H218" s="24" t="s">
        <v>53</v>
      </c>
      <c r="I218" s="27">
        <v>2446.37</v>
      </c>
    </row>
    <row r="219" spans="2:9" ht="16">
      <c r="B219" s="24" t="s">
        <v>51</v>
      </c>
      <c r="C219" s="24" t="s">
        <v>6</v>
      </c>
      <c r="D219" s="24" t="s">
        <v>170</v>
      </c>
      <c r="E219" s="24" t="s">
        <v>8</v>
      </c>
      <c r="F219" s="24" t="s">
        <v>9</v>
      </c>
      <c r="G219" s="24" t="s">
        <v>8</v>
      </c>
      <c r="H219" s="24" t="s">
        <v>53</v>
      </c>
      <c r="I219" s="27">
        <v>1077.2</v>
      </c>
    </row>
    <row r="220" spans="2:9" ht="16">
      <c r="B220" s="24" t="s">
        <v>51</v>
      </c>
      <c r="C220" s="24" t="s">
        <v>6</v>
      </c>
      <c r="D220" s="24" t="s">
        <v>254</v>
      </c>
      <c r="E220" s="24" t="s">
        <v>8</v>
      </c>
      <c r="F220" s="24" t="s">
        <v>9</v>
      </c>
      <c r="G220" s="24" t="s">
        <v>8</v>
      </c>
      <c r="H220" s="24" t="s">
        <v>53</v>
      </c>
      <c r="I220" s="27">
        <v>1002.8</v>
      </c>
    </row>
    <row r="221" spans="2:9" ht="16">
      <c r="B221" s="24" t="s">
        <v>51</v>
      </c>
      <c r="C221" s="24" t="s">
        <v>6</v>
      </c>
      <c r="D221" s="24" t="s">
        <v>285</v>
      </c>
      <c r="E221" s="24" t="s">
        <v>8</v>
      </c>
      <c r="F221" s="24" t="s">
        <v>9</v>
      </c>
      <c r="G221" s="24" t="s">
        <v>8</v>
      </c>
      <c r="H221" s="24" t="s">
        <v>53</v>
      </c>
      <c r="I221" s="27">
        <v>3566.74</v>
      </c>
    </row>
    <row r="222" spans="2:9" ht="16">
      <c r="B222" s="24" t="s">
        <v>51</v>
      </c>
      <c r="C222" s="24" t="s">
        <v>6</v>
      </c>
      <c r="D222" s="24" t="s">
        <v>286</v>
      </c>
      <c r="E222" s="24" t="s">
        <v>8</v>
      </c>
      <c r="F222" s="24" t="s">
        <v>9</v>
      </c>
      <c r="G222" s="24" t="s">
        <v>8</v>
      </c>
      <c r="H222" s="24" t="s">
        <v>53</v>
      </c>
      <c r="I222" s="27">
        <v>769.46</v>
      </c>
    </row>
    <row r="223" spans="2:9" ht="16">
      <c r="B223" s="24" t="s">
        <v>51</v>
      </c>
      <c r="C223" s="24" t="s">
        <v>6</v>
      </c>
      <c r="D223" s="24" t="s">
        <v>287</v>
      </c>
      <c r="E223" s="24" t="s">
        <v>8</v>
      </c>
      <c r="F223" s="24" t="s">
        <v>9</v>
      </c>
      <c r="G223" s="24" t="s">
        <v>8</v>
      </c>
      <c r="H223" s="24" t="s">
        <v>53</v>
      </c>
      <c r="I223" s="27">
        <v>507.29</v>
      </c>
    </row>
    <row r="224" spans="2:9" ht="16">
      <c r="B224" s="24" t="s">
        <v>51</v>
      </c>
      <c r="C224" s="24" t="s">
        <v>6</v>
      </c>
      <c r="D224" s="24" t="s">
        <v>93</v>
      </c>
      <c r="E224" s="24" t="s">
        <v>8</v>
      </c>
      <c r="F224" s="24" t="s">
        <v>9</v>
      </c>
      <c r="G224" s="24" t="s">
        <v>8</v>
      </c>
      <c r="H224" s="24" t="s">
        <v>53</v>
      </c>
      <c r="I224" s="27">
        <v>1430.82</v>
      </c>
    </row>
    <row r="225" spans="1:9" ht="16">
      <c r="A225" s="35" t="s">
        <v>67</v>
      </c>
      <c r="I225" s="28">
        <f>I203+I204+I205+I206+I207+I208+I209+I210+I211+I212+I213+I214+I215+I216+I217+I218+I219+I220+I221+I222+I223+I224</f>
        <v>54000.58000000001</v>
      </c>
    </row>
    <row r="226" spans="1:9" ht="16">
      <c r="A226" s="36" t="s">
        <v>288</v>
      </c>
      <c r="I226" s="28">
        <f>I126+I178+I184+I187+I190+I194+I202+I225</f>
        <v>156545.58</v>
      </c>
    </row>
    <row r="227" spans="1:1" ht="16">
      <c r="A227" s="33" t="s">
        <v>3</v>
      </c>
    </row>
    <row r="228" spans="1:1" ht="16">
      <c r="A228" s="34" t="s">
        <v>289</v>
      </c>
    </row>
    <row r="229" spans="2:9" ht="16">
      <c r="B229" s="24" t="s">
        <v>119</v>
      </c>
      <c r="C229" s="24" t="s">
        <v>6</v>
      </c>
      <c r="D229" s="24" t="s">
        <v>290</v>
      </c>
      <c r="E229" s="24" t="s">
        <v>291</v>
      </c>
      <c r="F229" s="24" t="s">
        <v>9</v>
      </c>
      <c r="G229" s="24" t="s">
        <v>8</v>
      </c>
      <c r="H229" s="24" t="s">
        <v>292</v>
      </c>
      <c r="I229" s="27">
        <v>70.14</v>
      </c>
    </row>
    <row r="230" spans="1:9" ht="16">
      <c r="A230" s="35" t="s">
        <v>11</v>
      </c>
      <c r="I230" s="28">
        <f>I228+I229</f>
        <v>70.14</v>
      </c>
    </row>
    <row r="231" spans="1:1" ht="16">
      <c r="A231" s="34" t="s">
        <v>289</v>
      </c>
    </row>
    <row r="232" spans="2:9" ht="16">
      <c r="B232" s="24" t="s">
        <v>293</v>
      </c>
      <c r="C232" s="24" t="s">
        <v>6</v>
      </c>
      <c r="D232" s="24" t="s">
        <v>294</v>
      </c>
      <c r="E232" s="24" t="s">
        <v>295</v>
      </c>
      <c r="F232" s="24" t="s">
        <v>9</v>
      </c>
      <c r="G232" s="24" t="s">
        <v>8</v>
      </c>
      <c r="H232" s="24" t="s">
        <v>295</v>
      </c>
      <c r="I232" s="27">
        <v>135.78</v>
      </c>
    </row>
    <row r="233" spans="2:9" ht="16">
      <c r="B233" s="24" t="s">
        <v>86</v>
      </c>
      <c r="C233" s="24" t="s">
        <v>13</v>
      </c>
      <c r="D233" s="24" t="s">
        <v>296</v>
      </c>
      <c r="E233" s="24" t="s">
        <v>297</v>
      </c>
      <c r="F233" s="24" t="s">
        <v>9</v>
      </c>
      <c r="G233" s="24" t="s">
        <v>8</v>
      </c>
      <c r="H233" s="24" t="s">
        <v>89</v>
      </c>
      <c r="I233" s="27">
        <v>265.39</v>
      </c>
    </row>
    <row r="234" spans="2:9" ht="16">
      <c r="B234" s="24" t="s">
        <v>119</v>
      </c>
      <c r="C234" s="24" t="s">
        <v>6</v>
      </c>
      <c r="D234" s="24" t="s">
        <v>18</v>
      </c>
      <c r="E234" s="24" t="s">
        <v>298</v>
      </c>
      <c r="F234" s="24" t="s">
        <v>9</v>
      </c>
      <c r="G234" s="24" t="s">
        <v>8</v>
      </c>
      <c r="H234" s="24" t="s">
        <v>119</v>
      </c>
      <c r="I234" s="27">
        <v>61.24</v>
      </c>
    </row>
    <row r="235" spans="2:9" ht="16">
      <c r="B235" s="24" t="s">
        <v>21</v>
      </c>
      <c r="C235" s="24" t="s">
        <v>13</v>
      </c>
      <c r="D235" s="24" t="s">
        <v>299</v>
      </c>
      <c r="E235" s="24" t="s">
        <v>300</v>
      </c>
      <c r="F235" s="24" t="s">
        <v>9</v>
      </c>
      <c r="G235" s="24" t="s">
        <v>8</v>
      </c>
      <c r="H235" s="24" t="s">
        <v>24</v>
      </c>
      <c r="I235" s="27">
        <v>257.07</v>
      </c>
    </row>
    <row r="236" spans="2:9" ht="16">
      <c r="B236" s="24" t="s">
        <v>21</v>
      </c>
      <c r="C236" s="24" t="s">
        <v>13</v>
      </c>
      <c r="D236" s="24" t="s">
        <v>299</v>
      </c>
      <c r="E236" s="24" t="s">
        <v>301</v>
      </c>
      <c r="F236" s="24" t="s">
        <v>9</v>
      </c>
      <c r="G236" s="24" t="s">
        <v>8</v>
      </c>
      <c r="H236" s="24" t="s">
        <v>24</v>
      </c>
      <c r="I236" s="27">
        <v>684.81</v>
      </c>
    </row>
    <row r="237" spans="2:9" ht="16">
      <c r="B237" s="24" t="s">
        <v>119</v>
      </c>
      <c r="C237" s="24" t="s">
        <v>6</v>
      </c>
      <c r="D237" s="24" t="s">
        <v>302</v>
      </c>
      <c r="E237" s="24" t="s">
        <v>303</v>
      </c>
      <c r="F237" s="24" t="s">
        <v>9</v>
      </c>
      <c r="G237" s="24" t="s">
        <v>8</v>
      </c>
      <c r="H237" s="24" t="s">
        <v>304</v>
      </c>
      <c r="I237" s="27">
        <v>99.76</v>
      </c>
    </row>
    <row r="238" spans="2:9" ht="16">
      <c r="B238" s="24" t="s">
        <v>119</v>
      </c>
      <c r="C238" s="24" t="s">
        <v>6</v>
      </c>
      <c r="D238" s="24" t="s">
        <v>46</v>
      </c>
      <c r="E238" s="24" t="s">
        <v>305</v>
      </c>
      <c r="F238" s="24" t="s">
        <v>9</v>
      </c>
      <c r="G238" s="24" t="s">
        <v>8</v>
      </c>
      <c r="H238" s="24" t="s">
        <v>306</v>
      </c>
      <c r="I238" s="27">
        <v>93.89</v>
      </c>
    </row>
    <row r="239" spans="2:9" ht="16">
      <c r="B239" s="24" t="s">
        <v>239</v>
      </c>
      <c r="C239" s="24" t="s">
        <v>6</v>
      </c>
      <c r="D239" s="24" t="s">
        <v>307</v>
      </c>
      <c r="E239" s="24" t="s">
        <v>308</v>
      </c>
      <c r="F239" s="24" t="s">
        <v>9</v>
      </c>
      <c r="G239" s="24" t="s">
        <v>8</v>
      </c>
      <c r="H239" s="24" t="s">
        <v>309</v>
      </c>
      <c r="I239" s="27">
        <v>192.99</v>
      </c>
    </row>
    <row r="240" spans="2:9" ht="16">
      <c r="B240" s="24" t="s">
        <v>239</v>
      </c>
      <c r="C240" s="24" t="s">
        <v>6</v>
      </c>
      <c r="D240" s="24" t="s">
        <v>307</v>
      </c>
      <c r="E240" s="24" t="s">
        <v>310</v>
      </c>
      <c r="F240" s="24" t="s">
        <v>9</v>
      </c>
      <c r="G240" s="24" t="s">
        <v>8</v>
      </c>
      <c r="H240" s="24" t="s">
        <v>311</v>
      </c>
      <c r="I240" s="27">
        <v>91.92</v>
      </c>
    </row>
    <row r="241" spans="2:9" ht="16">
      <c r="B241" s="24" t="s">
        <v>312</v>
      </c>
      <c r="C241" s="24" t="s">
        <v>6</v>
      </c>
      <c r="D241" s="24" t="s">
        <v>307</v>
      </c>
      <c r="E241" s="24" t="s">
        <v>313</v>
      </c>
      <c r="F241" s="24" t="s">
        <v>9</v>
      </c>
      <c r="G241" s="24" t="s">
        <v>8</v>
      </c>
      <c r="H241" s="24" t="s">
        <v>314</v>
      </c>
      <c r="I241" s="27">
        <v>166.06</v>
      </c>
    </row>
    <row r="242" spans="2:9" ht="16">
      <c r="B242" s="24" t="s">
        <v>119</v>
      </c>
      <c r="C242" s="24" t="s">
        <v>6</v>
      </c>
      <c r="D242" s="24" t="s">
        <v>58</v>
      </c>
      <c r="E242" s="24" t="s">
        <v>8</v>
      </c>
      <c r="F242" s="24" t="s">
        <v>9</v>
      </c>
      <c r="G242" s="24" t="s">
        <v>8</v>
      </c>
      <c r="H242" s="24" t="s">
        <v>315</v>
      </c>
      <c r="I242" s="27">
        <v>5.08</v>
      </c>
    </row>
    <row r="243" spans="2:9" ht="16">
      <c r="B243" s="24" t="s">
        <v>316</v>
      </c>
      <c r="C243" s="24" t="s">
        <v>6</v>
      </c>
      <c r="D243" s="24" t="s">
        <v>18</v>
      </c>
      <c r="E243" s="24" t="s">
        <v>317</v>
      </c>
      <c r="F243" s="24" t="s">
        <v>9</v>
      </c>
      <c r="G243" s="24" t="s">
        <v>8</v>
      </c>
      <c r="H243" s="24" t="s">
        <v>316</v>
      </c>
      <c r="I243" s="27">
        <v>82.23</v>
      </c>
    </row>
    <row r="244" spans="2:9" ht="16">
      <c r="B244" s="24" t="s">
        <v>119</v>
      </c>
      <c r="C244" s="24" t="s">
        <v>6</v>
      </c>
      <c r="D244" s="24" t="s">
        <v>61</v>
      </c>
      <c r="E244" s="24" t="s">
        <v>318</v>
      </c>
      <c r="F244" s="24" t="s">
        <v>9</v>
      </c>
      <c r="G244" s="24" t="s">
        <v>8</v>
      </c>
      <c r="H244" s="24" t="s">
        <v>319</v>
      </c>
      <c r="I244" s="27">
        <v>40.81</v>
      </c>
    </row>
    <row r="245" spans="1:9" ht="16">
      <c r="A245" s="35" t="s">
        <v>40</v>
      </c>
      <c r="I245" s="28">
        <f>I231+I232+I233+I234+I235+I236+I237+I238+I239+I240+I241+I242+I243+I244</f>
        <v>2177.03</v>
      </c>
    </row>
    <row r="246" spans="1:1" ht="16">
      <c r="A246" s="34" t="s">
        <v>289</v>
      </c>
    </row>
    <row r="247" spans="2:9" ht="16">
      <c r="B247" s="24" t="s">
        <v>119</v>
      </c>
      <c r="C247" s="24" t="s">
        <v>6</v>
      </c>
      <c r="D247" s="24" t="s">
        <v>290</v>
      </c>
      <c r="E247" s="24" t="s">
        <v>320</v>
      </c>
      <c r="F247" s="24" t="s">
        <v>9</v>
      </c>
      <c r="G247" s="24" t="s">
        <v>8</v>
      </c>
      <c r="H247" s="24" t="s">
        <v>321</v>
      </c>
      <c r="I247" s="27">
        <v>81.39</v>
      </c>
    </row>
    <row r="248" spans="1:9" ht="16">
      <c r="A248" s="35" t="s">
        <v>267</v>
      </c>
      <c r="I248" s="28">
        <f>I246+I247</f>
        <v>81.39</v>
      </c>
    </row>
    <row r="249" spans="1:1" ht="16">
      <c r="A249" s="34" t="s">
        <v>289</v>
      </c>
    </row>
    <row r="250" spans="2:9" ht="16">
      <c r="B250" s="24" t="s">
        <v>64</v>
      </c>
      <c r="C250" s="24" t="s">
        <v>13</v>
      </c>
      <c r="D250" s="24" t="s">
        <v>302</v>
      </c>
      <c r="E250" s="24" t="s">
        <v>8</v>
      </c>
      <c r="F250" s="24" t="s">
        <v>9</v>
      </c>
      <c r="G250" s="24" t="s">
        <v>8</v>
      </c>
      <c r="H250" s="24" t="s">
        <v>64</v>
      </c>
      <c r="I250" s="27">
        <v>480.0</v>
      </c>
    </row>
    <row r="251" spans="1:9" ht="16">
      <c r="A251" s="35" t="s">
        <v>164</v>
      </c>
      <c r="I251" s="28">
        <f>I249+I250</f>
        <v>480.0</v>
      </c>
    </row>
    <row r="252" spans="1:1" ht="16">
      <c r="A252" s="34" t="s">
        <v>289</v>
      </c>
    </row>
    <row r="253" spans="2:9" ht="16">
      <c r="B253" s="24" t="s">
        <v>45</v>
      </c>
      <c r="C253" s="24" t="s">
        <v>6</v>
      </c>
      <c r="D253" s="24" t="s">
        <v>48</v>
      </c>
      <c r="E253" s="24" t="s">
        <v>8</v>
      </c>
      <c r="F253" s="24" t="s">
        <v>9</v>
      </c>
      <c r="G253" s="24" t="s">
        <v>8</v>
      </c>
      <c r="H253" s="24" t="s">
        <v>47</v>
      </c>
      <c r="I253" s="27">
        <v>486.97</v>
      </c>
    </row>
    <row r="254" spans="2:9" ht="16">
      <c r="B254" s="24" t="s">
        <v>45</v>
      </c>
      <c r="C254" s="24" t="s">
        <v>6</v>
      </c>
      <c r="D254" s="24" t="s">
        <v>48</v>
      </c>
      <c r="E254" s="24" t="s">
        <v>8</v>
      </c>
      <c r="F254" s="24" t="s">
        <v>9</v>
      </c>
      <c r="G254" s="24" t="s">
        <v>8</v>
      </c>
      <c r="H254" s="24" t="s">
        <v>47</v>
      </c>
      <c r="I254" s="27">
        <v>76.89</v>
      </c>
    </row>
    <row r="255" spans="2:9" ht="16">
      <c r="B255" s="24" t="s">
        <v>45</v>
      </c>
      <c r="C255" s="24" t="s">
        <v>6</v>
      </c>
      <c r="D255" s="24" t="s">
        <v>49</v>
      </c>
      <c r="E255" s="24" t="s">
        <v>8</v>
      </c>
      <c r="F255" s="24" t="s">
        <v>9</v>
      </c>
      <c r="G255" s="24" t="s">
        <v>8</v>
      </c>
      <c r="H255" s="24" t="s">
        <v>8</v>
      </c>
      <c r="I255" s="27">
        <v>76.89</v>
      </c>
    </row>
    <row r="256" spans="1:9" ht="16">
      <c r="A256" s="35" t="s">
        <v>50</v>
      </c>
      <c r="I256" s="28">
        <f>I252+I253+I254+I255</f>
        <v>640.75</v>
      </c>
    </row>
    <row r="257" spans="1:1" ht="16">
      <c r="A257" s="34" t="s">
        <v>289</v>
      </c>
    </row>
    <row r="258" spans="2:9" ht="16">
      <c r="B258" s="24" t="s">
        <v>51</v>
      </c>
      <c r="C258" s="24" t="s">
        <v>6</v>
      </c>
      <c r="D258" s="24" t="s">
        <v>57</v>
      </c>
      <c r="E258" s="24" t="s">
        <v>8</v>
      </c>
      <c r="F258" s="24" t="s">
        <v>9</v>
      </c>
      <c r="G258" s="24" t="s">
        <v>8</v>
      </c>
      <c r="H258" s="24" t="s">
        <v>53</v>
      </c>
      <c r="I258" s="27">
        <v>152.96</v>
      </c>
    </row>
    <row r="259" spans="2:9" ht="16">
      <c r="B259" s="24" t="s">
        <v>51</v>
      </c>
      <c r="C259" s="24" t="s">
        <v>6</v>
      </c>
      <c r="D259" s="24" t="s">
        <v>55</v>
      </c>
      <c r="E259" s="24" t="s">
        <v>8</v>
      </c>
      <c r="F259" s="24" t="s">
        <v>9</v>
      </c>
      <c r="G259" s="24" t="s">
        <v>8</v>
      </c>
      <c r="H259" s="24" t="s">
        <v>8</v>
      </c>
      <c r="I259" s="27">
        <v>448.87</v>
      </c>
    </row>
    <row r="260" spans="2:9" ht="16">
      <c r="B260" s="24" t="s">
        <v>51</v>
      </c>
      <c r="C260" s="24" t="s">
        <v>6</v>
      </c>
      <c r="D260" s="24" t="s">
        <v>322</v>
      </c>
      <c r="E260" s="24" t="s">
        <v>8</v>
      </c>
      <c r="F260" s="24" t="s">
        <v>9</v>
      </c>
      <c r="G260" s="24" t="s">
        <v>8</v>
      </c>
      <c r="H260" s="24" t="s">
        <v>8</v>
      </c>
      <c r="I260" s="27">
        <v>1702.28</v>
      </c>
    </row>
    <row r="261" spans="2:9" ht="16">
      <c r="B261" s="24" t="s">
        <v>51</v>
      </c>
      <c r="C261" s="24" t="s">
        <v>6</v>
      </c>
      <c r="D261" s="24" t="s">
        <v>59</v>
      </c>
      <c r="E261" s="24" t="s">
        <v>8</v>
      </c>
      <c r="F261" s="24" t="s">
        <v>9</v>
      </c>
      <c r="G261" s="24" t="s">
        <v>8</v>
      </c>
      <c r="H261" s="24" t="s">
        <v>8</v>
      </c>
      <c r="I261" s="27">
        <v>152.16</v>
      </c>
    </row>
    <row r="262" spans="1:9" ht="16">
      <c r="A262" s="35" t="s">
        <v>67</v>
      </c>
      <c r="I262" s="28">
        <f>I257+I258+I259+I260+I261</f>
        <v>2456.27</v>
      </c>
    </row>
    <row r="263" spans="1:9" ht="16">
      <c r="A263" s="36" t="s">
        <v>323</v>
      </c>
      <c r="I263" s="28">
        <f>I230+I245+I248+I251+I256+I262</f>
        <v>5905.58</v>
      </c>
    </row>
    <row r="264" spans="1:1" ht="16">
      <c r="A264" s="33" t="s">
        <v>324</v>
      </c>
    </row>
    <row r="265" spans="1:1" ht="16">
      <c r="A265" s="34" t="s">
        <v>325</v>
      </c>
    </row>
    <row r="266" spans="2:9" ht="16">
      <c r="B266" s="24" t="s">
        <v>326</v>
      </c>
      <c r="C266" s="24" t="s">
        <v>6</v>
      </c>
      <c r="D266" s="24" t="s">
        <v>327</v>
      </c>
      <c r="E266" s="24" t="s">
        <v>8</v>
      </c>
      <c r="F266" s="24" t="s">
        <v>9</v>
      </c>
      <c r="G266" s="24" t="s">
        <v>8</v>
      </c>
      <c r="H266" s="24" t="s">
        <v>328</v>
      </c>
      <c r="I266" s="27">
        <v>25.75</v>
      </c>
    </row>
    <row r="267" spans="2:9" ht="16">
      <c r="B267" s="24" t="s">
        <v>21</v>
      </c>
      <c r="C267" s="24" t="s">
        <v>13</v>
      </c>
      <c r="D267" s="24" t="s">
        <v>329</v>
      </c>
      <c r="E267" s="24" t="s">
        <v>330</v>
      </c>
      <c r="F267" s="24" t="s">
        <v>9</v>
      </c>
      <c r="G267" s="24" t="s">
        <v>8</v>
      </c>
      <c r="H267" s="24" t="s">
        <v>24</v>
      </c>
      <c r="I267" s="27">
        <v>41.77</v>
      </c>
    </row>
    <row r="268" spans="2:9" ht="16">
      <c r="B268" s="24" t="s">
        <v>21</v>
      </c>
      <c r="C268" s="24" t="s">
        <v>13</v>
      </c>
      <c r="D268" s="24" t="s">
        <v>331</v>
      </c>
      <c r="E268" s="24" t="s">
        <v>332</v>
      </c>
      <c r="F268" s="24" t="s">
        <v>9</v>
      </c>
      <c r="G268" s="24" t="s">
        <v>8</v>
      </c>
      <c r="H268" s="24" t="s">
        <v>24</v>
      </c>
      <c r="I268" s="27">
        <v>116.81</v>
      </c>
    </row>
    <row r="269" spans="2:9" ht="16">
      <c r="B269" s="24" t="s">
        <v>333</v>
      </c>
      <c r="C269" s="24" t="s">
        <v>6</v>
      </c>
      <c r="D269" s="24" t="s">
        <v>46</v>
      </c>
      <c r="E269" s="24" t="s">
        <v>8</v>
      </c>
      <c r="F269" s="24" t="s">
        <v>9</v>
      </c>
      <c r="G269" s="24" t="s">
        <v>8</v>
      </c>
      <c r="H269" s="24" t="s">
        <v>334</v>
      </c>
      <c r="I269" s="27">
        <v>118.59</v>
      </c>
    </row>
    <row r="270" spans="1:9" ht="16">
      <c r="A270" s="35" t="s">
        <v>40</v>
      </c>
      <c r="I270" s="28">
        <f>I265+I266+I267+I268+I269</f>
        <v>302.92</v>
      </c>
    </row>
    <row r="271" spans="1:1" ht="16">
      <c r="A271" s="34" t="s">
        <v>325</v>
      </c>
    </row>
    <row r="272" spans="2:9" ht="16">
      <c r="B272" s="24" t="s">
        <v>51</v>
      </c>
      <c r="C272" s="24" t="s">
        <v>6</v>
      </c>
      <c r="D272" s="24" t="s">
        <v>59</v>
      </c>
      <c r="E272" s="24" t="s">
        <v>8</v>
      </c>
      <c r="F272" s="24" t="s">
        <v>9</v>
      </c>
      <c r="G272" s="24" t="s">
        <v>8</v>
      </c>
      <c r="H272" s="24" t="s">
        <v>8</v>
      </c>
      <c r="I272" s="27">
        <v>507.22</v>
      </c>
    </row>
    <row r="273" spans="2:9" ht="16">
      <c r="B273" s="24" t="s">
        <v>51</v>
      </c>
      <c r="C273" s="24" t="s">
        <v>6</v>
      </c>
      <c r="D273" s="24" t="s">
        <v>55</v>
      </c>
      <c r="E273" s="24" t="s">
        <v>8</v>
      </c>
      <c r="F273" s="24" t="s">
        <v>9</v>
      </c>
      <c r="G273" s="24" t="s">
        <v>8</v>
      </c>
      <c r="H273" s="24" t="s">
        <v>8</v>
      </c>
      <c r="I273" s="27">
        <v>1349.29</v>
      </c>
    </row>
    <row r="274" spans="1:9" ht="16">
      <c r="A274" s="35" t="s">
        <v>67</v>
      </c>
      <c r="I274" s="28">
        <f>I271+I272+I273</f>
        <v>1856.51</v>
      </c>
    </row>
    <row r="275" spans="1:9" ht="16">
      <c r="A275" s="36" t="s">
        <v>335</v>
      </c>
      <c r="I275" s="28">
        <f>I270+I274</f>
        <v>2159.43</v>
      </c>
    </row>
    <row r="276" spans="1:1" ht="16">
      <c r="A276" s="33" t="s">
        <v>324</v>
      </c>
    </row>
    <row r="277" spans="1:1" ht="16">
      <c r="A277" s="34" t="s">
        <v>336</v>
      </c>
    </row>
    <row r="278" spans="2:9" ht="16">
      <c r="B278" s="24" t="s">
        <v>21</v>
      </c>
      <c r="C278" s="24" t="s">
        <v>13</v>
      </c>
      <c r="D278" s="24" t="s">
        <v>27</v>
      </c>
      <c r="E278" s="24" t="s">
        <v>337</v>
      </c>
      <c r="F278" s="24" t="s">
        <v>9</v>
      </c>
      <c r="G278" s="24" t="s">
        <v>8</v>
      </c>
      <c r="H278" s="24" t="s">
        <v>24</v>
      </c>
      <c r="I278" s="27">
        <v>68.86</v>
      </c>
    </row>
    <row r="279" spans="2:9" ht="16">
      <c r="B279" s="24" t="s">
        <v>21</v>
      </c>
      <c r="C279" s="24" t="s">
        <v>13</v>
      </c>
      <c r="D279" s="24" t="s">
        <v>54</v>
      </c>
      <c r="E279" s="24" t="s">
        <v>338</v>
      </c>
      <c r="F279" s="24" t="s">
        <v>9</v>
      </c>
      <c r="G279" s="24" t="s">
        <v>8</v>
      </c>
      <c r="H279" s="24" t="s">
        <v>24</v>
      </c>
      <c r="I279" s="27">
        <v>22.6</v>
      </c>
    </row>
    <row r="280" spans="2:9" ht="16">
      <c r="B280" s="24" t="s">
        <v>119</v>
      </c>
      <c r="C280" s="24" t="s">
        <v>6</v>
      </c>
      <c r="D280" s="24" t="s">
        <v>339</v>
      </c>
      <c r="E280" s="24" t="s">
        <v>340</v>
      </c>
      <c r="F280" s="24" t="s">
        <v>9</v>
      </c>
      <c r="G280" s="24" t="s">
        <v>8</v>
      </c>
      <c r="H280" s="24" t="s">
        <v>341</v>
      </c>
      <c r="I280" s="27">
        <v>152.69</v>
      </c>
    </row>
    <row r="281" spans="2:9" ht="16">
      <c r="B281" s="24" t="s">
        <v>119</v>
      </c>
      <c r="C281" s="24" t="s">
        <v>6</v>
      </c>
      <c r="D281" s="24" t="s">
        <v>27</v>
      </c>
      <c r="E281" s="24" t="s">
        <v>342</v>
      </c>
      <c r="F281" s="24" t="s">
        <v>9</v>
      </c>
      <c r="G281" s="24" t="s">
        <v>8</v>
      </c>
      <c r="H281" s="24" t="s">
        <v>343</v>
      </c>
      <c r="I281" s="27">
        <v>30.64</v>
      </c>
    </row>
    <row r="282" spans="2:9" ht="16">
      <c r="B282" s="24" t="s">
        <v>119</v>
      </c>
      <c r="C282" s="24" t="s">
        <v>6</v>
      </c>
      <c r="D282" s="24" t="s">
        <v>27</v>
      </c>
      <c r="E282" s="24" t="s">
        <v>344</v>
      </c>
      <c r="F282" s="24" t="s">
        <v>9</v>
      </c>
      <c r="G282" s="24" t="s">
        <v>8</v>
      </c>
      <c r="H282" s="24" t="s">
        <v>345</v>
      </c>
      <c r="I282" s="27">
        <v>53.07</v>
      </c>
    </row>
    <row r="283" spans="2:9" ht="16">
      <c r="B283" s="24" t="s">
        <v>119</v>
      </c>
      <c r="C283" s="24" t="s">
        <v>6</v>
      </c>
      <c r="D283" s="24" t="s">
        <v>346</v>
      </c>
      <c r="E283" s="24" t="s">
        <v>347</v>
      </c>
      <c r="F283" s="24" t="s">
        <v>9</v>
      </c>
      <c r="G283" s="24" t="s">
        <v>8</v>
      </c>
      <c r="H283" s="24" t="s">
        <v>348</v>
      </c>
      <c r="I283" s="27">
        <v>45.12</v>
      </c>
    </row>
    <row r="284" spans="2:9" ht="16">
      <c r="B284" s="24" t="s">
        <v>127</v>
      </c>
      <c r="C284" s="24" t="s">
        <v>6</v>
      </c>
      <c r="D284" s="24" t="s">
        <v>62</v>
      </c>
      <c r="E284" s="24" t="s">
        <v>349</v>
      </c>
      <c r="F284" s="24" t="s">
        <v>9</v>
      </c>
      <c r="G284" s="24" t="s">
        <v>8</v>
      </c>
      <c r="H284" s="24" t="s">
        <v>350</v>
      </c>
      <c r="I284" s="27">
        <v>120.72</v>
      </c>
    </row>
    <row r="285" spans="2:9" ht="16">
      <c r="B285" s="24" t="s">
        <v>119</v>
      </c>
      <c r="C285" s="24" t="s">
        <v>6</v>
      </c>
      <c r="D285" s="24" t="s">
        <v>351</v>
      </c>
      <c r="E285" s="24" t="s">
        <v>352</v>
      </c>
      <c r="F285" s="24" t="s">
        <v>9</v>
      </c>
      <c r="G285" s="24" t="s">
        <v>8</v>
      </c>
      <c r="H285" s="24" t="s">
        <v>353</v>
      </c>
      <c r="I285" s="27">
        <v>71.7</v>
      </c>
    </row>
    <row r="286" spans="1:9" ht="16">
      <c r="A286" s="35" t="s">
        <v>40</v>
      </c>
      <c r="I286" s="28">
        <f>I277+I278+I279+I280+I281+I282+I283+I284+I285</f>
        <v>565.4000000000001</v>
      </c>
    </row>
    <row r="287" spans="1:1" ht="16">
      <c r="A287" s="34" t="s">
        <v>336</v>
      </c>
    </row>
    <row r="288" spans="2:9" ht="16">
      <c r="B288" s="24" t="s">
        <v>45</v>
      </c>
      <c r="C288" s="24" t="s">
        <v>6</v>
      </c>
      <c r="D288" s="24" t="s">
        <v>49</v>
      </c>
      <c r="E288" s="24" t="s">
        <v>8</v>
      </c>
      <c r="F288" s="24" t="s">
        <v>9</v>
      </c>
      <c r="G288" s="24" t="s">
        <v>8</v>
      </c>
      <c r="H288" s="24" t="s">
        <v>8</v>
      </c>
      <c r="I288" s="27">
        <v>639.27</v>
      </c>
    </row>
    <row r="289" spans="1:9" ht="16">
      <c r="A289" s="35" t="s">
        <v>50</v>
      </c>
      <c r="I289" s="28">
        <f>I287+I288</f>
        <v>639.27</v>
      </c>
    </row>
    <row r="290" spans="1:1" ht="16">
      <c r="A290" s="34" t="s">
        <v>336</v>
      </c>
    </row>
    <row r="291" spans="2:9" ht="16">
      <c r="B291" s="24" t="s">
        <v>51</v>
      </c>
      <c r="C291" s="24" t="s">
        <v>6</v>
      </c>
      <c r="D291" s="24" t="s">
        <v>52</v>
      </c>
      <c r="E291" s="24" t="s">
        <v>8</v>
      </c>
      <c r="F291" s="24" t="s">
        <v>9</v>
      </c>
      <c r="G291" s="24" t="s">
        <v>8</v>
      </c>
      <c r="H291" s="24" t="s">
        <v>53</v>
      </c>
      <c r="I291" s="27">
        <v>156.42</v>
      </c>
    </row>
    <row r="292" spans="2:9" ht="16">
      <c r="B292" s="24" t="s">
        <v>51</v>
      </c>
      <c r="C292" s="24" t="s">
        <v>6</v>
      </c>
      <c r="D292" s="24" t="s">
        <v>57</v>
      </c>
      <c r="E292" s="24" t="s">
        <v>8</v>
      </c>
      <c r="F292" s="24" t="s">
        <v>9</v>
      </c>
      <c r="G292" s="24" t="s">
        <v>8</v>
      </c>
      <c r="H292" s="24" t="s">
        <v>53</v>
      </c>
      <c r="I292" s="27">
        <v>1212.44</v>
      </c>
    </row>
    <row r="293" spans="1:9" ht="16">
      <c r="A293" s="35" t="s">
        <v>67</v>
      </c>
      <c r="I293" s="28">
        <f>I290+I291+I292</f>
        <v>1368.8600000000001</v>
      </c>
    </row>
    <row r="294" spans="1:9" ht="16">
      <c r="A294" s="36" t="s">
        <v>354</v>
      </c>
      <c r="I294" s="28">
        <f>I286+I289+I293</f>
        <v>2573.53</v>
      </c>
    </row>
    <row r="295" spans="1:1" ht="16">
      <c r="A295" s="33" t="s">
        <v>324</v>
      </c>
    </row>
    <row r="296" spans="1:1" ht="16">
      <c r="A296" s="34" t="s">
        <v>355</v>
      </c>
    </row>
    <row r="297" spans="2:9" ht="16">
      <c r="B297" s="24" t="s">
        <v>119</v>
      </c>
      <c r="C297" s="24" t="s">
        <v>6</v>
      </c>
      <c r="D297" s="24" t="s">
        <v>74</v>
      </c>
      <c r="E297" s="24" t="s">
        <v>356</v>
      </c>
      <c r="F297" s="24" t="s">
        <v>9</v>
      </c>
      <c r="G297" s="24" t="s">
        <v>8</v>
      </c>
      <c r="H297" s="24" t="s">
        <v>356</v>
      </c>
      <c r="I297" s="27">
        <v>75.4</v>
      </c>
    </row>
    <row r="298" spans="2:9" ht="16">
      <c r="B298" s="24" t="s">
        <v>119</v>
      </c>
      <c r="C298" s="24" t="s">
        <v>6</v>
      </c>
      <c r="D298" s="24" t="s">
        <v>357</v>
      </c>
      <c r="E298" s="24" t="s">
        <v>358</v>
      </c>
      <c r="F298" s="24" t="s">
        <v>9</v>
      </c>
      <c r="G298" s="24" t="s">
        <v>8</v>
      </c>
      <c r="H298" s="24" t="s">
        <v>358</v>
      </c>
      <c r="I298" s="27">
        <v>42.45</v>
      </c>
    </row>
    <row r="299" spans="2:9" ht="16">
      <c r="B299" s="24" t="s">
        <v>119</v>
      </c>
      <c r="C299" s="24" t="s">
        <v>6</v>
      </c>
      <c r="D299" s="24" t="s">
        <v>357</v>
      </c>
      <c r="E299" s="24" t="s">
        <v>359</v>
      </c>
      <c r="F299" s="24" t="s">
        <v>9</v>
      </c>
      <c r="G299" s="24" t="s">
        <v>8</v>
      </c>
      <c r="H299" s="24" t="s">
        <v>360</v>
      </c>
      <c r="I299" s="27">
        <v>37.43</v>
      </c>
    </row>
    <row r="300" spans="1:9" ht="16">
      <c r="A300" s="35" t="s">
        <v>40</v>
      </c>
      <c r="I300" s="28">
        <f>I296+I297+I298+I299</f>
        <v>155.28</v>
      </c>
    </row>
    <row r="301" spans="1:1" ht="16">
      <c r="A301" s="34" t="s">
        <v>355</v>
      </c>
    </row>
    <row r="302" spans="2:9" ht="16">
      <c r="B302" s="24" t="s">
        <v>45</v>
      </c>
      <c r="C302" s="24" t="s">
        <v>6</v>
      </c>
      <c r="D302" s="24" t="s">
        <v>49</v>
      </c>
      <c r="E302" s="24" t="s">
        <v>8</v>
      </c>
      <c r="F302" s="24" t="s">
        <v>9</v>
      </c>
      <c r="G302" s="24" t="s">
        <v>8</v>
      </c>
      <c r="H302" s="24" t="s">
        <v>8</v>
      </c>
      <c r="I302" s="27">
        <v>317.8</v>
      </c>
    </row>
    <row r="303" spans="1:9" ht="16">
      <c r="A303" s="35" t="s">
        <v>50</v>
      </c>
      <c r="I303" s="28">
        <f>I301+I302</f>
        <v>317.8</v>
      </c>
    </row>
    <row r="304" spans="1:9" ht="16">
      <c r="A304" s="36" t="s">
        <v>361</v>
      </c>
      <c r="I304" s="28">
        <f>I300+I303</f>
        <v>473.08000000000004</v>
      </c>
    </row>
    <row r="305" spans="1:1" ht="16">
      <c r="A305" s="33" t="s">
        <v>362</v>
      </c>
    </row>
    <row r="306" spans="1:1" ht="16">
      <c r="A306" s="34" t="s">
        <v>363</v>
      </c>
    </row>
    <row r="307" spans="2:9" ht="16">
      <c r="B307" s="24" t="s">
        <v>64</v>
      </c>
      <c r="C307" s="24" t="s">
        <v>13</v>
      </c>
      <c r="D307" s="24" t="s">
        <v>18</v>
      </c>
      <c r="E307" s="24" t="s">
        <v>8</v>
      </c>
      <c r="F307" s="24" t="s">
        <v>9</v>
      </c>
      <c r="G307" s="24" t="s">
        <v>8</v>
      </c>
      <c r="H307" s="24" t="s">
        <v>64</v>
      </c>
      <c r="I307" s="27">
        <v>2050.0</v>
      </c>
    </row>
    <row r="308" spans="1:9" ht="16">
      <c r="A308" s="35" t="s">
        <v>164</v>
      </c>
      <c r="I308" s="28">
        <f>I306+I307</f>
        <v>2050.0</v>
      </c>
    </row>
    <row r="309" spans="1:9" ht="16">
      <c r="A309" s="36" t="s">
        <v>364</v>
      </c>
      <c r="I309" s="28">
        <f>I308</f>
        <v>2050.0</v>
      </c>
    </row>
    <row r="310" spans="1:1" ht="16">
      <c r="A310" s="33" t="s">
        <v>324</v>
      </c>
    </row>
    <row r="311" spans="1:1" ht="16">
      <c r="A311" s="34" t="s">
        <v>365</v>
      </c>
    </row>
    <row r="312" spans="2:9" ht="16">
      <c r="B312" s="24" t="s">
        <v>127</v>
      </c>
      <c r="C312" s="24" t="s">
        <v>6</v>
      </c>
      <c r="D312" s="24" t="s">
        <v>307</v>
      </c>
      <c r="E312" s="24" t="s">
        <v>366</v>
      </c>
      <c r="F312" s="24" t="s">
        <v>9</v>
      </c>
      <c r="G312" s="24" t="s">
        <v>8</v>
      </c>
      <c r="H312" s="24" t="s">
        <v>367</v>
      </c>
      <c r="I312" s="27">
        <v>40.43</v>
      </c>
    </row>
    <row r="313" spans="2:9" ht="16">
      <c r="B313" s="24" t="s">
        <v>127</v>
      </c>
      <c r="C313" s="24" t="s">
        <v>6</v>
      </c>
      <c r="D313" s="24" t="s">
        <v>368</v>
      </c>
      <c r="E313" s="24" t="s">
        <v>369</v>
      </c>
      <c r="F313" s="24" t="s">
        <v>9</v>
      </c>
      <c r="G313" s="24" t="s">
        <v>8</v>
      </c>
      <c r="H313" s="24" t="s">
        <v>370</v>
      </c>
      <c r="I313" s="27">
        <v>48.09</v>
      </c>
    </row>
    <row r="314" spans="2:9" ht="16">
      <c r="B314" s="24" t="s">
        <v>127</v>
      </c>
      <c r="C314" s="24" t="s">
        <v>6</v>
      </c>
      <c r="D314" s="24" t="s">
        <v>371</v>
      </c>
      <c r="E314" s="24" t="s">
        <v>8</v>
      </c>
      <c r="F314" s="24" t="s">
        <v>9</v>
      </c>
      <c r="G314" s="24" t="s">
        <v>8</v>
      </c>
      <c r="H314" s="24" t="s">
        <v>372</v>
      </c>
      <c r="I314" s="27">
        <v>22.03</v>
      </c>
    </row>
    <row r="315" spans="2:9" ht="16">
      <c r="B315" s="24" t="s">
        <v>127</v>
      </c>
      <c r="C315" s="24" t="s">
        <v>6</v>
      </c>
      <c r="D315" s="24" t="s">
        <v>373</v>
      </c>
      <c r="E315" s="24" t="s">
        <v>374</v>
      </c>
      <c r="F315" s="24" t="s">
        <v>9</v>
      </c>
      <c r="G315" s="24" t="s">
        <v>8</v>
      </c>
      <c r="H315" s="24" t="s">
        <v>375</v>
      </c>
      <c r="I315" s="27">
        <v>37.98</v>
      </c>
    </row>
    <row r="316" spans="1:9" ht="16">
      <c r="A316" s="35" t="s">
        <v>40</v>
      </c>
      <c r="I316" s="28">
        <f>I311+I312+I313+I314+I315</f>
        <v>148.53</v>
      </c>
    </row>
    <row r="317" spans="1:1" ht="16">
      <c r="A317" s="34" t="s">
        <v>365</v>
      </c>
    </row>
    <row r="318" spans="2:9" ht="16">
      <c r="B318" s="24" t="s">
        <v>45</v>
      </c>
      <c r="C318" s="24" t="s">
        <v>6</v>
      </c>
      <c r="D318" s="24" t="s">
        <v>49</v>
      </c>
      <c r="E318" s="24" t="s">
        <v>8</v>
      </c>
      <c r="F318" s="24" t="s">
        <v>9</v>
      </c>
      <c r="G318" s="24" t="s">
        <v>8</v>
      </c>
      <c r="H318" s="24" t="s">
        <v>8</v>
      </c>
      <c r="I318" s="27">
        <v>59.31</v>
      </c>
    </row>
    <row r="319" spans="1:9" ht="16">
      <c r="A319" s="35" t="s">
        <v>50</v>
      </c>
      <c r="I319" s="28">
        <f>I317+I318</f>
        <v>59.31</v>
      </c>
    </row>
    <row r="320" spans="1:1" ht="16">
      <c r="A320" s="34" t="s">
        <v>365</v>
      </c>
    </row>
    <row r="321" spans="2:9" ht="16">
      <c r="B321" s="24" t="s">
        <v>51</v>
      </c>
      <c r="C321" s="24" t="s">
        <v>6</v>
      </c>
      <c r="D321" s="24" t="s">
        <v>54</v>
      </c>
      <c r="E321" s="24" t="s">
        <v>8</v>
      </c>
      <c r="F321" s="24" t="s">
        <v>9</v>
      </c>
      <c r="G321" s="24" t="s">
        <v>8</v>
      </c>
      <c r="H321" s="24" t="s">
        <v>53</v>
      </c>
      <c r="I321" s="27">
        <v>111.24</v>
      </c>
    </row>
    <row r="322" spans="2:9" ht="16">
      <c r="B322" s="24" t="s">
        <v>51</v>
      </c>
      <c r="C322" s="24" t="s">
        <v>6</v>
      </c>
      <c r="D322" s="24" t="s">
        <v>22</v>
      </c>
      <c r="E322" s="24" t="s">
        <v>8</v>
      </c>
      <c r="F322" s="24" t="s">
        <v>9</v>
      </c>
      <c r="G322" s="24" t="s">
        <v>8</v>
      </c>
      <c r="H322" s="24" t="s">
        <v>8</v>
      </c>
      <c r="I322" s="27">
        <v>329.55</v>
      </c>
    </row>
    <row r="323" spans="2:9" ht="16">
      <c r="B323" s="24" t="s">
        <v>51</v>
      </c>
      <c r="C323" s="24" t="s">
        <v>6</v>
      </c>
      <c r="D323" s="24" t="s">
        <v>376</v>
      </c>
      <c r="E323" s="24" t="s">
        <v>8</v>
      </c>
      <c r="F323" s="24" t="s">
        <v>9</v>
      </c>
      <c r="G323" s="24" t="s">
        <v>8</v>
      </c>
      <c r="H323" s="24" t="s">
        <v>8</v>
      </c>
      <c r="I323" s="27">
        <v>1839.63</v>
      </c>
    </row>
    <row r="324" spans="1:9" ht="16">
      <c r="A324" s="35" t="s">
        <v>67</v>
      </c>
      <c r="I324" s="28">
        <f>I320+I321+I322+I323</f>
        <v>2280.42</v>
      </c>
    </row>
    <row r="325" spans="1:9" ht="16">
      <c r="A325" s="36" t="s">
        <v>377</v>
      </c>
      <c r="I325" s="28">
        <f>I316+I319+I324</f>
        <v>2488.26</v>
      </c>
    </row>
    <row r="326" spans="1:1" ht="16">
      <c r="A326" s="33" t="s">
        <v>324</v>
      </c>
    </row>
    <row r="327" spans="1:1" ht="16">
      <c r="A327" s="34" t="s">
        <v>378</v>
      </c>
    </row>
    <row r="328" spans="2:9" ht="16">
      <c r="B328" s="24" t="s">
        <v>119</v>
      </c>
      <c r="C328" s="24" t="s">
        <v>6</v>
      </c>
      <c r="D328" s="24" t="s">
        <v>379</v>
      </c>
      <c r="E328" s="24" t="s">
        <v>380</v>
      </c>
      <c r="F328" s="24" t="s">
        <v>9</v>
      </c>
      <c r="G328" s="24" t="s">
        <v>8</v>
      </c>
      <c r="H328" s="24" t="s">
        <v>381</v>
      </c>
      <c r="I328" s="27">
        <v>78.81</v>
      </c>
    </row>
    <row r="329" spans="1:9" ht="16">
      <c r="A329" s="35" t="s">
        <v>40</v>
      </c>
      <c r="I329" s="28">
        <f>I327+I328</f>
        <v>78.81</v>
      </c>
    </row>
    <row r="330" spans="1:1" ht="16">
      <c r="A330" s="34" t="s">
        <v>378</v>
      </c>
    </row>
    <row r="331" spans="2:9" ht="16">
      <c r="B331" s="24" t="s">
        <v>45</v>
      </c>
      <c r="C331" s="24" t="s">
        <v>6</v>
      </c>
      <c r="D331" s="24" t="s">
        <v>49</v>
      </c>
      <c r="E331" s="24" t="s">
        <v>8</v>
      </c>
      <c r="F331" s="24" t="s">
        <v>9</v>
      </c>
      <c r="G331" s="24" t="s">
        <v>8</v>
      </c>
      <c r="H331" s="24" t="s">
        <v>8</v>
      </c>
      <c r="I331" s="27">
        <v>136.2</v>
      </c>
    </row>
    <row r="332" spans="1:9" ht="16">
      <c r="A332" s="35" t="s">
        <v>50</v>
      </c>
      <c r="I332" s="28">
        <f>I330+I331</f>
        <v>136.2</v>
      </c>
    </row>
    <row r="333" spans="1:1" ht="16">
      <c r="A333" s="34" t="s">
        <v>378</v>
      </c>
    </row>
    <row r="334" spans="2:9" ht="16">
      <c r="B334" s="24" t="s">
        <v>51</v>
      </c>
      <c r="C334" s="24" t="s">
        <v>6</v>
      </c>
      <c r="D334" s="24" t="s">
        <v>54</v>
      </c>
      <c r="E334" s="24" t="s">
        <v>8</v>
      </c>
      <c r="F334" s="24" t="s">
        <v>9</v>
      </c>
      <c r="G334" s="24" t="s">
        <v>8</v>
      </c>
      <c r="H334" s="24" t="s">
        <v>53</v>
      </c>
      <c r="I334" s="27">
        <v>152.96</v>
      </c>
    </row>
    <row r="335" spans="2:9" ht="16">
      <c r="B335" s="24" t="s">
        <v>51</v>
      </c>
      <c r="C335" s="24" t="s">
        <v>6</v>
      </c>
      <c r="D335" s="24" t="s">
        <v>57</v>
      </c>
      <c r="E335" s="24" t="s">
        <v>8</v>
      </c>
      <c r="F335" s="24" t="s">
        <v>9</v>
      </c>
      <c r="G335" s="24" t="s">
        <v>8</v>
      </c>
      <c r="H335" s="24" t="s">
        <v>53</v>
      </c>
      <c r="I335" s="27">
        <v>92.72</v>
      </c>
    </row>
    <row r="336" spans="2:9" ht="16">
      <c r="B336" s="24" t="s">
        <v>51</v>
      </c>
      <c r="C336" s="24" t="s">
        <v>6</v>
      </c>
      <c r="D336" s="24" t="s">
        <v>376</v>
      </c>
      <c r="E336" s="24" t="s">
        <v>8</v>
      </c>
      <c r="F336" s="24" t="s">
        <v>9</v>
      </c>
      <c r="G336" s="24" t="s">
        <v>8</v>
      </c>
      <c r="H336" s="24" t="s">
        <v>8</v>
      </c>
      <c r="I336" s="27">
        <v>648.52</v>
      </c>
    </row>
    <row r="337" spans="1:9" ht="16">
      <c r="A337" s="35" t="s">
        <v>67</v>
      </c>
      <c r="I337" s="28">
        <f>I333+I334+I335+I336</f>
        <v>894.2</v>
      </c>
    </row>
    <row r="338" spans="1:9" ht="16">
      <c r="A338" s="36" t="s">
        <v>382</v>
      </c>
      <c r="I338" s="28">
        <f>I329+I332+I337</f>
        <v>1109.21</v>
      </c>
    </row>
    <row r="339" spans="1:1" ht="16">
      <c r="A339" s="33" t="s">
        <v>383</v>
      </c>
    </row>
    <row r="340" spans="1:1" ht="16">
      <c r="A340" s="34" t="s">
        <v>384</v>
      </c>
    </row>
    <row r="341" spans="2:9" ht="16">
      <c r="B341" s="24" t="s">
        <v>45</v>
      </c>
      <c r="C341" s="24" t="s">
        <v>6</v>
      </c>
      <c r="D341" s="24" t="s">
        <v>49</v>
      </c>
      <c r="E341" s="24" t="s">
        <v>8</v>
      </c>
      <c r="F341" s="24" t="s">
        <v>9</v>
      </c>
      <c r="G341" s="24" t="s">
        <v>8</v>
      </c>
      <c r="H341" s="24" t="s">
        <v>8</v>
      </c>
      <c r="I341" s="27">
        <v>266.54</v>
      </c>
    </row>
    <row r="342" spans="1:9" ht="16">
      <c r="A342" s="35" t="s">
        <v>50</v>
      </c>
      <c r="I342" s="28">
        <f>I340+I341</f>
        <v>266.54</v>
      </c>
    </row>
    <row r="343" spans="1:1" ht="16">
      <c r="A343" s="34" t="s">
        <v>384</v>
      </c>
    </row>
    <row r="344" spans="2:9" ht="16">
      <c r="B344" s="24" t="s">
        <v>51</v>
      </c>
      <c r="C344" s="24" t="s">
        <v>6</v>
      </c>
      <c r="D344" s="24" t="s">
        <v>54</v>
      </c>
      <c r="E344" s="24" t="s">
        <v>8</v>
      </c>
      <c r="F344" s="24" t="s">
        <v>9</v>
      </c>
      <c r="G344" s="24" t="s">
        <v>8</v>
      </c>
      <c r="H344" s="24" t="s">
        <v>53</v>
      </c>
      <c r="I344" s="27">
        <v>514.55</v>
      </c>
    </row>
    <row r="345" spans="1:9" ht="16">
      <c r="A345" s="35" t="s">
        <v>67</v>
      </c>
      <c r="I345" s="28">
        <f>I343+I344</f>
        <v>514.55</v>
      </c>
    </row>
    <row r="346" spans="1:9" ht="16">
      <c r="A346" s="36" t="s">
        <v>385</v>
      </c>
      <c r="I346" s="28">
        <f>I342+I345</f>
        <v>781.0899999999999</v>
      </c>
    </row>
    <row r="347" spans="1:1" ht="16">
      <c r="A347" s="33" t="s">
        <v>324</v>
      </c>
    </row>
    <row r="348" spans="1:1" ht="16">
      <c r="A348" s="34" t="s">
        <v>386</v>
      </c>
    </row>
    <row r="349" spans="2:9" ht="16">
      <c r="B349" s="24" t="s">
        <v>21</v>
      </c>
      <c r="C349" s="24" t="s">
        <v>13</v>
      </c>
      <c r="D349" s="24" t="s">
        <v>346</v>
      </c>
      <c r="E349" s="24" t="s">
        <v>387</v>
      </c>
      <c r="F349" s="24" t="s">
        <v>9</v>
      </c>
      <c r="G349" s="24" t="s">
        <v>8</v>
      </c>
      <c r="H349" s="24" t="s">
        <v>24</v>
      </c>
      <c r="I349" s="27">
        <v>1565.61</v>
      </c>
    </row>
    <row r="350" spans="2:9" ht="16">
      <c r="B350" s="24" t="s">
        <v>119</v>
      </c>
      <c r="C350" s="24" t="s">
        <v>6</v>
      </c>
      <c r="D350" s="24" t="s">
        <v>388</v>
      </c>
      <c r="E350" s="24" t="s">
        <v>8</v>
      </c>
      <c r="F350" s="24" t="s">
        <v>9</v>
      </c>
      <c r="G350" s="24" t="s">
        <v>8</v>
      </c>
      <c r="H350" s="24" t="s">
        <v>389</v>
      </c>
      <c r="I350" s="27">
        <v>134.94</v>
      </c>
    </row>
    <row r="351" spans="2:9" ht="16">
      <c r="B351" s="24" t="s">
        <v>390</v>
      </c>
      <c r="C351" s="24" t="s">
        <v>6</v>
      </c>
      <c r="D351" s="24" t="s">
        <v>91</v>
      </c>
      <c r="E351" s="24" t="s">
        <v>8</v>
      </c>
      <c r="F351" s="24" t="s">
        <v>9</v>
      </c>
      <c r="G351" s="24" t="s">
        <v>8</v>
      </c>
      <c r="H351" s="24" t="s">
        <v>391</v>
      </c>
      <c r="I351" s="27">
        <v>48.14</v>
      </c>
    </row>
    <row r="352" spans="2:9" ht="16">
      <c r="B352" s="24" t="s">
        <v>390</v>
      </c>
      <c r="C352" s="24" t="s">
        <v>6</v>
      </c>
      <c r="D352" s="24" t="s">
        <v>392</v>
      </c>
      <c r="E352" s="24" t="s">
        <v>8</v>
      </c>
      <c r="F352" s="24" t="s">
        <v>9</v>
      </c>
      <c r="G352" s="24" t="s">
        <v>8</v>
      </c>
      <c r="H352" s="24" t="s">
        <v>393</v>
      </c>
      <c r="I352" s="27">
        <v>26.37</v>
      </c>
    </row>
    <row r="353" spans="2:9" ht="16">
      <c r="B353" s="24" t="s">
        <v>390</v>
      </c>
      <c r="C353" s="24" t="s">
        <v>6</v>
      </c>
      <c r="D353" s="24" t="s">
        <v>351</v>
      </c>
      <c r="E353" s="24" t="s">
        <v>394</v>
      </c>
      <c r="F353" s="24" t="s">
        <v>9</v>
      </c>
      <c r="G353" s="24" t="s">
        <v>8</v>
      </c>
      <c r="H353" s="24" t="s">
        <v>395</v>
      </c>
      <c r="I353" s="27">
        <v>96.18</v>
      </c>
    </row>
    <row r="354" spans="2:9" ht="16">
      <c r="B354" s="24" t="s">
        <v>119</v>
      </c>
      <c r="C354" s="24" t="s">
        <v>6</v>
      </c>
      <c r="D354" s="24" t="s">
        <v>57</v>
      </c>
      <c r="E354" s="24" t="s">
        <v>396</v>
      </c>
      <c r="F354" s="24" t="s">
        <v>9</v>
      </c>
      <c r="G354" s="24" t="s">
        <v>8</v>
      </c>
      <c r="H354" s="24" t="s">
        <v>319</v>
      </c>
      <c r="I354" s="27">
        <v>25.75</v>
      </c>
    </row>
    <row r="355" spans="1:9" ht="16">
      <c r="A355" s="35" t="s">
        <v>40</v>
      </c>
      <c r="I355" s="28">
        <f>I348+I349+I350+I351+I352+I353+I354</f>
        <v>1896.99</v>
      </c>
    </row>
    <row r="356" spans="1:1" ht="16">
      <c r="A356" s="34" t="s">
        <v>386</v>
      </c>
    </row>
    <row r="357" spans="2:9" ht="16">
      <c r="B357" s="24" t="s">
        <v>45</v>
      </c>
      <c r="C357" s="24" t="s">
        <v>6</v>
      </c>
      <c r="D357" s="24" t="s">
        <v>48</v>
      </c>
      <c r="E357" s="24" t="s">
        <v>8</v>
      </c>
      <c r="F357" s="24" t="s">
        <v>9</v>
      </c>
      <c r="G357" s="24" t="s">
        <v>8</v>
      </c>
      <c r="H357" s="24" t="s">
        <v>47</v>
      </c>
      <c r="I357" s="27">
        <v>333.19</v>
      </c>
    </row>
    <row r="358" spans="2:9" ht="16">
      <c r="B358" s="24" t="s">
        <v>45</v>
      </c>
      <c r="C358" s="24" t="s">
        <v>6</v>
      </c>
      <c r="D358" s="24" t="s">
        <v>49</v>
      </c>
      <c r="E358" s="24" t="s">
        <v>8</v>
      </c>
      <c r="F358" s="24" t="s">
        <v>9</v>
      </c>
      <c r="G358" s="24" t="s">
        <v>8</v>
      </c>
      <c r="H358" s="24" t="s">
        <v>8</v>
      </c>
      <c r="I358" s="27">
        <v>2157.24</v>
      </c>
    </row>
    <row r="359" spans="1:9" ht="16">
      <c r="A359" s="35" t="s">
        <v>50</v>
      </c>
      <c r="I359" s="28">
        <f>I356+I357+I358</f>
        <v>2490.43</v>
      </c>
    </row>
    <row r="360" spans="1:1" ht="16">
      <c r="A360" s="34" t="s">
        <v>386</v>
      </c>
    </row>
    <row r="361" spans="2:9" ht="16">
      <c r="B361" s="24" t="s">
        <v>51</v>
      </c>
      <c r="C361" s="24" t="s">
        <v>6</v>
      </c>
      <c r="D361" s="24" t="s">
        <v>52</v>
      </c>
      <c r="E361" s="24" t="s">
        <v>8</v>
      </c>
      <c r="F361" s="24" t="s">
        <v>9</v>
      </c>
      <c r="G361" s="24" t="s">
        <v>8</v>
      </c>
      <c r="H361" s="24" t="s">
        <v>53</v>
      </c>
      <c r="I361" s="27">
        <v>700.68</v>
      </c>
    </row>
    <row r="362" spans="2:9" ht="16">
      <c r="B362" s="24" t="s">
        <v>8</v>
      </c>
      <c r="C362" s="24" t="s">
        <v>6</v>
      </c>
      <c r="D362" s="24" t="s">
        <v>60</v>
      </c>
      <c r="E362" s="24" t="s">
        <v>8</v>
      </c>
      <c r="F362" s="24" t="s">
        <v>9</v>
      </c>
      <c r="G362" s="24" t="s">
        <v>8</v>
      </c>
      <c r="H362" s="24" t="s">
        <v>53</v>
      </c>
      <c r="I362" s="27">
        <v>1314.02</v>
      </c>
    </row>
    <row r="363" spans="2:9" ht="16">
      <c r="B363" s="24" t="s">
        <v>51</v>
      </c>
      <c r="C363" s="24" t="s">
        <v>6</v>
      </c>
      <c r="D363" s="24" t="s">
        <v>93</v>
      </c>
      <c r="E363" s="24" t="s">
        <v>8</v>
      </c>
      <c r="F363" s="24" t="s">
        <v>9</v>
      </c>
      <c r="G363" s="24" t="s">
        <v>8</v>
      </c>
      <c r="H363" s="24" t="s">
        <v>53</v>
      </c>
      <c r="I363" s="27">
        <v>96.08</v>
      </c>
    </row>
    <row r="364" spans="2:9" ht="16">
      <c r="B364" s="24" t="s">
        <v>8</v>
      </c>
      <c r="C364" s="24" t="s">
        <v>6</v>
      </c>
      <c r="D364" s="24" t="s">
        <v>58</v>
      </c>
      <c r="E364" s="24" t="s">
        <v>8</v>
      </c>
      <c r="F364" s="24" t="s">
        <v>9</v>
      </c>
      <c r="G364" s="24" t="s">
        <v>8</v>
      </c>
      <c r="H364" s="24" t="s">
        <v>8</v>
      </c>
      <c r="I364" s="27">
        <v>2805.38</v>
      </c>
    </row>
    <row r="365" spans="1:9" ht="16">
      <c r="A365" s="35" t="s">
        <v>67</v>
      </c>
      <c r="I365" s="28">
        <f>I360+I361+I362+I363+I364</f>
        <v>4916.16</v>
      </c>
    </row>
    <row r="366" spans="1:9" ht="16">
      <c r="A366" s="36" t="s">
        <v>397</v>
      </c>
      <c r="I366" s="28">
        <f>I355+I359+I365</f>
        <v>9303.58</v>
      </c>
    </row>
    <row r="367" spans="1:1" ht="16">
      <c r="A367" s="33" t="s">
        <v>324</v>
      </c>
    </row>
    <row r="368" spans="1:1" ht="16">
      <c r="A368" s="34" t="s">
        <v>398</v>
      </c>
    </row>
    <row r="369" spans="2:9" ht="16">
      <c r="B369" s="24" t="s">
        <v>119</v>
      </c>
      <c r="C369" s="24" t="s">
        <v>6</v>
      </c>
      <c r="D369" s="24" t="s">
        <v>41</v>
      </c>
      <c r="E369" s="24" t="s">
        <v>399</v>
      </c>
      <c r="F369" s="24" t="s">
        <v>9</v>
      </c>
      <c r="G369" s="24" t="s">
        <v>8</v>
      </c>
      <c r="H369" s="24" t="s">
        <v>319</v>
      </c>
      <c r="I369" s="27">
        <v>48.76</v>
      </c>
    </row>
    <row r="370" spans="1:9" ht="16">
      <c r="A370" s="35" t="s">
        <v>40</v>
      </c>
      <c r="I370" s="28">
        <f>I368+I369</f>
        <v>48.76</v>
      </c>
    </row>
    <row r="371" spans="1:1" ht="16">
      <c r="A371" s="34" t="s">
        <v>398</v>
      </c>
    </row>
    <row r="372" spans="2:9" ht="16">
      <c r="B372" s="24" t="s">
        <v>45</v>
      </c>
      <c r="C372" s="24" t="s">
        <v>6</v>
      </c>
      <c r="D372" s="24" t="s">
        <v>49</v>
      </c>
      <c r="E372" s="24" t="s">
        <v>8</v>
      </c>
      <c r="F372" s="24" t="s">
        <v>9</v>
      </c>
      <c r="G372" s="24" t="s">
        <v>8</v>
      </c>
      <c r="H372" s="24" t="s">
        <v>8</v>
      </c>
      <c r="I372" s="27">
        <v>794.53</v>
      </c>
    </row>
    <row r="373" spans="1:9" ht="16">
      <c r="A373" s="35" t="s">
        <v>50</v>
      </c>
      <c r="I373" s="28">
        <f>I371+I372</f>
        <v>794.53</v>
      </c>
    </row>
    <row r="374" spans="1:1" ht="16">
      <c r="A374" s="34" t="s">
        <v>398</v>
      </c>
    </row>
    <row r="375" spans="2:9" ht="16">
      <c r="B375" s="24" t="s">
        <v>8</v>
      </c>
      <c r="C375" s="24" t="s">
        <v>6</v>
      </c>
      <c r="D375" s="24" t="s">
        <v>60</v>
      </c>
      <c r="E375" s="24" t="s">
        <v>8</v>
      </c>
      <c r="F375" s="24" t="s">
        <v>9</v>
      </c>
      <c r="G375" s="24" t="s">
        <v>8</v>
      </c>
      <c r="H375" s="24" t="s">
        <v>53</v>
      </c>
      <c r="I375" s="27">
        <v>1533.57</v>
      </c>
    </row>
    <row r="376" spans="1:9" ht="16">
      <c r="A376" s="35" t="s">
        <v>67</v>
      </c>
      <c r="I376" s="28">
        <f>I374+I375</f>
        <v>1533.57</v>
      </c>
    </row>
    <row r="377" spans="1:9" ht="16">
      <c r="A377" s="36" t="s">
        <v>400</v>
      </c>
      <c r="I377" s="28">
        <f>I370+I373+I376</f>
        <v>2376.8599999999997</v>
      </c>
    </row>
    <row r="378" spans="1:1" ht="16">
      <c r="A378" s="33" t="s">
        <v>172</v>
      </c>
    </row>
    <row r="379" spans="1:1" ht="16">
      <c r="A379" s="34" t="s">
        <v>401</v>
      </c>
    </row>
    <row r="380" spans="2:9" ht="16">
      <c r="B380" s="24" t="s">
        <v>77</v>
      </c>
      <c r="C380" s="24" t="s">
        <v>13</v>
      </c>
      <c r="D380" s="24" t="s">
        <v>128</v>
      </c>
      <c r="E380" s="24" t="s">
        <v>402</v>
      </c>
      <c r="F380" s="24" t="s">
        <v>9</v>
      </c>
      <c r="G380" s="24" t="s">
        <v>8</v>
      </c>
      <c r="H380" s="24" t="s">
        <v>80</v>
      </c>
      <c r="I380" s="27">
        <v>566.49</v>
      </c>
    </row>
    <row r="381" spans="1:9" ht="16">
      <c r="A381" s="35" t="s">
        <v>81</v>
      </c>
      <c r="I381" s="28">
        <f>I379+I380</f>
        <v>566.49</v>
      </c>
    </row>
    <row r="382" spans="1:1" ht="16">
      <c r="A382" s="34" t="s">
        <v>401</v>
      </c>
    </row>
    <row r="383" spans="2:9" ht="16">
      <c r="B383" s="24" t="s">
        <v>21</v>
      </c>
      <c r="C383" s="24" t="s">
        <v>13</v>
      </c>
      <c r="D383" s="24" t="s">
        <v>142</v>
      </c>
      <c r="E383" s="24" t="s">
        <v>403</v>
      </c>
      <c r="F383" s="24" t="s">
        <v>9</v>
      </c>
      <c r="G383" s="24" t="s">
        <v>8</v>
      </c>
      <c r="H383" s="24" t="s">
        <v>24</v>
      </c>
      <c r="I383" s="27">
        <v>138.93</v>
      </c>
    </row>
    <row r="384" spans="2:9" ht="16">
      <c r="B384" s="24" t="s">
        <v>21</v>
      </c>
      <c r="C384" s="24" t="s">
        <v>13</v>
      </c>
      <c r="D384" s="24" t="s">
        <v>404</v>
      </c>
      <c r="E384" s="24" t="s">
        <v>405</v>
      </c>
      <c r="F384" s="24" t="s">
        <v>9</v>
      </c>
      <c r="G384" s="24" t="s">
        <v>8</v>
      </c>
      <c r="H384" s="24" t="s">
        <v>24</v>
      </c>
      <c r="I384" s="27">
        <v>403.33</v>
      </c>
    </row>
    <row r="385" spans="2:9" ht="16">
      <c r="B385" s="24" t="s">
        <v>186</v>
      </c>
      <c r="C385" s="24" t="s">
        <v>6</v>
      </c>
      <c r="D385" s="24" t="s">
        <v>78</v>
      </c>
      <c r="E385" s="24" t="s">
        <v>8</v>
      </c>
      <c r="F385" s="24" t="s">
        <v>9</v>
      </c>
      <c r="G385" s="24" t="s">
        <v>8</v>
      </c>
      <c r="H385" s="24" t="s">
        <v>406</v>
      </c>
      <c r="I385" s="27">
        <v>713.8</v>
      </c>
    </row>
    <row r="386" spans="2:9" ht="16">
      <c r="B386" s="24" t="s">
        <v>119</v>
      </c>
      <c r="C386" s="24" t="s">
        <v>6</v>
      </c>
      <c r="D386" s="24" t="s">
        <v>189</v>
      </c>
      <c r="E386" s="24" t="s">
        <v>8</v>
      </c>
      <c r="F386" s="24" t="s">
        <v>9</v>
      </c>
      <c r="G386" s="24" t="s">
        <v>8</v>
      </c>
      <c r="H386" s="24" t="s">
        <v>407</v>
      </c>
      <c r="I386" s="27">
        <v>181.68</v>
      </c>
    </row>
    <row r="387" spans="2:9" ht="16">
      <c r="B387" s="24" t="s">
        <v>186</v>
      </c>
      <c r="C387" s="24" t="s">
        <v>6</v>
      </c>
      <c r="D387" s="24" t="s">
        <v>110</v>
      </c>
      <c r="E387" s="24" t="s">
        <v>8</v>
      </c>
      <c r="F387" s="24" t="s">
        <v>9</v>
      </c>
      <c r="G387" s="24" t="s">
        <v>8</v>
      </c>
      <c r="H387" s="24" t="s">
        <v>408</v>
      </c>
      <c r="I387" s="27">
        <v>136.0</v>
      </c>
    </row>
    <row r="388" spans="2:9" ht="16">
      <c r="B388" s="24" t="s">
        <v>119</v>
      </c>
      <c r="C388" s="24" t="s">
        <v>6</v>
      </c>
      <c r="D388" s="24" t="s">
        <v>409</v>
      </c>
      <c r="E388" s="24" t="s">
        <v>8</v>
      </c>
      <c r="F388" s="24" t="s">
        <v>9</v>
      </c>
      <c r="G388" s="24" t="s">
        <v>8</v>
      </c>
      <c r="H388" s="24" t="s">
        <v>410</v>
      </c>
      <c r="I388" s="27">
        <v>212.56</v>
      </c>
    </row>
    <row r="389" spans="2:9" ht="16">
      <c r="B389" s="24" t="s">
        <v>36</v>
      </c>
      <c r="C389" s="24" t="s">
        <v>6</v>
      </c>
      <c r="D389" s="24" t="s">
        <v>409</v>
      </c>
      <c r="E389" s="24" t="s">
        <v>8</v>
      </c>
      <c r="F389" s="24" t="s">
        <v>9</v>
      </c>
      <c r="G389" s="24" t="s">
        <v>8</v>
      </c>
      <c r="H389" s="24" t="s">
        <v>411</v>
      </c>
      <c r="I389" s="27">
        <v>7.74</v>
      </c>
    </row>
    <row r="390" spans="2:9" ht="16">
      <c r="B390" s="24" t="s">
        <v>316</v>
      </c>
      <c r="C390" s="24" t="s">
        <v>6</v>
      </c>
      <c r="D390" s="24" t="s">
        <v>412</v>
      </c>
      <c r="E390" s="24" t="s">
        <v>8</v>
      </c>
      <c r="F390" s="24" t="s">
        <v>9</v>
      </c>
      <c r="G390" s="24" t="s">
        <v>8</v>
      </c>
      <c r="H390" s="24" t="s">
        <v>413</v>
      </c>
      <c r="I390" s="27">
        <v>86.13</v>
      </c>
    </row>
    <row r="391" spans="2:9" ht="16">
      <c r="B391" s="24" t="s">
        <v>127</v>
      </c>
      <c r="C391" s="24" t="s">
        <v>6</v>
      </c>
      <c r="D391" s="24" t="s">
        <v>412</v>
      </c>
      <c r="E391" s="24" t="s">
        <v>8</v>
      </c>
      <c r="F391" s="24" t="s">
        <v>9</v>
      </c>
      <c r="G391" s="24" t="s">
        <v>8</v>
      </c>
      <c r="H391" s="24" t="s">
        <v>414</v>
      </c>
      <c r="I391" s="27">
        <v>3.85</v>
      </c>
    </row>
    <row r="392" spans="2:9" ht="16">
      <c r="B392" s="24" t="s">
        <v>333</v>
      </c>
      <c r="C392" s="24" t="s">
        <v>6</v>
      </c>
      <c r="D392" s="24" t="s">
        <v>412</v>
      </c>
      <c r="E392" s="24" t="s">
        <v>8</v>
      </c>
      <c r="F392" s="24" t="s">
        <v>9</v>
      </c>
      <c r="G392" s="24" t="s">
        <v>8</v>
      </c>
      <c r="H392" s="24" t="s">
        <v>415</v>
      </c>
      <c r="I392" s="27">
        <v>31.49</v>
      </c>
    </row>
    <row r="393" spans="1:9" ht="16">
      <c r="A393" s="35" t="s">
        <v>40</v>
      </c>
      <c r="I393" s="28">
        <f>I382+I383+I384+I385+I386+I387+I388+I389+I390+I391+I392</f>
        <v>1915.51</v>
      </c>
    </row>
    <row r="394" spans="1:1" ht="16">
      <c r="A394" s="34" t="s">
        <v>401</v>
      </c>
    </row>
    <row r="395" spans="2:9" ht="16">
      <c r="B395" s="24" t="s">
        <v>416</v>
      </c>
      <c r="C395" s="24" t="s">
        <v>6</v>
      </c>
      <c r="D395" s="24" t="s">
        <v>417</v>
      </c>
      <c r="E395" s="24" t="s">
        <v>8</v>
      </c>
      <c r="F395" s="24" t="s">
        <v>42</v>
      </c>
      <c r="G395" s="24" t="s">
        <v>8</v>
      </c>
      <c r="H395" s="24" t="s">
        <v>418</v>
      </c>
      <c r="I395" s="27">
        <v>101.06</v>
      </c>
    </row>
    <row r="396" spans="1:9" ht="16">
      <c r="A396" s="35" t="s">
        <v>149</v>
      </c>
      <c r="I396" s="28">
        <f>I394+I395</f>
        <v>101.06</v>
      </c>
    </row>
    <row r="397" spans="1:1" ht="16">
      <c r="A397" s="34" t="s">
        <v>401</v>
      </c>
    </row>
    <row r="398" spans="2:9" ht="16">
      <c r="B398" s="24" t="s">
        <v>8</v>
      </c>
      <c r="C398" s="24" t="s">
        <v>6</v>
      </c>
      <c r="D398" s="24" t="s">
        <v>274</v>
      </c>
      <c r="E398" s="24" t="s">
        <v>8</v>
      </c>
      <c r="F398" s="24" t="s">
        <v>9</v>
      </c>
      <c r="G398" s="24" t="s">
        <v>8</v>
      </c>
      <c r="H398" s="24" t="s">
        <v>47</v>
      </c>
      <c r="I398" s="27">
        <v>179.41</v>
      </c>
    </row>
    <row r="399" spans="2:9" ht="16">
      <c r="B399" s="24" t="s">
        <v>45</v>
      </c>
      <c r="C399" s="24" t="s">
        <v>6</v>
      </c>
      <c r="D399" s="24" t="s">
        <v>240</v>
      </c>
      <c r="E399" s="24" t="s">
        <v>8</v>
      </c>
      <c r="F399" s="24" t="s">
        <v>9</v>
      </c>
      <c r="G399" s="24" t="s">
        <v>8</v>
      </c>
      <c r="H399" s="24" t="s">
        <v>47</v>
      </c>
      <c r="I399" s="27">
        <v>768.9</v>
      </c>
    </row>
    <row r="400" spans="2:9" ht="16">
      <c r="B400" s="24" t="s">
        <v>45</v>
      </c>
      <c r="C400" s="24" t="s">
        <v>13</v>
      </c>
      <c r="D400" s="24" t="s">
        <v>165</v>
      </c>
      <c r="E400" s="24" t="s">
        <v>8</v>
      </c>
      <c r="F400" s="24" t="s">
        <v>9</v>
      </c>
      <c r="G400" s="24" t="s">
        <v>8</v>
      </c>
      <c r="H400" s="24" t="s">
        <v>8</v>
      </c>
      <c r="I400" s="27">
        <v>794.53</v>
      </c>
    </row>
    <row r="401" spans="1:9" ht="16">
      <c r="A401" s="35" t="s">
        <v>50</v>
      </c>
      <c r="I401" s="28">
        <f>I397+I398+I399+I400</f>
        <v>1742.84</v>
      </c>
    </row>
    <row r="402" spans="1:1" ht="16">
      <c r="A402" s="34" t="s">
        <v>401</v>
      </c>
    </row>
    <row r="403" spans="2:9" ht="16">
      <c r="B403" s="24" t="s">
        <v>51</v>
      </c>
      <c r="C403" s="24" t="s">
        <v>6</v>
      </c>
      <c r="D403" s="24" t="s">
        <v>110</v>
      </c>
      <c r="E403" s="24" t="s">
        <v>8</v>
      </c>
      <c r="F403" s="24" t="s">
        <v>9</v>
      </c>
      <c r="G403" s="24" t="s">
        <v>8</v>
      </c>
      <c r="H403" s="24" t="s">
        <v>53</v>
      </c>
      <c r="I403" s="27">
        <v>1882.22</v>
      </c>
    </row>
    <row r="404" spans="2:9" ht="16">
      <c r="B404" s="24" t="s">
        <v>51</v>
      </c>
      <c r="C404" s="24" t="s">
        <v>6</v>
      </c>
      <c r="D404" s="24" t="s">
        <v>419</v>
      </c>
      <c r="E404" s="24" t="s">
        <v>8</v>
      </c>
      <c r="F404" s="24" t="s">
        <v>9</v>
      </c>
      <c r="G404" s="24" t="s">
        <v>8</v>
      </c>
      <c r="H404" s="24" t="s">
        <v>53</v>
      </c>
      <c r="I404" s="27">
        <v>961.38</v>
      </c>
    </row>
    <row r="405" spans="2:9" ht="16">
      <c r="B405" s="24" t="s">
        <v>51</v>
      </c>
      <c r="C405" s="24" t="s">
        <v>6</v>
      </c>
      <c r="D405" s="24" t="s">
        <v>287</v>
      </c>
      <c r="E405" s="24" t="s">
        <v>8</v>
      </c>
      <c r="F405" s="24" t="s">
        <v>9</v>
      </c>
      <c r="G405" s="24" t="s">
        <v>8</v>
      </c>
      <c r="H405" s="24" t="s">
        <v>53</v>
      </c>
      <c r="I405" s="27">
        <v>1185.18</v>
      </c>
    </row>
    <row r="406" spans="2:9" ht="16">
      <c r="B406" s="24" t="s">
        <v>51</v>
      </c>
      <c r="C406" s="24" t="s">
        <v>6</v>
      </c>
      <c r="D406" s="24" t="s">
        <v>286</v>
      </c>
      <c r="E406" s="24" t="s">
        <v>8</v>
      </c>
      <c r="F406" s="24" t="s">
        <v>9</v>
      </c>
      <c r="G406" s="24" t="s">
        <v>8</v>
      </c>
      <c r="H406" s="24" t="s">
        <v>53</v>
      </c>
      <c r="I406" s="27">
        <v>504.48</v>
      </c>
    </row>
    <row r="407" spans="2:9" ht="16">
      <c r="B407" s="24" t="s">
        <v>51</v>
      </c>
      <c r="C407" s="24" t="s">
        <v>6</v>
      </c>
      <c r="D407" s="24" t="s">
        <v>133</v>
      </c>
      <c r="E407" s="24" t="s">
        <v>8</v>
      </c>
      <c r="F407" s="24" t="s">
        <v>9</v>
      </c>
      <c r="G407" s="24" t="s">
        <v>8</v>
      </c>
      <c r="H407" s="24" t="s">
        <v>53</v>
      </c>
      <c r="I407" s="27">
        <v>2504.96</v>
      </c>
    </row>
    <row r="408" spans="2:9" ht="16">
      <c r="B408" s="24" t="s">
        <v>51</v>
      </c>
      <c r="C408" s="24" t="s">
        <v>6</v>
      </c>
      <c r="D408" s="24" t="s">
        <v>283</v>
      </c>
      <c r="E408" s="24" t="s">
        <v>8</v>
      </c>
      <c r="F408" s="24" t="s">
        <v>9</v>
      </c>
      <c r="G408" s="24" t="s">
        <v>8</v>
      </c>
      <c r="H408" s="24" t="s">
        <v>53</v>
      </c>
      <c r="I408" s="27">
        <v>296.33</v>
      </c>
    </row>
    <row r="409" spans="1:9" ht="16">
      <c r="A409" s="35" t="s">
        <v>67</v>
      </c>
      <c r="I409" s="28">
        <f>I402+I403+I404+I405+I406+I407+I408</f>
        <v>7334.55</v>
      </c>
    </row>
    <row r="410" spans="1:9" ht="16">
      <c r="A410" s="36" t="s">
        <v>420</v>
      </c>
      <c r="I410" s="28">
        <f>I381+I393+I396+I401+I409</f>
        <v>11660.45</v>
      </c>
    </row>
    <row r="411" spans="1:1" ht="16">
      <c r="A411" s="33" t="s">
        <v>324</v>
      </c>
    </row>
    <row r="412" spans="1:1" ht="16">
      <c r="A412" s="34" t="s">
        <v>421</v>
      </c>
    </row>
    <row r="413" spans="2:9" ht="16">
      <c r="B413" s="24" t="s">
        <v>21</v>
      </c>
      <c r="C413" s="24" t="s">
        <v>13</v>
      </c>
      <c r="D413" s="24" t="s">
        <v>346</v>
      </c>
      <c r="E413" s="24" t="s">
        <v>422</v>
      </c>
      <c r="F413" s="24" t="s">
        <v>9</v>
      </c>
      <c r="G413" s="24" t="s">
        <v>8</v>
      </c>
      <c r="H413" s="24" t="s">
        <v>24</v>
      </c>
      <c r="I413" s="27">
        <v>301.15</v>
      </c>
    </row>
    <row r="414" spans="2:9" ht="16">
      <c r="B414" s="24" t="s">
        <v>119</v>
      </c>
      <c r="C414" s="24" t="s">
        <v>6</v>
      </c>
      <c r="D414" s="24" t="s">
        <v>62</v>
      </c>
      <c r="E414" s="24" t="s">
        <v>423</v>
      </c>
      <c r="F414" s="24" t="s">
        <v>9</v>
      </c>
      <c r="G414" s="24" t="s">
        <v>8</v>
      </c>
      <c r="H414" s="24" t="s">
        <v>424</v>
      </c>
      <c r="I414" s="27">
        <v>12.47</v>
      </c>
    </row>
    <row r="415" spans="2:9" ht="16">
      <c r="B415" s="24" t="s">
        <v>316</v>
      </c>
      <c r="C415" s="24" t="s">
        <v>6</v>
      </c>
      <c r="D415" s="24" t="s">
        <v>425</v>
      </c>
      <c r="E415" s="24" t="s">
        <v>426</v>
      </c>
      <c r="F415" s="24" t="s">
        <v>9</v>
      </c>
      <c r="G415" s="24" t="s">
        <v>8</v>
      </c>
      <c r="H415" s="24" t="s">
        <v>427</v>
      </c>
      <c r="I415" s="27">
        <v>103.46</v>
      </c>
    </row>
    <row r="416" spans="1:9" ht="16">
      <c r="A416" s="35" t="s">
        <v>40</v>
      </c>
      <c r="I416" s="28">
        <f>I412+I413+I414+I415</f>
        <v>417.08</v>
      </c>
    </row>
    <row r="417" spans="1:1" ht="16">
      <c r="A417" s="34" t="s">
        <v>421</v>
      </c>
    </row>
    <row r="418" spans="2:9" ht="16">
      <c r="B418" s="24" t="s">
        <v>45</v>
      </c>
      <c r="C418" s="24" t="s">
        <v>6</v>
      </c>
      <c r="D418" s="24" t="s">
        <v>49</v>
      </c>
      <c r="E418" s="24" t="s">
        <v>8</v>
      </c>
      <c r="F418" s="24" t="s">
        <v>9</v>
      </c>
      <c r="G418" s="24" t="s">
        <v>8</v>
      </c>
      <c r="H418" s="24" t="s">
        <v>8</v>
      </c>
      <c r="I418" s="27">
        <v>221.14</v>
      </c>
    </row>
    <row r="419" spans="1:9" ht="16">
      <c r="A419" s="35" t="s">
        <v>50</v>
      </c>
      <c r="I419" s="28">
        <f>I417+I418</f>
        <v>221.14</v>
      </c>
    </row>
    <row r="420" spans="1:1" ht="16">
      <c r="A420" s="34" t="s">
        <v>421</v>
      </c>
    </row>
    <row r="421" spans="2:9" ht="16">
      <c r="B421" s="24" t="s">
        <v>51</v>
      </c>
      <c r="C421" s="24" t="s">
        <v>6</v>
      </c>
      <c r="D421" s="24" t="s">
        <v>57</v>
      </c>
      <c r="E421" s="24" t="s">
        <v>8</v>
      </c>
      <c r="F421" s="24" t="s">
        <v>9</v>
      </c>
      <c r="G421" s="24" t="s">
        <v>8</v>
      </c>
      <c r="H421" s="24" t="s">
        <v>53</v>
      </c>
      <c r="I421" s="27">
        <v>992.02</v>
      </c>
    </row>
    <row r="422" spans="2:9" ht="16">
      <c r="B422" s="24" t="s">
        <v>8</v>
      </c>
      <c r="C422" s="24" t="s">
        <v>6</v>
      </c>
      <c r="D422" s="24" t="s">
        <v>60</v>
      </c>
      <c r="E422" s="24" t="s">
        <v>8</v>
      </c>
      <c r="F422" s="24" t="s">
        <v>9</v>
      </c>
      <c r="G422" s="24" t="s">
        <v>8</v>
      </c>
      <c r="H422" s="24" t="s">
        <v>53</v>
      </c>
      <c r="I422" s="27">
        <v>642.67</v>
      </c>
    </row>
    <row r="423" spans="2:9" ht="16">
      <c r="B423" s="24" t="s">
        <v>8</v>
      </c>
      <c r="C423" s="24" t="s">
        <v>6</v>
      </c>
      <c r="D423" s="24" t="s">
        <v>60</v>
      </c>
      <c r="E423" s="24" t="s">
        <v>8</v>
      </c>
      <c r="F423" s="24" t="s">
        <v>9</v>
      </c>
      <c r="G423" s="24" t="s">
        <v>8</v>
      </c>
      <c r="H423" s="24" t="s">
        <v>53</v>
      </c>
      <c r="I423" s="27">
        <v>83.45</v>
      </c>
    </row>
    <row r="424" spans="1:9" ht="16">
      <c r="A424" s="35" t="s">
        <v>67</v>
      </c>
      <c r="I424" s="28">
        <f>I420+I421+I422+I423</f>
        <v>1718.14</v>
      </c>
    </row>
    <row r="425" spans="1:9" ht="16">
      <c r="A425" s="36" t="s">
        <v>428</v>
      </c>
      <c r="I425" s="28">
        <f>I416+I419+I424</f>
        <v>2356.36</v>
      </c>
    </row>
    <row r="426" spans="1:1" ht="16">
      <c r="A426" s="33" t="s">
        <v>429</v>
      </c>
    </row>
    <row r="427" spans="1:1" ht="16">
      <c r="A427" s="34" t="s">
        <v>430</v>
      </c>
    </row>
    <row r="428" spans="2:9" ht="16">
      <c r="B428" s="24" t="s">
        <v>390</v>
      </c>
      <c r="C428" s="24" t="s">
        <v>6</v>
      </c>
      <c r="D428" s="24" t="s">
        <v>431</v>
      </c>
      <c r="E428" s="24" t="s">
        <v>8</v>
      </c>
      <c r="F428" s="24" t="s">
        <v>9</v>
      </c>
      <c r="G428" s="24" t="s">
        <v>8</v>
      </c>
      <c r="H428" s="24" t="s">
        <v>432</v>
      </c>
      <c r="I428" s="27">
        <v>34.91</v>
      </c>
    </row>
    <row r="429" spans="1:9" ht="16">
      <c r="A429" s="35" t="s">
        <v>433</v>
      </c>
      <c r="I429" s="28">
        <f>I427+I428</f>
        <v>34.91</v>
      </c>
    </row>
    <row r="430" spans="1:1" ht="16">
      <c r="A430" s="34" t="s">
        <v>430</v>
      </c>
    </row>
    <row r="431" spans="2:9" ht="16">
      <c r="B431" s="24" t="s">
        <v>45</v>
      </c>
      <c r="C431" s="24" t="s">
        <v>6</v>
      </c>
      <c r="D431" s="24" t="s">
        <v>48</v>
      </c>
      <c r="E431" s="24" t="s">
        <v>8</v>
      </c>
      <c r="F431" s="24" t="s">
        <v>9</v>
      </c>
      <c r="G431" s="24" t="s">
        <v>8</v>
      </c>
      <c r="H431" s="24" t="s">
        <v>47</v>
      </c>
      <c r="I431" s="27">
        <v>205.04</v>
      </c>
    </row>
    <row r="432" spans="1:9" ht="16">
      <c r="A432" s="35" t="s">
        <v>50</v>
      </c>
      <c r="I432" s="28">
        <f>I430+I431</f>
        <v>205.04</v>
      </c>
    </row>
    <row r="433" spans="1:1" ht="16">
      <c r="A433" s="34" t="s">
        <v>430</v>
      </c>
    </row>
    <row r="434" spans="2:9" ht="16">
      <c r="B434" s="24" t="s">
        <v>51</v>
      </c>
      <c r="C434" s="24" t="s">
        <v>6</v>
      </c>
      <c r="D434" s="24" t="s">
        <v>52</v>
      </c>
      <c r="E434" s="24" t="s">
        <v>8</v>
      </c>
      <c r="F434" s="24" t="s">
        <v>9</v>
      </c>
      <c r="G434" s="24" t="s">
        <v>8</v>
      </c>
      <c r="H434" s="24" t="s">
        <v>53</v>
      </c>
      <c r="I434" s="27">
        <v>407.92</v>
      </c>
    </row>
    <row r="435" spans="1:9" ht="16">
      <c r="A435" s="35" t="s">
        <v>67</v>
      </c>
      <c r="I435" s="28">
        <f>I433+I434</f>
        <v>407.92</v>
      </c>
    </row>
    <row r="436" spans="1:9" ht="16">
      <c r="A436" s="36" t="s">
        <v>434</v>
      </c>
      <c r="I436" s="28">
        <f>I429+I432+I435</f>
        <v>647.87</v>
      </c>
    </row>
    <row r="437" spans="1:1" ht="16">
      <c r="A437" s="33" t="s">
        <v>324</v>
      </c>
    </row>
    <row r="438" spans="1:1" ht="16">
      <c r="A438" s="34" t="s">
        <v>435</v>
      </c>
    </row>
    <row r="439" spans="2:9" ht="16">
      <c r="B439" s="24" t="s">
        <v>436</v>
      </c>
      <c r="C439" s="24" t="s">
        <v>6</v>
      </c>
      <c r="D439" s="24" t="s">
        <v>49</v>
      </c>
      <c r="E439" s="24" t="s">
        <v>8</v>
      </c>
      <c r="F439" s="24" t="s">
        <v>9</v>
      </c>
      <c r="G439" s="24" t="s">
        <v>8</v>
      </c>
      <c r="H439" s="24" t="s">
        <v>437</v>
      </c>
      <c r="I439" s="27">
        <v>118.32</v>
      </c>
    </row>
    <row r="440" spans="2:9" ht="16">
      <c r="B440" s="24" t="s">
        <v>119</v>
      </c>
      <c r="C440" s="24" t="s">
        <v>6</v>
      </c>
      <c r="D440" s="24" t="s">
        <v>327</v>
      </c>
      <c r="E440" s="24" t="s">
        <v>8</v>
      </c>
      <c r="F440" s="24" t="s">
        <v>9</v>
      </c>
      <c r="G440" s="24" t="s">
        <v>8</v>
      </c>
      <c r="H440" s="24" t="s">
        <v>438</v>
      </c>
      <c r="I440" s="27">
        <v>193.13</v>
      </c>
    </row>
    <row r="441" spans="2:9" ht="16">
      <c r="B441" s="24" t="s">
        <v>119</v>
      </c>
      <c r="C441" s="24" t="s">
        <v>6</v>
      </c>
      <c r="D441" s="24" t="s">
        <v>327</v>
      </c>
      <c r="E441" s="24" t="s">
        <v>8</v>
      </c>
      <c r="F441" s="24" t="s">
        <v>9</v>
      </c>
      <c r="G441" s="24" t="s">
        <v>8</v>
      </c>
      <c r="H441" s="24" t="s">
        <v>439</v>
      </c>
      <c r="I441" s="27">
        <v>63.2</v>
      </c>
    </row>
    <row r="442" spans="2:9" ht="16">
      <c r="B442" s="24" t="s">
        <v>119</v>
      </c>
      <c r="C442" s="24" t="s">
        <v>6</v>
      </c>
      <c r="D442" s="24" t="s">
        <v>327</v>
      </c>
      <c r="E442" s="24" t="s">
        <v>8</v>
      </c>
      <c r="F442" s="24" t="s">
        <v>9</v>
      </c>
      <c r="G442" s="24" t="s">
        <v>8</v>
      </c>
      <c r="H442" s="24" t="s">
        <v>440</v>
      </c>
      <c r="I442" s="27">
        <v>53.57</v>
      </c>
    </row>
    <row r="443" spans="2:9" ht="16">
      <c r="B443" s="24" t="s">
        <v>119</v>
      </c>
      <c r="C443" s="24" t="s">
        <v>6</v>
      </c>
      <c r="D443" s="24" t="s">
        <v>206</v>
      </c>
      <c r="E443" s="24" t="s">
        <v>8</v>
      </c>
      <c r="F443" s="24" t="s">
        <v>9</v>
      </c>
      <c r="G443" s="24" t="s">
        <v>8</v>
      </c>
      <c r="H443" s="24" t="s">
        <v>441</v>
      </c>
      <c r="I443" s="27">
        <v>18.77</v>
      </c>
    </row>
    <row r="444" spans="2:9" ht="16">
      <c r="B444" s="24" t="s">
        <v>119</v>
      </c>
      <c r="C444" s="24" t="s">
        <v>6</v>
      </c>
      <c r="D444" s="24" t="s">
        <v>327</v>
      </c>
      <c r="E444" s="24" t="s">
        <v>8</v>
      </c>
      <c r="F444" s="24" t="s">
        <v>9</v>
      </c>
      <c r="G444" s="24" t="s">
        <v>8</v>
      </c>
      <c r="H444" s="24" t="s">
        <v>442</v>
      </c>
      <c r="I444" s="27">
        <v>102.69</v>
      </c>
    </row>
    <row r="445" spans="2:9" ht="16">
      <c r="B445" s="24" t="s">
        <v>119</v>
      </c>
      <c r="C445" s="24" t="s">
        <v>6</v>
      </c>
      <c r="D445" s="24" t="s">
        <v>206</v>
      </c>
      <c r="E445" s="24" t="s">
        <v>8</v>
      </c>
      <c r="F445" s="24" t="s">
        <v>9</v>
      </c>
      <c r="G445" s="24" t="s">
        <v>8</v>
      </c>
      <c r="H445" s="24" t="s">
        <v>443</v>
      </c>
      <c r="I445" s="27">
        <v>15.37</v>
      </c>
    </row>
    <row r="446" spans="2:9" ht="16">
      <c r="B446" s="24" t="s">
        <v>119</v>
      </c>
      <c r="C446" s="24" t="s">
        <v>6</v>
      </c>
      <c r="D446" s="24" t="s">
        <v>206</v>
      </c>
      <c r="E446" s="24" t="s">
        <v>8</v>
      </c>
      <c r="F446" s="24" t="s">
        <v>9</v>
      </c>
      <c r="G446" s="24" t="s">
        <v>8</v>
      </c>
      <c r="H446" s="24" t="s">
        <v>443</v>
      </c>
      <c r="I446" s="27">
        <v>10.05</v>
      </c>
    </row>
    <row r="447" spans="1:9" ht="16">
      <c r="A447" s="35" t="s">
        <v>40</v>
      </c>
      <c r="I447" s="28">
        <f>I438+I439+I440+I441+I442+I443+I444+I445+I446</f>
        <v>575.0999999999999</v>
      </c>
    </row>
    <row r="448" spans="1:1" ht="16">
      <c r="A448" s="34" t="s">
        <v>435</v>
      </c>
    </row>
    <row r="449" spans="2:9" ht="16">
      <c r="B449" s="24" t="s">
        <v>45</v>
      </c>
      <c r="C449" s="24" t="s">
        <v>6</v>
      </c>
      <c r="D449" s="24" t="s">
        <v>48</v>
      </c>
      <c r="E449" s="24" t="s">
        <v>8</v>
      </c>
      <c r="F449" s="24" t="s">
        <v>9</v>
      </c>
      <c r="G449" s="24" t="s">
        <v>8</v>
      </c>
      <c r="H449" s="24" t="s">
        <v>47</v>
      </c>
      <c r="I449" s="27">
        <v>538.23</v>
      </c>
    </row>
    <row r="450" spans="1:9" ht="16">
      <c r="A450" s="35" t="s">
        <v>50</v>
      </c>
      <c r="I450" s="28">
        <f>I448+I449</f>
        <v>538.23</v>
      </c>
    </row>
    <row r="451" spans="1:1" ht="16">
      <c r="A451" s="34" t="s">
        <v>435</v>
      </c>
    </row>
    <row r="452" spans="2:9" ht="16">
      <c r="B452" s="24" t="s">
        <v>51</v>
      </c>
      <c r="C452" s="24" t="s">
        <v>6</v>
      </c>
      <c r="D452" s="24" t="s">
        <v>93</v>
      </c>
      <c r="E452" s="24" t="s">
        <v>8</v>
      </c>
      <c r="F452" s="24" t="s">
        <v>9</v>
      </c>
      <c r="G452" s="24" t="s">
        <v>8</v>
      </c>
      <c r="H452" s="24" t="s">
        <v>53</v>
      </c>
      <c r="I452" s="27">
        <v>1252.92</v>
      </c>
    </row>
    <row r="453" spans="1:9" ht="16">
      <c r="A453" s="35" t="s">
        <v>67</v>
      </c>
      <c r="I453" s="28">
        <f>I451+I452</f>
        <v>1252.92</v>
      </c>
    </row>
    <row r="454" spans="1:9" ht="16">
      <c r="A454" s="36" t="s">
        <v>444</v>
      </c>
      <c r="I454" s="28">
        <f>I447+I450+I453</f>
        <v>2366.25</v>
      </c>
    </row>
    <row r="455" spans="1:1" ht="16">
      <c r="A455" s="33" t="s">
        <v>172</v>
      </c>
    </row>
    <row r="456" spans="1:1" ht="16">
      <c r="A456" s="34" t="s">
        <v>445</v>
      </c>
    </row>
    <row r="457" spans="2:9" ht="16">
      <c r="B457" s="24" t="s">
        <v>77</v>
      </c>
      <c r="C457" s="24" t="s">
        <v>13</v>
      </c>
      <c r="D457" s="24" t="s">
        <v>446</v>
      </c>
      <c r="E457" s="24" t="s">
        <v>447</v>
      </c>
      <c r="F457" s="24" t="s">
        <v>9</v>
      </c>
      <c r="G457" s="24" t="s">
        <v>8</v>
      </c>
      <c r="H457" s="24" t="s">
        <v>80</v>
      </c>
      <c r="I457" s="27">
        <v>760.05</v>
      </c>
    </row>
    <row r="458" spans="2:9" ht="16">
      <c r="B458" s="24" t="s">
        <v>77</v>
      </c>
      <c r="C458" s="24" t="s">
        <v>141</v>
      </c>
      <c r="D458" s="24" t="s">
        <v>448</v>
      </c>
      <c r="E458" s="24" t="s">
        <v>449</v>
      </c>
      <c r="F458" s="24" t="s">
        <v>9</v>
      </c>
      <c r="G458" s="24" t="s">
        <v>8</v>
      </c>
      <c r="H458" s="24" t="s">
        <v>450</v>
      </c>
      <c r="I458" s="27">
        <v>-125.0</v>
      </c>
    </row>
    <row r="459" spans="1:9" ht="16">
      <c r="A459" s="35" t="s">
        <v>81</v>
      </c>
      <c r="I459" s="28">
        <f>I456+I457+I458</f>
        <v>635.05</v>
      </c>
    </row>
    <row r="460" spans="1:1" ht="16">
      <c r="A460" s="34" t="s">
        <v>445</v>
      </c>
    </row>
    <row r="461" spans="2:9" ht="16">
      <c r="B461" s="24" t="s">
        <v>119</v>
      </c>
      <c r="C461" s="24" t="s">
        <v>6</v>
      </c>
      <c r="D461" s="24" t="s">
        <v>451</v>
      </c>
      <c r="E461" s="24" t="s">
        <v>8</v>
      </c>
      <c r="F461" s="24" t="s">
        <v>9</v>
      </c>
      <c r="G461" s="24" t="s">
        <v>8</v>
      </c>
      <c r="H461" s="24" t="s">
        <v>452</v>
      </c>
      <c r="I461" s="27">
        <v>32.66</v>
      </c>
    </row>
    <row r="462" spans="2:9" ht="16">
      <c r="B462" s="24" t="s">
        <v>21</v>
      </c>
      <c r="C462" s="24" t="s">
        <v>13</v>
      </c>
      <c r="D462" s="24" t="s">
        <v>453</v>
      </c>
      <c r="E462" s="24" t="s">
        <v>454</v>
      </c>
      <c r="F462" s="24" t="s">
        <v>9</v>
      </c>
      <c r="G462" s="24" t="s">
        <v>8</v>
      </c>
      <c r="H462" s="24" t="s">
        <v>455</v>
      </c>
      <c r="I462" s="27">
        <v>54.4</v>
      </c>
    </row>
    <row r="463" spans="2:9" ht="16">
      <c r="B463" s="24" t="s">
        <v>5</v>
      </c>
      <c r="C463" s="24" t="s">
        <v>13</v>
      </c>
      <c r="D463" s="24" t="s">
        <v>456</v>
      </c>
      <c r="E463" s="24" t="s">
        <v>457</v>
      </c>
      <c r="F463" s="24" t="s">
        <v>9</v>
      </c>
      <c r="G463" s="24" t="s">
        <v>8</v>
      </c>
      <c r="H463" s="24" t="s">
        <v>458</v>
      </c>
      <c r="I463" s="27">
        <v>31.7</v>
      </c>
    </row>
    <row r="464" spans="2:9" ht="16">
      <c r="B464" s="24" t="s">
        <v>459</v>
      </c>
      <c r="C464" s="24" t="s">
        <v>13</v>
      </c>
      <c r="D464" s="24" t="s">
        <v>460</v>
      </c>
      <c r="E464" s="24" t="s">
        <v>461</v>
      </c>
      <c r="F464" s="24" t="s">
        <v>9</v>
      </c>
      <c r="G464" s="24" t="s">
        <v>8</v>
      </c>
      <c r="H464" s="24" t="s">
        <v>462</v>
      </c>
      <c r="I464" s="27">
        <v>446.8</v>
      </c>
    </row>
    <row r="465" spans="2:9" ht="16">
      <c r="B465" s="24" t="s">
        <v>21</v>
      </c>
      <c r="C465" s="24" t="s">
        <v>13</v>
      </c>
      <c r="D465" s="24" t="s">
        <v>168</v>
      </c>
      <c r="E465" s="24" t="s">
        <v>463</v>
      </c>
      <c r="F465" s="24" t="s">
        <v>9</v>
      </c>
      <c r="G465" s="24" t="s">
        <v>8</v>
      </c>
      <c r="H465" s="24" t="s">
        <v>464</v>
      </c>
      <c r="I465" s="27">
        <v>427.55</v>
      </c>
    </row>
    <row r="466" spans="2:9" ht="16">
      <c r="B466" s="24" t="s">
        <v>21</v>
      </c>
      <c r="C466" s="24" t="s">
        <v>13</v>
      </c>
      <c r="D466" s="24" t="s">
        <v>465</v>
      </c>
      <c r="E466" s="24" t="s">
        <v>466</v>
      </c>
      <c r="F466" s="24" t="s">
        <v>9</v>
      </c>
      <c r="G466" s="24" t="s">
        <v>8</v>
      </c>
      <c r="H466" s="24" t="s">
        <v>24</v>
      </c>
      <c r="I466" s="27">
        <v>133.35</v>
      </c>
    </row>
    <row r="467" spans="2:9" ht="16">
      <c r="B467" s="24" t="s">
        <v>21</v>
      </c>
      <c r="C467" s="24" t="s">
        <v>13</v>
      </c>
      <c r="D467" s="24" t="s">
        <v>467</v>
      </c>
      <c r="E467" s="24" t="s">
        <v>468</v>
      </c>
      <c r="F467" s="24" t="s">
        <v>9</v>
      </c>
      <c r="G467" s="24" t="s">
        <v>8</v>
      </c>
      <c r="H467" s="24" t="s">
        <v>24</v>
      </c>
      <c r="I467" s="27">
        <v>248.98</v>
      </c>
    </row>
    <row r="468" spans="2:9" ht="16">
      <c r="B468" s="24" t="s">
        <v>21</v>
      </c>
      <c r="C468" s="24" t="s">
        <v>13</v>
      </c>
      <c r="D468" s="24" t="s">
        <v>469</v>
      </c>
      <c r="E468" s="24" t="s">
        <v>470</v>
      </c>
      <c r="F468" s="24" t="s">
        <v>9</v>
      </c>
      <c r="G468" s="24" t="s">
        <v>8</v>
      </c>
      <c r="H468" s="24" t="s">
        <v>24</v>
      </c>
      <c r="I468" s="27">
        <v>1394.35</v>
      </c>
    </row>
    <row r="469" spans="2:9" ht="16">
      <c r="B469" s="24" t="s">
        <v>21</v>
      </c>
      <c r="C469" s="24" t="s">
        <v>13</v>
      </c>
      <c r="D469" s="24" t="s">
        <v>471</v>
      </c>
      <c r="E469" s="24" t="s">
        <v>472</v>
      </c>
      <c r="F469" s="24" t="s">
        <v>9</v>
      </c>
      <c r="G469" s="24" t="s">
        <v>8</v>
      </c>
      <c r="H469" s="24" t="s">
        <v>24</v>
      </c>
      <c r="I469" s="27">
        <v>32.75</v>
      </c>
    </row>
    <row r="470" spans="2:9" ht="16">
      <c r="B470" s="24" t="s">
        <v>21</v>
      </c>
      <c r="C470" s="24" t="s">
        <v>13</v>
      </c>
      <c r="D470" s="24" t="s">
        <v>285</v>
      </c>
      <c r="E470" s="24" t="s">
        <v>473</v>
      </c>
      <c r="F470" s="24" t="s">
        <v>9</v>
      </c>
      <c r="G470" s="24" t="s">
        <v>8</v>
      </c>
      <c r="H470" s="24" t="s">
        <v>24</v>
      </c>
      <c r="I470" s="27">
        <v>182.08</v>
      </c>
    </row>
    <row r="471" spans="2:9" ht="16">
      <c r="B471" s="24" t="s">
        <v>21</v>
      </c>
      <c r="C471" s="24" t="s">
        <v>13</v>
      </c>
      <c r="D471" s="24" t="s">
        <v>474</v>
      </c>
      <c r="E471" s="24" t="s">
        <v>475</v>
      </c>
      <c r="F471" s="24" t="s">
        <v>9</v>
      </c>
      <c r="G471" s="24" t="s">
        <v>8</v>
      </c>
      <c r="H471" s="24" t="s">
        <v>24</v>
      </c>
      <c r="I471" s="27">
        <v>258.7</v>
      </c>
    </row>
    <row r="472" spans="2:9" ht="16">
      <c r="B472" s="24" t="s">
        <v>21</v>
      </c>
      <c r="C472" s="24" t="s">
        <v>13</v>
      </c>
      <c r="D472" s="24" t="s">
        <v>270</v>
      </c>
      <c r="E472" s="24" t="s">
        <v>476</v>
      </c>
      <c r="F472" s="24" t="s">
        <v>9</v>
      </c>
      <c r="G472" s="24" t="s">
        <v>8</v>
      </c>
      <c r="H472" s="24" t="s">
        <v>24</v>
      </c>
      <c r="I472" s="27">
        <v>143.32</v>
      </c>
    </row>
    <row r="473" spans="2:9" ht="16">
      <c r="B473" s="24" t="s">
        <v>21</v>
      </c>
      <c r="C473" s="24" t="s">
        <v>13</v>
      </c>
      <c r="D473" s="24" t="s">
        <v>477</v>
      </c>
      <c r="E473" s="24" t="s">
        <v>478</v>
      </c>
      <c r="F473" s="24" t="s">
        <v>9</v>
      </c>
      <c r="G473" s="24" t="s">
        <v>8</v>
      </c>
      <c r="H473" s="24" t="s">
        <v>24</v>
      </c>
      <c r="I473" s="27">
        <v>326.4</v>
      </c>
    </row>
    <row r="474" spans="2:9" ht="16">
      <c r="B474" s="24" t="s">
        <v>21</v>
      </c>
      <c r="C474" s="24" t="s">
        <v>13</v>
      </c>
      <c r="D474" s="24" t="s">
        <v>283</v>
      </c>
      <c r="E474" s="24" t="s">
        <v>479</v>
      </c>
      <c r="F474" s="24" t="s">
        <v>9</v>
      </c>
      <c r="G474" s="24" t="s">
        <v>8</v>
      </c>
      <c r="H474" s="24" t="s">
        <v>24</v>
      </c>
      <c r="I474" s="27">
        <v>2190.4</v>
      </c>
    </row>
    <row r="475" spans="2:9" ht="16">
      <c r="B475" s="24" t="s">
        <v>21</v>
      </c>
      <c r="C475" s="24" t="s">
        <v>13</v>
      </c>
      <c r="D475" s="24" t="s">
        <v>240</v>
      </c>
      <c r="E475" s="24" t="s">
        <v>480</v>
      </c>
      <c r="F475" s="24" t="s">
        <v>9</v>
      </c>
      <c r="G475" s="24" t="s">
        <v>8</v>
      </c>
      <c r="H475" s="24" t="s">
        <v>24</v>
      </c>
      <c r="I475" s="27">
        <v>1948.29</v>
      </c>
    </row>
    <row r="476" spans="2:9" ht="16">
      <c r="B476" s="24" t="s">
        <v>21</v>
      </c>
      <c r="C476" s="24" t="s">
        <v>13</v>
      </c>
      <c r="D476" s="24" t="s">
        <v>481</v>
      </c>
      <c r="E476" s="24" t="s">
        <v>482</v>
      </c>
      <c r="F476" s="24" t="s">
        <v>9</v>
      </c>
      <c r="G476" s="24" t="s">
        <v>8</v>
      </c>
      <c r="H476" s="24" t="s">
        <v>483</v>
      </c>
      <c r="I476" s="27">
        <v>3167.88</v>
      </c>
    </row>
    <row r="477" spans="2:9" ht="16">
      <c r="B477" s="24" t="s">
        <v>127</v>
      </c>
      <c r="C477" s="24" t="s">
        <v>6</v>
      </c>
      <c r="D477" s="24" t="s">
        <v>235</v>
      </c>
      <c r="E477" s="24" t="s">
        <v>8</v>
      </c>
      <c r="F477" s="24" t="s">
        <v>9</v>
      </c>
      <c r="G477" s="24" t="s">
        <v>8</v>
      </c>
      <c r="H477" s="24" t="s">
        <v>484</v>
      </c>
      <c r="I477" s="27">
        <v>33.64</v>
      </c>
    </row>
    <row r="478" spans="2:9" ht="16">
      <c r="B478" s="24" t="s">
        <v>459</v>
      </c>
      <c r="C478" s="24" t="s">
        <v>6</v>
      </c>
      <c r="D478" s="24" t="s">
        <v>287</v>
      </c>
      <c r="E478" s="24" t="s">
        <v>8</v>
      </c>
      <c r="F478" s="24" t="s">
        <v>9</v>
      </c>
      <c r="G478" s="24" t="s">
        <v>8</v>
      </c>
      <c r="H478" s="24" t="s">
        <v>485</v>
      </c>
      <c r="I478" s="27">
        <v>230.0</v>
      </c>
    </row>
    <row r="479" spans="2:9" ht="16">
      <c r="B479" s="24" t="s">
        <v>186</v>
      </c>
      <c r="C479" s="24" t="s">
        <v>6</v>
      </c>
      <c r="D479" s="24" t="s">
        <v>486</v>
      </c>
      <c r="E479" s="24" t="s">
        <v>8</v>
      </c>
      <c r="F479" s="24" t="s">
        <v>9</v>
      </c>
      <c r="G479" s="24" t="s">
        <v>8</v>
      </c>
      <c r="H479" s="24" t="s">
        <v>487</v>
      </c>
      <c r="I479" s="27">
        <v>300.44</v>
      </c>
    </row>
    <row r="480" spans="2:9" ht="16">
      <c r="B480" s="24" t="s">
        <v>488</v>
      </c>
      <c r="C480" s="24" t="s">
        <v>6</v>
      </c>
      <c r="D480" s="24" t="s">
        <v>489</v>
      </c>
      <c r="E480" s="24" t="s">
        <v>8</v>
      </c>
      <c r="F480" s="24" t="s">
        <v>9</v>
      </c>
      <c r="G480" s="24" t="s">
        <v>8</v>
      </c>
      <c r="H480" s="24" t="s">
        <v>490</v>
      </c>
      <c r="I480" s="27">
        <v>5.41</v>
      </c>
    </row>
    <row r="481" spans="2:9" ht="16">
      <c r="B481" s="24" t="s">
        <v>17</v>
      </c>
      <c r="C481" s="24" t="s">
        <v>6</v>
      </c>
      <c r="D481" s="24" t="s">
        <v>287</v>
      </c>
      <c r="E481" s="24" t="s">
        <v>8</v>
      </c>
      <c r="F481" s="24" t="s">
        <v>9</v>
      </c>
      <c r="G481" s="24" t="s">
        <v>8</v>
      </c>
      <c r="H481" s="24" t="s">
        <v>491</v>
      </c>
      <c r="I481" s="27">
        <v>308.34</v>
      </c>
    </row>
    <row r="482" spans="2:9" ht="16">
      <c r="B482" s="24" t="s">
        <v>36</v>
      </c>
      <c r="C482" s="24" t="s">
        <v>6</v>
      </c>
      <c r="D482" s="24" t="s">
        <v>283</v>
      </c>
      <c r="E482" s="24" t="s">
        <v>8</v>
      </c>
      <c r="F482" s="24" t="s">
        <v>9</v>
      </c>
      <c r="G482" s="24" t="s">
        <v>8</v>
      </c>
      <c r="H482" s="24" t="s">
        <v>492</v>
      </c>
      <c r="I482" s="27">
        <v>136.89</v>
      </c>
    </row>
    <row r="483" spans="2:9" ht="16">
      <c r="B483" s="24" t="s">
        <v>493</v>
      </c>
      <c r="C483" s="24" t="s">
        <v>6</v>
      </c>
      <c r="D483" s="24" t="s">
        <v>494</v>
      </c>
      <c r="E483" s="24" t="s">
        <v>8</v>
      </c>
      <c r="F483" s="24" t="s">
        <v>9</v>
      </c>
      <c r="G483" s="24" t="s">
        <v>8</v>
      </c>
      <c r="H483" s="24" t="s">
        <v>495</v>
      </c>
      <c r="I483" s="27">
        <v>684.26</v>
      </c>
    </row>
    <row r="484" spans="2:9" ht="16">
      <c r="B484" s="24" t="s">
        <v>493</v>
      </c>
      <c r="C484" s="24" t="s">
        <v>6</v>
      </c>
      <c r="D484" s="24" t="s">
        <v>494</v>
      </c>
      <c r="E484" s="24" t="s">
        <v>8</v>
      </c>
      <c r="F484" s="24" t="s">
        <v>9</v>
      </c>
      <c r="G484" s="24" t="s">
        <v>8</v>
      </c>
      <c r="H484" s="24" t="s">
        <v>496</v>
      </c>
      <c r="I484" s="27">
        <v>2121.91</v>
      </c>
    </row>
    <row r="485" spans="2:9" ht="16">
      <c r="B485" s="24" t="s">
        <v>119</v>
      </c>
      <c r="C485" s="24" t="s">
        <v>6</v>
      </c>
      <c r="D485" s="24" t="s">
        <v>494</v>
      </c>
      <c r="E485" s="24" t="s">
        <v>8</v>
      </c>
      <c r="F485" s="24" t="s">
        <v>9</v>
      </c>
      <c r="G485" s="24" t="s">
        <v>8</v>
      </c>
      <c r="H485" s="24" t="s">
        <v>497</v>
      </c>
      <c r="I485" s="27">
        <v>22.85</v>
      </c>
    </row>
    <row r="486" spans="2:9" ht="16">
      <c r="B486" s="24" t="s">
        <v>493</v>
      </c>
      <c r="C486" s="24" t="s">
        <v>6</v>
      </c>
      <c r="D486" s="24" t="s">
        <v>240</v>
      </c>
      <c r="E486" s="24" t="s">
        <v>8</v>
      </c>
      <c r="F486" s="24" t="s">
        <v>9</v>
      </c>
      <c r="G486" s="24" t="s">
        <v>8</v>
      </c>
      <c r="H486" s="24" t="s">
        <v>498</v>
      </c>
      <c r="I486" s="27">
        <v>239.13</v>
      </c>
    </row>
    <row r="487" spans="2:9" ht="16">
      <c r="B487" s="24" t="s">
        <v>493</v>
      </c>
      <c r="C487" s="24" t="s">
        <v>6</v>
      </c>
      <c r="D487" s="24" t="s">
        <v>499</v>
      </c>
      <c r="E487" s="24" t="s">
        <v>8</v>
      </c>
      <c r="F487" s="24" t="s">
        <v>9</v>
      </c>
      <c r="G487" s="24" t="s">
        <v>8</v>
      </c>
      <c r="H487" s="24" t="s">
        <v>500</v>
      </c>
      <c r="I487" s="27">
        <v>394.84</v>
      </c>
    </row>
    <row r="488" spans="2:9" ht="16">
      <c r="B488" s="24" t="s">
        <v>119</v>
      </c>
      <c r="C488" s="24" t="s">
        <v>6</v>
      </c>
      <c r="D488" s="24" t="s">
        <v>501</v>
      </c>
      <c r="E488" s="24" t="s">
        <v>8</v>
      </c>
      <c r="F488" s="24" t="s">
        <v>9</v>
      </c>
      <c r="G488" s="24" t="s">
        <v>8</v>
      </c>
      <c r="H488" s="24" t="s">
        <v>502</v>
      </c>
      <c r="I488" s="27">
        <v>38.86</v>
      </c>
    </row>
    <row r="489" spans="2:9" ht="16">
      <c r="B489" s="24" t="s">
        <v>21</v>
      </c>
      <c r="C489" s="24" t="s">
        <v>13</v>
      </c>
      <c r="D489" s="24" t="s">
        <v>503</v>
      </c>
      <c r="E489" s="24" t="s">
        <v>504</v>
      </c>
      <c r="F489" s="24" t="s">
        <v>9</v>
      </c>
      <c r="G489" s="24" t="s">
        <v>8</v>
      </c>
      <c r="H489" s="24" t="s">
        <v>505</v>
      </c>
      <c r="I489" s="27">
        <v>1272.78</v>
      </c>
    </row>
    <row r="490" spans="2:9" ht="16">
      <c r="B490" s="24" t="s">
        <v>21</v>
      </c>
      <c r="C490" s="24" t="s">
        <v>13</v>
      </c>
      <c r="D490" s="24" t="s">
        <v>506</v>
      </c>
      <c r="E490" s="24" t="s">
        <v>507</v>
      </c>
      <c r="F490" s="24" t="s">
        <v>9</v>
      </c>
      <c r="G490" s="24" t="s">
        <v>8</v>
      </c>
      <c r="H490" s="24" t="s">
        <v>508</v>
      </c>
      <c r="I490" s="27">
        <v>3331.12</v>
      </c>
    </row>
    <row r="491" spans="2:9" ht="16">
      <c r="B491" s="24" t="s">
        <v>186</v>
      </c>
      <c r="C491" s="24" t="s">
        <v>6</v>
      </c>
      <c r="D491" s="24" t="s">
        <v>509</v>
      </c>
      <c r="E491" s="24" t="s">
        <v>8</v>
      </c>
      <c r="F491" s="24" t="s">
        <v>9</v>
      </c>
      <c r="G491" s="24" t="s">
        <v>8</v>
      </c>
      <c r="H491" s="24" t="s">
        <v>510</v>
      </c>
      <c r="I491" s="27">
        <v>277.49</v>
      </c>
    </row>
    <row r="492" spans="2:9" ht="16">
      <c r="B492" s="24" t="s">
        <v>21</v>
      </c>
      <c r="C492" s="24" t="s">
        <v>13</v>
      </c>
      <c r="D492" s="24" t="s">
        <v>506</v>
      </c>
      <c r="E492" s="24" t="s">
        <v>507</v>
      </c>
      <c r="F492" s="24" t="s">
        <v>9</v>
      </c>
      <c r="G492" s="24" t="s">
        <v>8</v>
      </c>
      <c r="H492" s="24" t="s">
        <v>511</v>
      </c>
      <c r="I492" s="27">
        <v>-221.55</v>
      </c>
    </row>
    <row r="493" spans="2:9" ht="16">
      <c r="B493" s="24" t="s">
        <v>5</v>
      </c>
      <c r="C493" s="24" t="s">
        <v>6</v>
      </c>
      <c r="D493" s="24" t="s">
        <v>512</v>
      </c>
      <c r="E493" s="24" t="s">
        <v>8</v>
      </c>
      <c r="F493" s="24" t="s">
        <v>9</v>
      </c>
      <c r="G493" s="24" t="s">
        <v>8</v>
      </c>
      <c r="H493" s="24" t="s">
        <v>513</v>
      </c>
      <c r="I493" s="27">
        <v>48.29</v>
      </c>
    </row>
    <row r="494" spans="2:9" ht="16">
      <c r="B494" s="24" t="s">
        <v>514</v>
      </c>
      <c r="C494" s="24" t="s">
        <v>6</v>
      </c>
      <c r="D494" s="24" t="s">
        <v>515</v>
      </c>
      <c r="E494" s="24" t="s">
        <v>8</v>
      </c>
      <c r="F494" s="24" t="s">
        <v>9</v>
      </c>
      <c r="G494" s="24" t="s">
        <v>8</v>
      </c>
      <c r="H494" s="24" t="s">
        <v>514</v>
      </c>
      <c r="I494" s="27">
        <v>40.89</v>
      </c>
    </row>
    <row r="495" spans="2:9" ht="16">
      <c r="B495" s="24" t="s">
        <v>21</v>
      </c>
      <c r="C495" s="24" t="s">
        <v>141</v>
      </c>
      <c r="D495" s="24" t="s">
        <v>516</v>
      </c>
      <c r="E495" s="24" t="s">
        <v>517</v>
      </c>
      <c r="F495" s="24" t="s">
        <v>9</v>
      </c>
      <c r="G495" s="24" t="s">
        <v>8</v>
      </c>
      <c r="H495" s="24" t="s">
        <v>518</v>
      </c>
      <c r="I495" s="27">
        <v>-11.66</v>
      </c>
    </row>
    <row r="496" spans="2:9" ht="16">
      <c r="B496" s="24" t="s">
        <v>8</v>
      </c>
      <c r="C496" s="24" t="s">
        <v>139</v>
      </c>
      <c r="D496" s="24" t="s">
        <v>494</v>
      </c>
      <c r="E496" s="24" t="s">
        <v>8</v>
      </c>
      <c r="F496" s="24" t="s">
        <v>9</v>
      </c>
      <c r="G496" s="24" t="s">
        <v>8</v>
      </c>
      <c r="H496" s="24" t="s">
        <v>519</v>
      </c>
      <c r="I496" s="27">
        <v>-152.03</v>
      </c>
    </row>
    <row r="497" spans="2:9" ht="16">
      <c r="B497" s="24" t="s">
        <v>21</v>
      </c>
      <c r="C497" s="24" t="s">
        <v>141</v>
      </c>
      <c r="D497" s="24" t="s">
        <v>520</v>
      </c>
      <c r="E497" s="24" t="s">
        <v>521</v>
      </c>
      <c r="F497" s="24" t="s">
        <v>9</v>
      </c>
      <c r="G497" s="24" t="s">
        <v>8</v>
      </c>
      <c r="H497" s="24" t="s">
        <v>522</v>
      </c>
      <c r="I497" s="27">
        <v>-16.51</v>
      </c>
    </row>
    <row r="498" spans="2:9" ht="16">
      <c r="B498" s="24" t="s">
        <v>119</v>
      </c>
      <c r="C498" s="24" t="s">
        <v>6</v>
      </c>
      <c r="D498" s="24" t="s">
        <v>523</v>
      </c>
      <c r="E498" s="24" t="s">
        <v>8</v>
      </c>
      <c r="F498" s="24" t="s">
        <v>9</v>
      </c>
      <c r="G498" s="24" t="s">
        <v>8</v>
      </c>
      <c r="H498" s="24" t="s">
        <v>524</v>
      </c>
      <c r="I498" s="27">
        <v>47.22</v>
      </c>
    </row>
    <row r="499" spans="2:9" ht="16">
      <c r="B499" s="24" t="s">
        <v>21</v>
      </c>
      <c r="C499" s="24" t="s">
        <v>13</v>
      </c>
      <c r="D499" s="24" t="s">
        <v>525</v>
      </c>
      <c r="E499" s="24" t="s">
        <v>526</v>
      </c>
      <c r="F499" s="24" t="s">
        <v>9</v>
      </c>
      <c r="G499" s="24" t="s">
        <v>8</v>
      </c>
      <c r="H499" s="24" t="s">
        <v>527</v>
      </c>
      <c r="I499" s="27">
        <v>190.84</v>
      </c>
    </row>
    <row r="500" spans="2:9" ht="16">
      <c r="B500" s="24" t="s">
        <v>5</v>
      </c>
      <c r="C500" s="24" t="s">
        <v>13</v>
      </c>
      <c r="D500" s="24" t="s">
        <v>523</v>
      </c>
      <c r="E500" s="24" t="s">
        <v>528</v>
      </c>
      <c r="F500" s="24" t="s">
        <v>9</v>
      </c>
      <c r="G500" s="24" t="s">
        <v>8</v>
      </c>
      <c r="H500" s="24" t="s">
        <v>8</v>
      </c>
      <c r="I500" s="27">
        <v>14.46</v>
      </c>
    </row>
    <row r="501" spans="2:9" ht="16">
      <c r="B501" s="24" t="s">
        <v>21</v>
      </c>
      <c r="C501" s="24" t="s">
        <v>13</v>
      </c>
      <c r="D501" s="24" t="s">
        <v>529</v>
      </c>
      <c r="E501" s="24" t="s">
        <v>530</v>
      </c>
      <c r="F501" s="24" t="s">
        <v>9</v>
      </c>
      <c r="G501" s="24" t="s">
        <v>8</v>
      </c>
      <c r="H501" s="24" t="s">
        <v>8</v>
      </c>
      <c r="I501" s="27">
        <v>543.35</v>
      </c>
    </row>
    <row r="502" spans="1:9" ht="16">
      <c r="A502" s="35" t="s">
        <v>40</v>
      </c>
      <c r="I502" s="28">
        <f>I460+I461+I462+I463+I464+I465+I466+I467+I468+I469+I470+I471+I472+I473+I474+I475+I476+I477+I478+I479+I480+I481+I482+I483+I484+I485+I486+I487+I488+I489+I490+I491+I492+I493+I494+I495+I496+I497+I498+I499+I500+I501</f>
        <v>20900.870000000003</v>
      </c>
    </row>
    <row r="503" spans="1:1" ht="16">
      <c r="A503" s="34" t="s">
        <v>445</v>
      </c>
    </row>
    <row r="504" spans="2:9" ht="16">
      <c r="B504" s="24" t="s">
        <v>531</v>
      </c>
      <c r="C504" s="24" t="s">
        <v>6</v>
      </c>
      <c r="D504" s="24" t="s">
        <v>262</v>
      </c>
      <c r="E504" s="24" t="s">
        <v>8</v>
      </c>
      <c r="F504" s="24" t="s">
        <v>42</v>
      </c>
      <c r="G504" s="24" t="s">
        <v>8</v>
      </c>
      <c r="H504" s="24" t="s">
        <v>532</v>
      </c>
      <c r="I504" s="27">
        <v>58.62</v>
      </c>
    </row>
    <row r="505" spans="1:9" ht="16">
      <c r="A505" s="35" t="s">
        <v>149</v>
      </c>
      <c r="I505" s="28">
        <f>I503+I504</f>
        <v>58.62</v>
      </c>
    </row>
    <row r="506" spans="1:1" ht="16">
      <c r="A506" s="34" t="s">
        <v>445</v>
      </c>
    </row>
    <row r="507" spans="2:9" ht="16">
      <c r="B507" s="24" t="s">
        <v>82</v>
      </c>
      <c r="C507" s="24" t="s">
        <v>13</v>
      </c>
      <c r="D507" s="24" t="s">
        <v>533</v>
      </c>
      <c r="E507" s="24" t="s">
        <v>534</v>
      </c>
      <c r="F507" s="24" t="s">
        <v>9</v>
      </c>
      <c r="G507" s="24" t="s">
        <v>8</v>
      </c>
      <c r="H507" s="24" t="s">
        <v>85</v>
      </c>
      <c r="I507" s="27">
        <v>1800.0</v>
      </c>
    </row>
    <row r="508" spans="1:9" ht="16">
      <c r="A508" s="35" t="s">
        <v>154</v>
      </c>
      <c r="I508" s="28">
        <f>I506+I507</f>
        <v>1800.0</v>
      </c>
    </row>
    <row r="509" spans="1:1" ht="16">
      <c r="A509" s="34" t="s">
        <v>445</v>
      </c>
    </row>
    <row r="510" spans="2:9" ht="16">
      <c r="B510" s="24" t="s">
        <v>155</v>
      </c>
      <c r="C510" s="24" t="s">
        <v>13</v>
      </c>
      <c r="D510" s="24" t="s">
        <v>178</v>
      </c>
      <c r="E510" s="24" t="s">
        <v>535</v>
      </c>
      <c r="F510" s="24" t="s">
        <v>42</v>
      </c>
      <c r="G510" s="24" t="s">
        <v>8</v>
      </c>
      <c r="H510" s="24" t="s">
        <v>157</v>
      </c>
      <c r="I510" s="27">
        <v>59.95</v>
      </c>
    </row>
    <row r="511" spans="1:9" ht="16">
      <c r="A511" s="35" t="s">
        <v>158</v>
      </c>
      <c r="I511" s="28">
        <f>I509+I510</f>
        <v>59.95</v>
      </c>
    </row>
    <row r="512" spans="1:1" ht="16">
      <c r="A512" s="34" t="s">
        <v>445</v>
      </c>
    </row>
    <row r="513" spans="2:9" ht="16">
      <c r="B513" s="24" t="s">
        <v>536</v>
      </c>
      <c r="C513" s="24" t="s">
        <v>13</v>
      </c>
      <c r="D513" s="24" t="s">
        <v>537</v>
      </c>
      <c r="E513" s="24" t="s">
        <v>538</v>
      </c>
      <c r="F513" s="24" t="s">
        <v>9</v>
      </c>
      <c r="G513" s="24" t="s">
        <v>8</v>
      </c>
      <c r="H513" s="24" t="s">
        <v>539</v>
      </c>
      <c r="I513" s="27">
        <v>10606.05</v>
      </c>
    </row>
    <row r="514" spans="2:9" ht="16">
      <c r="B514" s="24" t="s">
        <v>536</v>
      </c>
      <c r="C514" s="24" t="s">
        <v>13</v>
      </c>
      <c r="D514" s="24" t="s">
        <v>540</v>
      </c>
      <c r="E514" s="24" t="s">
        <v>8</v>
      </c>
      <c r="F514" s="24" t="s">
        <v>9</v>
      </c>
      <c r="G514" s="24" t="s">
        <v>8</v>
      </c>
      <c r="H514" s="24" t="s">
        <v>539</v>
      </c>
      <c r="I514" s="27">
        <v>10606.05</v>
      </c>
    </row>
    <row r="515" spans="2:9" ht="16">
      <c r="B515" s="24" t="s">
        <v>536</v>
      </c>
      <c r="C515" s="24" t="s">
        <v>13</v>
      </c>
      <c r="D515" s="24" t="s">
        <v>540</v>
      </c>
      <c r="E515" s="24" t="s">
        <v>541</v>
      </c>
      <c r="F515" s="24" t="s">
        <v>9</v>
      </c>
      <c r="G515" s="24" t="s">
        <v>8</v>
      </c>
      <c r="H515" s="24" t="s">
        <v>542</v>
      </c>
      <c r="I515" s="27">
        <v>2356.9</v>
      </c>
    </row>
    <row r="516" spans="2:9" ht="16">
      <c r="B516" s="24" t="s">
        <v>536</v>
      </c>
      <c r="C516" s="24" t="s">
        <v>13</v>
      </c>
      <c r="D516" s="24" t="s">
        <v>540</v>
      </c>
      <c r="E516" s="24" t="s">
        <v>8</v>
      </c>
      <c r="F516" s="24" t="s">
        <v>9</v>
      </c>
      <c r="G516" s="24" t="s">
        <v>8</v>
      </c>
      <c r="H516" s="24" t="s">
        <v>543</v>
      </c>
      <c r="I516" s="27">
        <v>-1172.0</v>
      </c>
    </row>
    <row r="517" spans="2:9" ht="16">
      <c r="B517" s="24" t="s">
        <v>159</v>
      </c>
      <c r="C517" s="24" t="s">
        <v>13</v>
      </c>
      <c r="D517" s="24" t="s">
        <v>540</v>
      </c>
      <c r="E517" s="24" t="s">
        <v>544</v>
      </c>
      <c r="F517" s="24" t="s">
        <v>9</v>
      </c>
      <c r="G517" s="24" t="s">
        <v>8</v>
      </c>
      <c r="H517" s="24" t="s">
        <v>163</v>
      </c>
      <c r="I517" s="27">
        <v>3714.0</v>
      </c>
    </row>
    <row r="518" spans="2:9" ht="16">
      <c r="B518" s="24" t="s">
        <v>159</v>
      </c>
      <c r="C518" s="24" t="s">
        <v>13</v>
      </c>
      <c r="D518" s="24" t="s">
        <v>545</v>
      </c>
      <c r="E518" s="24" t="s">
        <v>546</v>
      </c>
      <c r="F518" s="24" t="s">
        <v>9</v>
      </c>
      <c r="G518" s="24" t="s">
        <v>8</v>
      </c>
      <c r="H518" s="24" t="s">
        <v>547</v>
      </c>
      <c r="I518" s="27">
        <v>4720.25</v>
      </c>
    </row>
    <row r="519" spans="2:9" ht="16">
      <c r="B519" s="24" t="s">
        <v>159</v>
      </c>
      <c r="C519" s="24" t="s">
        <v>13</v>
      </c>
      <c r="D519" s="24" t="s">
        <v>540</v>
      </c>
      <c r="E519" s="24" t="s">
        <v>544</v>
      </c>
      <c r="F519" s="24" t="s">
        <v>9</v>
      </c>
      <c r="G519" s="24" t="s">
        <v>8</v>
      </c>
      <c r="H519" s="24" t="s">
        <v>548</v>
      </c>
      <c r="I519" s="27">
        <v>928.5</v>
      </c>
    </row>
    <row r="520" spans="1:9" ht="16">
      <c r="A520" s="35" t="s">
        <v>164</v>
      </c>
      <c r="I520" s="28">
        <f>I512+I513+I514+I515+I516+I517+I518+I519</f>
        <v>31759.75</v>
      </c>
    </row>
    <row r="521" spans="1:1" ht="16">
      <c r="A521" s="34" t="s">
        <v>445</v>
      </c>
    </row>
    <row r="522" spans="2:9" ht="16">
      <c r="B522" s="24" t="s">
        <v>8</v>
      </c>
      <c r="C522" s="24" t="s">
        <v>6</v>
      </c>
      <c r="D522" s="24" t="s">
        <v>274</v>
      </c>
      <c r="E522" s="24" t="s">
        <v>8</v>
      </c>
      <c r="F522" s="24" t="s">
        <v>9</v>
      </c>
      <c r="G522" s="24" t="s">
        <v>8</v>
      </c>
      <c r="H522" s="24" t="s">
        <v>47</v>
      </c>
      <c r="I522" s="27">
        <v>2525.58</v>
      </c>
    </row>
    <row r="523" spans="2:9" ht="16">
      <c r="B523" s="24" t="s">
        <v>8</v>
      </c>
      <c r="C523" s="24" t="s">
        <v>6</v>
      </c>
      <c r="D523" s="24" t="s">
        <v>549</v>
      </c>
      <c r="E523" s="24" t="s">
        <v>8</v>
      </c>
      <c r="F523" s="24" t="s">
        <v>9</v>
      </c>
      <c r="G523" s="24" t="s">
        <v>8</v>
      </c>
      <c r="H523" s="24" t="s">
        <v>47</v>
      </c>
      <c r="I523" s="27">
        <v>76.89</v>
      </c>
    </row>
    <row r="524" spans="2:9" ht="16">
      <c r="B524" s="24" t="s">
        <v>8</v>
      </c>
      <c r="C524" s="24" t="s">
        <v>6</v>
      </c>
      <c r="D524" s="24" t="s">
        <v>549</v>
      </c>
      <c r="E524" s="24" t="s">
        <v>8</v>
      </c>
      <c r="F524" s="24" t="s">
        <v>9</v>
      </c>
      <c r="G524" s="24" t="s">
        <v>8</v>
      </c>
      <c r="H524" s="24" t="s">
        <v>47</v>
      </c>
      <c r="I524" s="27">
        <v>153.78</v>
      </c>
    </row>
    <row r="525" spans="2:9" ht="16">
      <c r="B525" s="24" t="s">
        <v>45</v>
      </c>
      <c r="C525" s="24" t="s">
        <v>6</v>
      </c>
      <c r="D525" s="24" t="s">
        <v>240</v>
      </c>
      <c r="E525" s="24" t="s">
        <v>8</v>
      </c>
      <c r="F525" s="24" t="s">
        <v>9</v>
      </c>
      <c r="G525" s="24" t="s">
        <v>8</v>
      </c>
      <c r="H525" s="24" t="s">
        <v>47</v>
      </c>
      <c r="I525" s="27">
        <v>2140.11</v>
      </c>
    </row>
    <row r="526" spans="2:9" ht="16">
      <c r="B526" s="24" t="s">
        <v>45</v>
      </c>
      <c r="C526" s="24" t="s">
        <v>6</v>
      </c>
      <c r="D526" s="24" t="s">
        <v>451</v>
      </c>
      <c r="E526" s="24" t="s">
        <v>8</v>
      </c>
      <c r="F526" s="24" t="s">
        <v>9</v>
      </c>
      <c r="G526" s="24" t="s">
        <v>8</v>
      </c>
      <c r="H526" s="24" t="s">
        <v>47</v>
      </c>
      <c r="I526" s="27">
        <v>2475.49</v>
      </c>
    </row>
    <row r="527" spans="2:9" ht="16">
      <c r="B527" s="24" t="s">
        <v>45</v>
      </c>
      <c r="C527" s="24" t="s">
        <v>6</v>
      </c>
      <c r="D527" s="24" t="s">
        <v>523</v>
      </c>
      <c r="E527" s="24" t="s">
        <v>8</v>
      </c>
      <c r="F527" s="24" t="s">
        <v>9</v>
      </c>
      <c r="G527" s="24" t="s">
        <v>8</v>
      </c>
      <c r="H527" s="24" t="s">
        <v>47</v>
      </c>
      <c r="I527" s="27">
        <v>922.68</v>
      </c>
    </row>
    <row r="528" spans="2:9" ht="16">
      <c r="B528" s="24" t="s">
        <v>45</v>
      </c>
      <c r="C528" s="24" t="s">
        <v>6</v>
      </c>
      <c r="D528" s="24" t="s">
        <v>272</v>
      </c>
      <c r="E528" s="24" t="s">
        <v>8</v>
      </c>
      <c r="F528" s="24" t="s">
        <v>9</v>
      </c>
      <c r="G528" s="24" t="s">
        <v>8</v>
      </c>
      <c r="H528" s="24" t="s">
        <v>47</v>
      </c>
      <c r="I528" s="27">
        <v>469.39</v>
      </c>
    </row>
    <row r="529" spans="2:9" ht="16">
      <c r="B529" s="24" t="s">
        <v>45</v>
      </c>
      <c r="C529" s="24" t="s">
        <v>6</v>
      </c>
      <c r="D529" s="24" t="s">
        <v>273</v>
      </c>
      <c r="E529" s="24" t="s">
        <v>8</v>
      </c>
      <c r="F529" s="24" t="s">
        <v>9</v>
      </c>
      <c r="G529" s="24" t="s">
        <v>8</v>
      </c>
      <c r="H529" s="24" t="s">
        <v>47</v>
      </c>
      <c r="I529" s="27">
        <v>909.87</v>
      </c>
    </row>
    <row r="530" spans="2:9" ht="16">
      <c r="B530" s="24" t="s">
        <v>8</v>
      </c>
      <c r="C530" s="24" t="s">
        <v>6</v>
      </c>
      <c r="D530" s="24" t="s">
        <v>550</v>
      </c>
      <c r="E530" s="24" t="s">
        <v>8</v>
      </c>
      <c r="F530" s="24" t="s">
        <v>9</v>
      </c>
      <c r="G530" s="24" t="s">
        <v>8</v>
      </c>
      <c r="H530" s="24" t="s">
        <v>47</v>
      </c>
      <c r="I530" s="27">
        <v>1870.99</v>
      </c>
    </row>
    <row r="531" spans="2:9" ht="16">
      <c r="B531" s="24" t="s">
        <v>45</v>
      </c>
      <c r="C531" s="24" t="s">
        <v>13</v>
      </c>
      <c r="D531" s="24" t="s">
        <v>165</v>
      </c>
      <c r="E531" s="24" t="s">
        <v>8</v>
      </c>
      <c r="F531" s="24" t="s">
        <v>9</v>
      </c>
      <c r="G531" s="24" t="s">
        <v>8</v>
      </c>
      <c r="H531" s="24" t="s">
        <v>8</v>
      </c>
      <c r="I531" s="27">
        <v>205.04</v>
      </c>
    </row>
    <row r="532" spans="1:9" ht="16">
      <c r="A532" s="35" t="s">
        <v>50</v>
      </c>
      <c r="I532" s="28">
        <f>I521+I522+I523+I524+I525+I526+I527+I528+I529+I530+I531</f>
        <v>11749.820000000002</v>
      </c>
    </row>
    <row r="533" spans="1:1" ht="16">
      <c r="A533" s="34" t="s">
        <v>445</v>
      </c>
    </row>
    <row r="534" spans="2:9" ht="16">
      <c r="B534" s="24" t="s">
        <v>51</v>
      </c>
      <c r="C534" s="24" t="s">
        <v>6</v>
      </c>
      <c r="D534" s="24" t="s">
        <v>276</v>
      </c>
      <c r="E534" s="24" t="s">
        <v>8</v>
      </c>
      <c r="F534" s="24" t="s">
        <v>9</v>
      </c>
      <c r="G534" s="24" t="s">
        <v>8</v>
      </c>
      <c r="H534" s="24" t="s">
        <v>277</v>
      </c>
      <c r="I534" s="27">
        <v>997.74</v>
      </c>
    </row>
    <row r="535" spans="2:9" ht="16">
      <c r="B535" s="24" t="s">
        <v>51</v>
      </c>
      <c r="C535" s="24" t="s">
        <v>6</v>
      </c>
      <c r="D535" s="24" t="s">
        <v>165</v>
      </c>
      <c r="E535" s="24" t="s">
        <v>8</v>
      </c>
      <c r="F535" s="24" t="s">
        <v>9</v>
      </c>
      <c r="G535" s="24" t="s">
        <v>8</v>
      </c>
      <c r="H535" s="24" t="s">
        <v>278</v>
      </c>
      <c r="I535" s="27">
        <v>444.19</v>
      </c>
    </row>
    <row r="536" spans="2:9" ht="16">
      <c r="B536" s="24" t="s">
        <v>51</v>
      </c>
      <c r="C536" s="24" t="s">
        <v>6</v>
      </c>
      <c r="D536" s="24" t="s">
        <v>166</v>
      </c>
      <c r="E536" s="24" t="s">
        <v>8</v>
      </c>
      <c r="F536" s="24" t="s">
        <v>9</v>
      </c>
      <c r="G536" s="24" t="s">
        <v>8</v>
      </c>
      <c r="H536" s="24" t="s">
        <v>167</v>
      </c>
      <c r="I536" s="27">
        <v>543.25</v>
      </c>
    </row>
    <row r="537" spans="2:9" ht="16">
      <c r="B537" s="24" t="s">
        <v>51</v>
      </c>
      <c r="C537" s="24" t="s">
        <v>6</v>
      </c>
      <c r="D537" s="24" t="s">
        <v>551</v>
      </c>
      <c r="E537" s="24" t="s">
        <v>8</v>
      </c>
      <c r="F537" s="24" t="s">
        <v>9</v>
      </c>
      <c r="G537" s="24" t="s">
        <v>8</v>
      </c>
      <c r="H537" s="24" t="s">
        <v>53</v>
      </c>
      <c r="I537" s="27">
        <v>126.86</v>
      </c>
    </row>
    <row r="538" spans="2:9" ht="16">
      <c r="B538" s="24" t="s">
        <v>51</v>
      </c>
      <c r="C538" s="24" t="s">
        <v>6</v>
      </c>
      <c r="D538" s="24" t="s">
        <v>282</v>
      </c>
      <c r="E538" s="24" t="s">
        <v>8</v>
      </c>
      <c r="F538" s="24" t="s">
        <v>9</v>
      </c>
      <c r="G538" s="24" t="s">
        <v>8</v>
      </c>
      <c r="H538" s="24" t="s">
        <v>53</v>
      </c>
      <c r="I538" s="27">
        <v>3353.11</v>
      </c>
    </row>
    <row r="539" spans="2:9" ht="16">
      <c r="B539" s="24" t="s">
        <v>51</v>
      </c>
      <c r="C539" s="24" t="s">
        <v>6</v>
      </c>
      <c r="D539" s="24" t="s">
        <v>419</v>
      </c>
      <c r="E539" s="24" t="s">
        <v>8</v>
      </c>
      <c r="F539" s="24" t="s">
        <v>9</v>
      </c>
      <c r="G539" s="24" t="s">
        <v>8</v>
      </c>
      <c r="H539" s="24" t="s">
        <v>53</v>
      </c>
      <c r="I539" s="27">
        <v>1125.68</v>
      </c>
    </row>
    <row r="540" spans="2:9" ht="16">
      <c r="B540" s="24" t="s">
        <v>51</v>
      </c>
      <c r="C540" s="24" t="s">
        <v>6</v>
      </c>
      <c r="D540" s="24" t="s">
        <v>286</v>
      </c>
      <c r="E540" s="24" t="s">
        <v>8</v>
      </c>
      <c r="F540" s="24" t="s">
        <v>9</v>
      </c>
      <c r="G540" s="24" t="s">
        <v>8</v>
      </c>
      <c r="H540" s="24" t="s">
        <v>53</v>
      </c>
      <c r="I540" s="27">
        <v>1489.99</v>
      </c>
    </row>
    <row r="541" spans="2:9" ht="16">
      <c r="B541" s="24" t="s">
        <v>51</v>
      </c>
      <c r="C541" s="24" t="s">
        <v>6</v>
      </c>
      <c r="D541" s="24" t="s">
        <v>287</v>
      </c>
      <c r="E541" s="24" t="s">
        <v>8</v>
      </c>
      <c r="F541" s="24" t="s">
        <v>9</v>
      </c>
      <c r="G541" s="24" t="s">
        <v>8</v>
      </c>
      <c r="H541" s="24" t="s">
        <v>53</v>
      </c>
      <c r="I541" s="27">
        <v>1268.24</v>
      </c>
    </row>
    <row r="542" spans="2:9" ht="16">
      <c r="B542" s="24" t="s">
        <v>51</v>
      </c>
      <c r="C542" s="24" t="s">
        <v>6</v>
      </c>
      <c r="D542" s="24" t="s">
        <v>280</v>
      </c>
      <c r="E542" s="24" t="s">
        <v>8</v>
      </c>
      <c r="F542" s="24" t="s">
        <v>9</v>
      </c>
      <c r="G542" s="24" t="s">
        <v>8</v>
      </c>
      <c r="H542" s="24" t="s">
        <v>53</v>
      </c>
      <c r="I542" s="27">
        <v>1580.46</v>
      </c>
    </row>
    <row r="543" spans="2:9" ht="16">
      <c r="B543" s="24" t="s">
        <v>51</v>
      </c>
      <c r="C543" s="24" t="s">
        <v>6</v>
      </c>
      <c r="D543" s="24" t="s">
        <v>254</v>
      </c>
      <c r="E543" s="24" t="s">
        <v>8</v>
      </c>
      <c r="F543" s="24" t="s">
        <v>9</v>
      </c>
      <c r="G543" s="24" t="s">
        <v>8</v>
      </c>
      <c r="H543" s="24" t="s">
        <v>53</v>
      </c>
      <c r="I543" s="27">
        <v>79.98</v>
      </c>
    </row>
    <row r="544" spans="2:9" ht="16">
      <c r="B544" s="24" t="s">
        <v>51</v>
      </c>
      <c r="C544" s="24" t="s">
        <v>6</v>
      </c>
      <c r="D544" s="24" t="s">
        <v>284</v>
      </c>
      <c r="E544" s="24" t="s">
        <v>8</v>
      </c>
      <c r="F544" s="24" t="s">
        <v>9</v>
      </c>
      <c r="G544" s="24" t="s">
        <v>8</v>
      </c>
      <c r="H544" s="24" t="s">
        <v>53</v>
      </c>
      <c r="I544" s="27">
        <v>928.3</v>
      </c>
    </row>
    <row r="545" spans="2:9" ht="16">
      <c r="B545" s="24" t="s">
        <v>51</v>
      </c>
      <c r="C545" s="24" t="s">
        <v>6</v>
      </c>
      <c r="D545" s="24" t="s">
        <v>283</v>
      </c>
      <c r="E545" s="24" t="s">
        <v>8</v>
      </c>
      <c r="F545" s="24" t="s">
        <v>9</v>
      </c>
      <c r="G545" s="24" t="s">
        <v>8</v>
      </c>
      <c r="H545" s="24" t="s">
        <v>53</v>
      </c>
      <c r="I545" s="27">
        <v>101.47</v>
      </c>
    </row>
    <row r="546" spans="2:9" ht="16">
      <c r="B546" s="24" t="s">
        <v>51</v>
      </c>
      <c r="C546" s="24" t="s">
        <v>6</v>
      </c>
      <c r="D546" s="24" t="s">
        <v>552</v>
      </c>
      <c r="E546" s="24" t="s">
        <v>8</v>
      </c>
      <c r="F546" s="24" t="s">
        <v>9</v>
      </c>
      <c r="G546" s="24" t="s">
        <v>8</v>
      </c>
      <c r="H546" s="24" t="s">
        <v>53</v>
      </c>
      <c r="I546" s="27">
        <v>350.0</v>
      </c>
    </row>
    <row r="547" spans="2:9" ht="16">
      <c r="B547" s="24" t="s">
        <v>51</v>
      </c>
      <c r="C547" s="24" t="s">
        <v>6</v>
      </c>
      <c r="D547" s="24" t="s">
        <v>281</v>
      </c>
      <c r="E547" s="24" t="s">
        <v>8</v>
      </c>
      <c r="F547" s="24" t="s">
        <v>9</v>
      </c>
      <c r="G547" s="24" t="s">
        <v>8</v>
      </c>
      <c r="H547" s="24" t="s">
        <v>53</v>
      </c>
      <c r="I547" s="27">
        <v>981.0</v>
      </c>
    </row>
    <row r="548" spans="2:9" ht="16">
      <c r="B548" s="24" t="s">
        <v>51</v>
      </c>
      <c r="C548" s="24" t="s">
        <v>6</v>
      </c>
      <c r="D548" s="24" t="s">
        <v>553</v>
      </c>
      <c r="E548" s="24" t="s">
        <v>8</v>
      </c>
      <c r="F548" s="24" t="s">
        <v>9</v>
      </c>
      <c r="G548" s="24" t="s">
        <v>8</v>
      </c>
      <c r="H548" s="24" t="s">
        <v>53</v>
      </c>
      <c r="I548" s="27">
        <v>1926.82</v>
      </c>
    </row>
    <row r="549" spans="2:9" ht="16">
      <c r="B549" s="24" t="s">
        <v>51</v>
      </c>
      <c r="C549" s="24" t="s">
        <v>6</v>
      </c>
      <c r="D549" s="24" t="s">
        <v>554</v>
      </c>
      <c r="E549" s="24" t="s">
        <v>8</v>
      </c>
      <c r="F549" s="24" t="s">
        <v>9</v>
      </c>
      <c r="G549" s="24" t="s">
        <v>8</v>
      </c>
      <c r="H549" s="24" t="s">
        <v>53</v>
      </c>
      <c r="I549" s="27">
        <v>2146.71</v>
      </c>
    </row>
    <row r="550" spans="2:9" ht="16">
      <c r="B550" s="24" t="s">
        <v>51</v>
      </c>
      <c r="C550" s="24" t="s">
        <v>6</v>
      </c>
      <c r="D550" s="24" t="s">
        <v>285</v>
      </c>
      <c r="E550" s="24" t="s">
        <v>8</v>
      </c>
      <c r="F550" s="24" t="s">
        <v>9</v>
      </c>
      <c r="G550" s="24" t="s">
        <v>8</v>
      </c>
      <c r="H550" s="24" t="s">
        <v>53</v>
      </c>
      <c r="I550" s="27">
        <v>304.37</v>
      </c>
    </row>
    <row r="551" spans="2:9" ht="16">
      <c r="B551" s="24" t="s">
        <v>51</v>
      </c>
      <c r="C551" s="24" t="s">
        <v>6</v>
      </c>
      <c r="D551" s="24" t="s">
        <v>555</v>
      </c>
      <c r="E551" s="24" t="s">
        <v>8</v>
      </c>
      <c r="F551" s="24" t="s">
        <v>9</v>
      </c>
      <c r="G551" s="24" t="s">
        <v>8</v>
      </c>
      <c r="H551" s="24" t="s">
        <v>53</v>
      </c>
      <c r="I551" s="27">
        <v>684.91</v>
      </c>
    </row>
    <row r="552" spans="2:9" ht="16">
      <c r="B552" s="24" t="s">
        <v>51</v>
      </c>
      <c r="C552" s="24" t="s">
        <v>6</v>
      </c>
      <c r="D552" s="24" t="s">
        <v>556</v>
      </c>
      <c r="E552" s="24" t="s">
        <v>8</v>
      </c>
      <c r="F552" s="24" t="s">
        <v>9</v>
      </c>
      <c r="G552" s="24" t="s">
        <v>8</v>
      </c>
      <c r="H552" s="24" t="s">
        <v>53</v>
      </c>
      <c r="I552" s="27">
        <v>304.42</v>
      </c>
    </row>
    <row r="553" spans="2:9" ht="16">
      <c r="B553" s="24" t="s">
        <v>51</v>
      </c>
      <c r="C553" s="24" t="s">
        <v>6</v>
      </c>
      <c r="D553" s="24" t="s">
        <v>557</v>
      </c>
      <c r="E553" s="24" t="s">
        <v>8</v>
      </c>
      <c r="F553" s="24" t="s">
        <v>9</v>
      </c>
      <c r="G553" s="24" t="s">
        <v>8</v>
      </c>
      <c r="H553" s="24" t="s">
        <v>53</v>
      </c>
      <c r="I553" s="27">
        <v>2376.08</v>
      </c>
    </row>
    <row r="554" spans="2:9" ht="16">
      <c r="B554" s="24" t="s">
        <v>51</v>
      </c>
      <c r="C554" s="24" t="s">
        <v>6</v>
      </c>
      <c r="D554" s="24" t="s">
        <v>558</v>
      </c>
      <c r="E554" s="24" t="s">
        <v>8</v>
      </c>
      <c r="F554" s="24" t="s">
        <v>9</v>
      </c>
      <c r="G554" s="24" t="s">
        <v>8</v>
      </c>
      <c r="H554" s="24" t="s">
        <v>53</v>
      </c>
      <c r="I554" s="27">
        <v>329.79</v>
      </c>
    </row>
    <row r="555" spans="2:9" ht="16">
      <c r="B555" s="24" t="s">
        <v>51</v>
      </c>
      <c r="C555" s="24" t="s">
        <v>6</v>
      </c>
      <c r="D555" s="24" t="s">
        <v>559</v>
      </c>
      <c r="E555" s="24" t="s">
        <v>8</v>
      </c>
      <c r="F555" s="24" t="s">
        <v>9</v>
      </c>
      <c r="G555" s="24" t="s">
        <v>8</v>
      </c>
      <c r="H555" s="24" t="s">
        <v>53</v>
      </c>
      <c r="I555" s="27">
        <v>1678.32</v>
      </c>
    </row>
    <row r="556" spans="2:9" ht="16">
      <c r="B556" s="24" t="s">
        <v>51</v>
      </c>
      <c r="C556" s="24" t="s">
        <v>6</v>
      </c>
      <c r="D556" s="24" t="s">
        <v>560</v>
      </c>
      <c r="E556" s="24" t="s">
        <v>8</v>
      </c>
      <c r="F556" s="24" t="s">
        <v>9</v>
      </c>
      <c r="G556" s="24" t="s">
        <v>8</v>
      </c>
      <c r="H556" s="24" t="s">
        <v>53</v>
      </c>
      <c r="I556" s="27">
        <v>1576.86</v>
      </c>
    </row>
    <row r="557" spans="2:9" ht="16">
      <c r="B557" s="24" t="s">
        <v>51</v>
      </c>
      <c r="C557" s="24" t="s">
        <v>6</v>
      </c>
      <c r="D557" s="24" t="s">
        <v>561</v>
      </c>
      <c r="E557" s="24" t="s">
        <v>8</v>
      </c>
      <c r="F557" s="24" t="s">
        <v>9</v>
      </c>
      <c r="G557" s="24" t="s">
        <v>8</v>
      </c>
      <c r="H557" s="24" t="s">
        <v>53</v>
      </c>
      <c r="I557" s="27">
        <v>327.98</v>
      </c>
    </row>
    <row r="558" spans="2:9" ht="16">
      <c r="B558" s="24" t="s">
        <v>51</v>
      </c>
      <c r="C558" s="24" t="s">
        <v>6</v>
      </c>
      <c r="D558" s="24" t="s">
        <v>460</v>
      </c>
      <c r="E558" s="24" t="s">
        <v>8</v>
      </c>
      <c r="F558" s="24" t="s">
        <v>9</v>
      </c>
      <c r="G558" s="24" t="s">
        <v>8</v>
      </c>
      <c r="H558" s="24" t="s">
        <v>53</v>
      </c>
      <c r="I558" s="27">
        <v>96.08</v>
      </c>
    </row>
    <row r="559" spans="2:9" ht="16">
      <c r="B559" s="24" t="s">
        <v>8</v>
      </c>
      <c r="C559" s="24" t="s">
        <v>6</v>
      </c>
      <c r="D559" s="24" t="s">
        <v>562</v>
      </c>
      <c r="E559" s="24" t="s">
        <v>8</v>
      </c>
      <c r="F559" s="24" t="s">
        <v>9</v>
      </c>
      <c r="G559" s="24" t="s">
        <v>8</v>
      </c>
      <c r="H559" s="24" t="s">
        <v>53</v>
      </c>
      <c r="I559" s="27">
        <v>96.08</v>
      </c>
    </row>
    <row r="560" spans="1:9" ht="16">
      <c r="A560" s="35" t="s">
        <v>67</v>
      </c>
      <c r="I560" s="28">
        <f>I533+I534+I535+I536+I537+I538+I539+I540+I541+I542+I543+I544+I545+I546+I547+I548+I549+I550+I551+I552+I553+I554+I555+I556+I557+I558+I559</f>
        <v>25218.69</v>
      </c>
    </row>
    <row r="561" spans="1:9" ht="16">
      <c r="A561" s="36" t="s">
        <v>563</v>
      </c>
      <c r="I561" s="28">
        <f>I459+I502+I505+I508+I511+I520+I532+I560</f>
        <v>92182.75000000001</v>
      </c>
    </row>
    <row r="562" spans="1:1" ht="16">
      <c r="A562" s="33" t="s">
        <v>324</v>
      </c>
    </row>
    <row r="563" spans="1:1" ht="16">
      <c r="A563" s="34" t="s">
        <v>564</v>
      </c>
    </row>
    <row r="564" spans="2:9" ht="16">
      <c r="B564" s="24" t="s">
        <v>21</v>
      </c>
      <c r="C564" s="24" t="s">
        <v>13</v>
      </c>
      <c r="D564" s="24" t="s">
        <v>197</v>
      </c>
      <c r="E564" s="24" t="s">
        <v>565</v>
      </c>
      <c r="F564" s="24" t="s">
        <v>9</v>
      </c>
      <c r="G564" s="24" t="s">
        <v>8</v>
      </c>
      <c r="H564" s="24" t="s">
        <v>24</v>
      </c>
      <c r="I564" s="27">
        <v>459.91</v>
      </c>
    </row>
    <row r="565" spans="2:9" ht="16">
      <c r="B565" s="24" t="s">
        <v>21</v>
      </c>
      <c r="C565" s="24" t="s">
        <v>13</v>
      </c>
      <c r="D565" s="24" t="s">
        <v>215</v>
      </c>
      <c r="E565" s="24" t="s">
        <v>566</v>
      </c>
      <c r="F565" s="24" t="s">
        <v>9</v>
      </c>
      <c r="G565" s="24" t="s">
        <v>8</v>
      </c>
      <c r="H565" s="24" t="s">
        <v>24</v>
      </c>
      <c r="I565" s="27">
        <v>531.98</v>
      </c>
    </row>
    <row r="566" spans="2:9" ht="16">
      <c r="B566" s="24" t="s">
        <v>312</v>
      </c>
      <c r="C566" s="24" t="s">
        <v>6</v>
      </c>
      <c r="D566" s="24" t="s">
        <v>307</v>
      </c>
      <c r="E566" s="24" t="s">
        <v>8</v>
      </c>
      <c r="F566" s="24" t="s">
        <v>9</v>
      </c>
      <c r="G566" s="24" t="s">
        <v>8</v>
      </c>
      <c r="H566" s="24" t="s">
        <v>567</v>
      </c>
      <c r="I566" s="27">
        <v>4.98</v>
      </c>
    </row>
    <row r="567" spans="2:9" ht="16">
      <c r="B567" s="24" t="s">
        <v>119</v>
      </c>
      <c r="C567" s="24" t="s">
        <v>6</v>
      </c>
      <c r="D567" s="24" t="s">
        <v>145</v>
      </c>
      <c r="E567" s="24" t="s">
        <v>8</v>
      </c>
      <c r="F567" s="24" t="s">
        <v>9</v>
      </c>
      <c r="G567" s="24" t="s">
        <v>8</v>
      </c>
      <c r="H567" s="24" t="s">
        <v>568</v>
      </c>
      <c r="I567" s="27">
        <v>10.85</v>
      </c>
    </row>
    <row r="568" spans="2:9" ht="16">
      <c r="B568" s="24" t="s">
        <v>119</v>
      </c>
      <c r="C568" s="24" t="s">
        <v>6</v>
      </c>
      <c r="D568" s="24" t="s">
        <v>206</v>
      </c>
      <c r="E568" s="24" t="s">
        <v>8</v>
      </c>
      <c r="F568" s="24" t="s">
        <v>9</v>
      </c>
      <c r="G568" s="24" t="s">
        <v>8</v>
      </c>
      <c r="H568" s="24" t="s">
        <v>319</v>
      </c>
      <c r="I568" s="27">
        <v>199.74</v>
      </c>
    </row>
    <row r="569" spans="1:9" ht="16">
      <c r="A569" s="35" t="s">
        <v>40</v>
      </c>
      <c r="I569" s="28">
        <f>I563+I564+I565+I566+I567+I568</f>
        <v>1207.46</v>
      </c>
    </row>
    <row r="570" spans="1:1" ht="16">
      <c r="A570" s="34" t="s">
        <v>564</v>
      </c>
    </row>
    <row r="571" spans="2:9" ht="16">
      <c r="B571" s="24" t="s">
        <v>51</v>
      </c>
      <c r="C571" s="24" t="s">
        <v>6</v>
      </c>
      <c r="D571" s="24" t="s">
        <v>170</v>
      </c>
      <c r="E571" s="24" t="s">
        <v>8</v>
      </c>
      <c r="F571" s="24" t="s">
        <v>9</v>
      </c>
      <c r="G571" s="24" t="s">
        <v>8</v>
      </c>
      <c r="H571" s="24" t="s">
        <v>53</v>
      </c>
      <c r="I571" s="27">
        <v>51.01</v>
      </c>
    </row>
    <row r="572" spans="2:9" ht="16">
      <c r="B572" s="24" t="s">
        <v>51</v>
      </c>
      <c r="C572" s="24" t="s">
        <v>6</v>
      </c>
      <c r="D572" s="24" t="s">
        <v>93</v>
      </c>
      <c r="E572" s="24" t="s">
        <v>8</v>
      </c>
      <c r="F572" s="24" t="s">
        <v>9</v>
      </c>
      <c r="G572" s="24" t="s">
        <v>8</v>
      </c>
      <c r="H572" s="24" t="s">
        <v>53</v>
      </c>
      <c r="I572" s="27">
        <v>574.64</v>
      </c>
    </row>
    <row r="573" spans="2:9" ht="16">
      <c r="B573" s="24" t="s">
        <v>51</v>
      </c>
      <c r="C573" s="24" t="s">
        <v>6</v>
      </c>
      <c r="D573" s="24" t="s">
        <v>122</v>
      </c>
      <c r="E573" s="24" t="s">
        <v>8</v>
      </c>
      <c r="F573" s="24" t="s">
        <v>9</v>
      </c>
      <c r="G573" s="24" t="s">
        <v>8</v>
      </c>
      <c r="H573" s="24" t="s">
        <v>53</v>
      </c>
      <c r="I573" s="27">
        <v>735.45</v>
      </c>
    </row>
    <row r="574" spans="1:9" ht="16">
      <c r="A574" s="35" t="s">
        <v>67</v>
      </c>
      <c r="I574" s="28">
        <f>I570+I571+I572+I573</f>
        <v>1361.1</v>
      </c>
    </row>
    <row r="575" spans="1:9" ht="16">
      <c r="A575" s="36" t="s">
        <v>569</v>
      </c>
      <c r="I575" s="28">
        <f>I569+I574</f>
        <v>2568.56</v>
      </c>
    </row>
    <row r="576" spans="1:1" ht="16">
      <c r="A576" s="33" t="s">
        <v>324</v>
      </c>
    </row>
    <row r="577" spans="1:1" ht="16">
      <c r="A577" s="34" t="s">
        <v>570</v>
      </c>
    </row>
    <row r="578" spans="2:9" ht="16">
      <c r="B578" s="24" t="s">
        <v>21</v>
      </c>
      <c r="C578" s="24" t="s">
        <v>13</v>
      </c>
      <c r="D578" s="24" t="s">
        <v>52</v>
      </c>
      <c r="E578" s="24" t="s">
        <v>571</v>
      </c>
      <c r="F578" s="24" t="s">
        <v>9</v>
      </c>
      <c r="G578" s="24" t="s">
        <v>8</v>
      </c>
      <c r="H578" s="24" t="s">
        <v>24</v>
      </c>
      <c r="I578" s="27">
        <v>274.59</v>
      </c>
    </row>
    <row r="579" spans="1:9" ht="16">
      <c r="A579" s="35" t="s">
        <v>40</v>
      </c>
      <c r="I579" s="28">
        <f>I577+I578</f>
        <v>274.59</v>
      </c>
    </row>
    <row r="580" spans="1:1" ht="16">
      <c r="A580" s="34" t="s">
        <v>570</v>
      </c>
    </row>
    <row r="581" spans="2:9" ht="16">
      <c r="B581" s="24" t="s">
        <v>45</v>
      </c>
      <c r="C581" s="24" t="s">
        <v>6</v>
      </c>
      <c r="D581" s="24" t="s">
        <v>48</v>
      </c>
      <c r="E581" s="24" t="s">
        <v>8</v>
      </c>
      <c r="F581" s="24" t="s">
        <v>9</v>
      </c>
      <c r="G581" s="24" t="s">
        <v>8</v>
      </c>
      <c r="H581" s="24" t="s">
        <v>47</v>
      </c>
      <c r="I581" s="27">
        <v>256.3</v>
      </c>
    </row>
    <row r="582" spans="1:9" ht="16">
      <c r="A582" s="35" t="s">
        <v>50</v>
      </c>
      <c r="I582" s="28">
        <f>I580+I581</f>
        <v>256.3</v>
      </c>
    </row>
    <row r="583" spans="1:1" ht="16">
      <c r="A583" s="34" t="s">
        <v>570</v>
      </c>
    </row>
    <row r="584" spans="2:9" ht="16">
      <c r="B584" s="24" t="s">
        <v>51</v>
      </c>
      <c r="C584" s="24" t="s">
        <v>6</v>
      </c>
      <c r="D584" s="24" t="s">
        <v>133</v>
      </c>
      <c r="E584" s="24" t="s">
        <v>8</v>
      </c>
      <c r="F584" s="24" t="s">
        <v>9</v>
      </c>
      <c r="G584" s="24" t="s">
        <v>8</v>
      </c>
      <c r="H584" s="24" t="s">
        <v>53</v>
      </c>
      <c r="I584" s="27">
        <v>288.26</v>
      </c>
    </row>
    <row r="585" spans="2:9" ht="16">
      <c r="B585" s="24" t="s">
        <v>51</v>
      </c>
      <c r="C585" s="24" t="s">
        <v>6</v>
      </c>
      <c r="D585" s="24" t="s">
        <v>93</v>
      </c>
      <c r="E585" s="24" t="s">
        <v>8</v>
      </c>
      <c r="F585" s="24" t="s">
        <v>9</v>
      </c>
      <c r="G585" s="24" t="s">
        <v>8</v>
      </c>
      <c r="H585" s="24" t="s">
        <v>53</v>
      </c>
      <c r="I585" s="27">
        <v>667.48</v>
      </c>
    </row>
    <row r="586" spans="1:9" ht="16">
      <c r="A586" s="35" t="s">
        <v>67</v>
      </c>
      <c r="I586" s="28">
        <f>I583+I584+I585</f>
        <v>955.74</v>
      </c>
    </row>
    <row r="587" spans="1:9" ht="16">
      <c r="A587" s="36" t="s">
        <v>572</v>
      </c>
      <c r="I587" s="28">
        <f>I579+I582+I586</f>
        <v>1486.63</v>
      </c>
    </row>
    <row r="588" spans="1:1" ht="16">
      <c r="A588" s="33" t="s">
        <v>324</v>
      </c>
    </row>
    <row r="589" spans="1:1" ht="16">
      <c r="A589" s="34" t="s">
        <v>573</v>
      </c>
    </row>
    <row r="590" spans="2:9" ht="16">
      <c r="B590" s="24" t="s">
        <v>64</v>
      </c>
      <c r="C590" s="24" t="s">
        <v>13</v>
      </c>
      <c r="D590" s="24" t="s">
        <v>574</v>
      </c>
      <c r="E590" s="24" t="s">
        <v>8</v>
      </c>
      <c r="F590" s="24" t="s">
        <v>9</v>
      </c>
      <c r="G590" s="24" t="s">
        <v>8</v>
      </c>
      <c r="H590" s="24" t="s">
        <v>64</v>
      </c>
      <c r="I590" s="27">
        <v>338.1</v>
      </c>
    </row>
    <row r="591" spans="2:9" ht="16">
      <c r="B591" s="24" t="s">
        <v>36</v>
      </c>
      <c r="C591" s="24" t="s">
        <v>6</v>
      </c>
      <c r="D591" s="24" t="s">
        <v>264</v>
      </c>
      <c r="E591" s="24" t="s">
        <v>8</v>
      </c>
      <c r="F591" s="24" t="s">
        <v>9</v>
      </c>
      <c r="G591" s="24" t="s">
        <v>8</v>
      </c>
      <c r="H591" s="24" t="s">
        <v>575</v>
      </c>
      <c r="I591" s="27">
        <v>196.91</v>
      </c>
    </row>
    <row r="592" spans="2:9" ht="16">
      <c r="B592" s="24" t="s">
        <v>239</v>
      </c>
      <c r="C592" s="24" t="s">
        <v>6</v>
      </c>
      <c r="D592" s="24" t="s">
        <v>49</v>
      </c>
      <c r="E592" s="24" t="s">
        <v>8</v>
      </c>
      <c r="F592" s="24" t="s">
        <v>9</v>
      </c>
      <c r="G592" s="24" t="s">
        <v>8</v>
      </c>
      <c r="H592" s="24" t="s">
        <v>576</v>
      </c>
      <c r="I592" s="27">
        <v>217.05</v>
      </c>
    </row>
    <row r="593" spans="2:9" ht="16">
      <c r="B593" s="24" t="s">
        <v>493</v>
      </c>
      <c r="C593" s="24" t="s">
        <v>6</v>
      </c>
      <c r="D593" s="24" t="s">
        <v>264</v>
      </c>
      <c r="E593" s="24" t="s">
        <v>8</v>
      </c>
      <c r="F593" s="24" t="s">
        <v>9</v>
      </c>
      <c r="G593" s="24" t="s">
        <v>8</v>
      </c>
      <c r="H593" s="24" t="s">
        <v>493</v>
      </c>
      <c r="I593" s="27">
        <v>27.67</v>
      </c>
    </row>
    <row r="594" spans="2:9" ht="16">
      <c r="B594" s="24" t="s">
        <v>119</v>
      </c>
      <c r="C594" s="24" t="s">
        <v>6</v>
      </c>
      <c r="D594" s="24" t="s">
        <v>264</v>
      </c>
      <c r="E594" s="24" t="s">
        <v>8</v>
      </c>
      <c r="F594" s="24" t="s">
        <v>9</v>
      </c>
      <c r="G594" s="24" t="s">
        <v>8</v>
      </c>
      <c r="H594" s="24" t="s">
        <v>577</v>
      </c>
      <c r="I594" s="27">
        <v>46.8</v>
      </c>
    </row>
    <row r="595" spans="2:9" ht="16">
      <c r="B595" s="24" t="s">
        <v>119</v>
      </c>
      <c r="C595" s="24" t="s">
        <v>6</v>
      </c>
      <c r="D595" s="24" t="s">
        <v>49</v>
      </c>
      <c r="E595" s="24" t="s">
        <v>8</v>
      </c>
      <c r="F595" s="24" t="s">
        <v>9</v>
      </c>
      <c r="G595" s="24" t="s">
        <v>8</v>
      </c>
      <c r="H595" s="24" t="s">
        <v>577</v>
      </c>
      <c r="I595" s="27">
        <v>344.08</v>
      </c>
    </row>
    <row r="596" spans="1:9" ht="16">
      <c r="A596" s="35" t="s">
        <v>40</v>
      </c>
      <c r="I596" s="28">
        <f>I589+I590+I591+I592+I593+I594+I595</f>
        <v>1170.61</v>
      </c>
    </row>
    <row r="597" spans="1:1" ht="16">
      <c r="A597" s="34" t="s">
        <v>573</v>
      </c>
    </row>
    <row r="598" spans="2:9" ht="16">
      <c r="B598" s="24" t="s">
        <v>51</v>
      </c>
      <c r="C598" s="24" t="s">
        <v>6</v>
      </c>
      <c r="D598" s="24" t="s">
        <v>170</v>
      </c>
      <c r="E598" s="24" t="s">
        <v>8</v>
      </c>
      <c r="F598" s="24" t="s">
        <v>9</v>
      </c>
      <c r="G598" s="24" t="s">
        <v>8</v>
      </c>
      <c r="H598" s="24" t="s">
        <v>53</v>
      </c>
      <c r="I598" s="27">
        <v>536.55</v>
      </c>
    </row>
    <row r="599" spans="1:9" ht="16">
      <c r="A599" s="35" t="s">
        <v>67</v>
      </c>
      <c r="I599" s="28">
        <f>I597+I598</f>
        <v>536.55</v>
      </c>
    </row>
    <row r="600" spans="1:9" ht="16">
      <c r="A600" s="36" t="s">
        <v>578</v>
      </c>
      <c r="I600" s="28">
        <f>I596+I599</f>
        <v>1707.1599999999999</v>
      </c>
    </row>
    <row r="601" spans="1:1" ht="16">
      <c r="A601" s="33" t="s">
        <v>579</v>
      </c>
    </row>
    <row r="602" spans="1:1" ht="16">
      <c r="A602" s="34" t="s">
        <v>580</v>
      </c>
    </row>
    <row r="603" spans="2:9" ht="16">
      <c r="B603" s="24" t="s">
        <v>581</v>
      </c>
      <c r="C603" s="24" t="s">
        <v>6</v>
      </c>
      <c r="D603" s="24" t="s">
        <v>259</v>
      </c>
      <c r="E603" s="24" t="s">
        <v>8</v>
      </c>
      <c r="F603" s="24" t="s">
        <v>42</v>
      </c>
      <c r="G603" s="24" t="s">
        <v>8</v>
      </c>
      <c r="H603" s="24" t="s">
        <v>582</v>
      </c>
      <c r="I603" s="27">
        <v>300.0</v>
      </c>
    </row>
    <row r="604" spans="1:9" ht="16">
      <c r="A604" s="35" t="s">
        <v>583</v>
      </c>
      <c r="I604" s="28">
        <f>I602+I603</f>
        <v>300.0</v>
      </c>
    </row>
    <row r="605" spans="1:1" ht="16">
      <c r="A605" s="34" t="s">
        <v>580</v>
      </c>
    </row>
    <row r="606" spans="2:9" ht="16">
      <c r="B606" s="24" t="s">
        <v>51</v>
      </c>
      <c r="C606" s="24" t="s">
        <v>6</v>
      </c>
      <c r="D606" s="24" t="s">
        <v>170</v>
      </c>
      <c r="E606" s="24" t="s">
        <v>8</v>
      </c>
      <c r="F606" s="24" t="s">
        <v>9</v>
      </c>
      <c r="G606" s="24" t="s">
        <v>8</v>
      </c>
      <c r="H606" s="24" t="s">
        <v>53</v>
      </c>
      <c r="I606" s="27">
        <v>25.49</v>
      </c>
    </row>
    <row r="607" spans="2:9" ht="16">
      <c r="B607" s="24" t="s">
        <v>119</v>
      </c>
      <c r="C607" s="24" t="s">
        <v>6</v>
      </c>
      <c r="D607" s="24" t="s">
        <v>404</v>
      </c>
      <c r="E607" s="24" t="s">
        <v>8</v>
      </c>
      <c r="F607" s="24" t="s">
        <v>9</v>
      </c>
      <c r="G607" s="24" t="s">
        <v>8</v>
      </c>
      <c r="H607" s="24" t="s">
        <v>584</v>
      </c>
      <c r="I607" s="27">
        <v>93.12</v>
      </c>
    </row>
    <row r="608" spans="1:9" ht="16">
      <c r="A608" s="35" t="s">
        <v>11</v>
      </c>
      <c r="I608" s="28">
        <f>I605+I606+I607</f>
        <v>118.61</v>
      </c>
    </row>
    <row r="609" spans="1:1" ht="16">
      <c r="A609" s="34" t="s">
        <v>580</v>
      </c>
    </row>
    <row r="610" spans="2:9" ht="16">
      <c r="B610" s="24" t="s">
        <v>585</v>
      </c>
      <c r="C610" s="24" t="s">
        <v>6</v>
      </c>
      <c r="D610" s="24" t="s">
        <v>586</v>
      </c>
      <c r="E610" s="24" t="s">
        <v>8</v>
      </c>
      <c r="F610" s="24" t="s">
        <v>42</v>
      </c>
      <c r="G610" s="24" t="s">
        <v>8</v>
      </c>
      <c r="H610" s="24" t="s">
        <v>587</v>
      </c>
      <c r="I610" s="27">
        <v>44.81</v>
      </c>
    </row>
    <row r="611" spans="1:9" ht="16">
      <c r="A611" s="35" t="s">
        <v>588</v>
      </c>
      <c r="I611" s="28">
        <f>I609+I610</f>
        <v>44.81</v>
      </c>
    </row>
    <row r="612" spans="1:1" ht="16">
      <c r="A612" s="34" t="s">
        <v>580</v>
      </c>
    </row>
    <row r="613" spans="2:9" ht="16">
      <c r="B613" s="24" t="s">
        <v>589</v>
      </c>
      <c r="C613" s="24" t="s">
        <v>6</v>
      </c>
      <c r="D613" s="24" t="s">
        <v>590</v>
      </c>
      <c r="E613" s="24" t="s">
        <v>8</v>
      </c>
      <c r="F613" s="24" t="s">
        <v>9</v>
      </c>
      <c r="G613" s="24" t="s">
        <v>8</v>
      </c>
      <c r="H613" s="24" t="s">
        <v>591</v>
      </c>
      <c r="I613" s="27">
        <v>30.61</v>
      </c>
    </row>
    <row r="614" spans="2:9" ht="16">
      <c r="B614" s="24" t="s">
        <v>589</v>
      </c>
      <c r="C614" s="24" t="s">
        <v>6</v>
      </c>
      <c r="D614" s="24" t="s">
        <v>590</v>
      </c>
      <c r="E614" s="24" t="s">
        <v>8</v>
      </c>
      <c r="F614" s="24" t="s">
        <v>9</v>
      </c>
      <c r="G614" s="24" t="s">
        <v>8</v>
      </c>
      <c r="H614" s="24" t="s">
        <v>591</v>
      </c>
      <c r="I614" s="27">
        <v>-30.61</v>
      </c>
    </row>
    <row r="615" spans="2:9" ht="16">
      <c r="B615" s="24" t="s">
        <v>589</v>
      </c>
      <c r="C615" s="24" t="s">
        <v>6</v>
      </c>
      <c r="D615" s="24" t="s">
        <v>592</v>
      </c>
      <c r="E615" s="24" t="s">
        <v>8</v>
      </c>
      <c r="F615" s="24" t="s">
        <v>9</v>
      </c>
      <c r="G615" s="24" t="s">
        <v>8</v>
      </c>
      <c r="H615" s="24" t="s">
        <v>591</v>
      </c>
      <c r="I615" s="27">
        <v>-39.36</v>
      </c>
    </row>
    <row r="616" spans="2:9" ht="16">
      <c r="B616" s="24" t="s">
        <v>589</v>
      </c>
      <c r="C616" s="24" t="s">
        <v>6</v>
      </c>
      <c r="D616" s="24" t="s">
        <v>593</v>
      </c>
      <c r="E616" s="24" t="s">
        <v>8</v>
      </c>
      <c r="F616" s="24" t="s">
        <v>9</v>
      </c>
      <c r="G616" s="24" t="s">
        <v>8</v>
      </c>
      <c r="H616" s="24" t="s">
        <v>591</v>
      </c>
      <c r="I616" s="27">
        <v>49.98</v>
      </c>
    </row>
    <row r="617" spans="2:9" ht="16">
      <c r="B617" s="24" t="s">
        <v>589</v>
      </c>
      <c r="C617" s="24" t="s">
        <v>6</v>
      </c>
      <c r="D617" s="24" t="s">
        <v>592</v>
      </c>
      <c r="E617" s="24" t="s">
        <v>8</v>
      </c>
      <c r="F617" s="24" t="s">
        <v>9</v>
      </c>
      <c r="G617" s="24" t="s">
        <v>8</v>
      </c>
      <c r="H617" s="24" t="s">
        <v>591</v>
      </c>
      <c r="I617" s="27">
        <v>39.36</v>
      </c>
    </row>
    <row r="618" spans="2:9" ht="16">
      <c r="B618" s="24" t="s">
        <v>36</v>
      </c>
      <c r="C618" s="24" t="s">
        <v>6</v>
      </c>
      <c r="D618" s="24" t="s">
        <v>409</v>
      </c>
      <c r="E618" s="24" t="s">
        <v>8</v>
      </c>
      <c r="F618" s="24" t="s">
        <v>9</v>
      </c>
      <c r="G618" s="24" t="s">
        <v>8</v>
      </c>
      <c r="H618" s="24" t="s">
        <v>594</v>
      </c>
      <c r="I618" s="27">
        <v>147.49</v>
      </c>
    </row>
    <row r="619" spans="2:9" ht="16">
      <c r="B619" s="24" t="s">
        <v>589</v>
      </c>
      <c r="C619" s="24" t="s">
        <v>6</v>
      </c>
      <c r="D619" s="24" t="s">
        <v>595</v>
      </c>
      <c r="E619" s="24" t="s">
        <v>8</v>
      </c>
      <c r="F619" s="24" t="s">
        <v>9</v>
      </c>
      <c r="G619" s="24" t="s">
        <v>8</v>
      </c>
      <c r="H619" s="24" t="s">
        <v>596</v>
      </c>
      <c r="I619" s="27">
        <v>7.87</v>
      </c>
    </row>
    <row r="620" spans="2:9" ht="16">
      <c r="B620" s="24" t="s">
        <v>589</v>
      </c>
      <c r="C620" s="24" t="s">
        <v>6</v>
      </c>
      <c r="D620" s="24" t="s">
        <v>595</v>
      </c>
      <c r="E620" s="24" t="s">
        <v>8</v>
      </c>
      <c r="F620" s="24" t="s">
        <v>9</v>
      </c>
      <c r="G620" s="24" t="s">
        <v>8</v>
      </c>
      <c r="H620" s="24" t="s">
        <v>596</v>
      </c>
      <c r="I620" s="27">
        <v>-7.87</v>
      </c>
    </row>
    <row r="621" spans="2:9" ht="16">
      <c r="B621" s="24" t="s">
        <v>589</v>
      </c>
      <c r="C621" s="24" t="s">
        <v>6</v>
      </c>
      <c r="D621" s="24" t="s">
        <v>597</v>
      </c>
      <c r="E621" s="24" t="s">
        <v>598</v>
      </c>
      <c r="F621" s="24" t="s">
        <v>9</v>
      </c>
      <c r="G621" s="24" t="s">
        <v>8</v>
      </c>
      <c r="H621" s="24" t="s">
        <v>599</v>
      </c>
      <c r="I621" s="27">
        <v>136.4</v>
      </c>
    </row>
    <row r="622" spans="2:9" ht="16">
      <c r="B622" s="24" t="s">
        <v>600</v>
      </c>
      <c r="C622" s="24" t="s">
        <v>6</v>
      </c>
      <c r="D622" s="24" t="s">
        <v>601</v>
      </c>
      <c r="E622" s="24" t="s">
        <v>8</v>
      </c>
      <c r="F622" s="24" t="s">
        <v>9</v>
      </c>
      <c r="G622" s="24" t="s">
        <v>8</v>
      </c>
      <c r="H622" s="24" t="s">
        <v>602</v>
      </c>
      <c r="I622" s="27">
        <v>10.91</v>
      </c>
    </row>
    <row r="623" spans="2:9" ht="16">
      <c r="B623" s="24" t="s">
        <v>86</v>
      </c>
      <c r="C623" s="24" t="s">
        <v>13</v>
      </c>
      <c r="D623" s="24" t="s">
        <v>603</v>
      </c>
      <c r="E623" s="24" t="s">
        <v>604</v>
      </c>
      <c r="F623" s="24" t="s">
        <v>9</v>
      </c>
      <c r="G623" s="24" t="s">
        <v>8</v>
      </c>
      <c r="H623" s="24" t="s">
        <v>89</v>
      </c>
      <c r="I623" s="27">
        <v>296.82</v>
      </c>
    </row>
    <row r="624" spans="2:9" ht="16">
      <c r="B624" s="24" t="s">
        <v>589</v>
      </c>
      <c r="C624" s="24" t="s">
        <v>6</v>
      </c>
      <c r="D624" s="24" t="s">
        <v>595</v>
      </c>
      <c r="E624" s="24" t="s">
        <v>8</v>
      </c>
      <c r="F624" s="24" t="s">
        <v>9</v>
      </c>
      <c r="G624" s="24" t="s">
        <v>8</v>
      </c>
      <c r="H624" s="24" t="s">
        <v>605</v>
      </c>
      <c r="I624" s="27">
        <v>-143.34</v>
      </c>
    </row>
    <row r="625" spans="2:9" ht="16">
      <c r="B625" s="24" t="s">
        <v>589</v>
      </c>
      <c r="C625" s="24" t="s">
        <v>6</v>
      </c>
      <c r="D625" s="24" t="s">
        <v>595</v>
      </c>
      <c r="E625" s="24" t="s">
        <v>8</v>
      </c>
      <c r="F625" s="24" t="s">
        <v>9</v>
      </c>
      <c r="G625" s="24" t="s">
        <v>8</v>
      </c>
      <c r="H625" s="24" t="s">
        <v>605</v>
      </c>
      <c r="I625" s="27">
        <v>143.34</v>
      </c>
    </row>
    <row r="626" spans="2:9" ht="16">
      <c r="B626" s="24" t="s">
        <v>589</v>
      </c>
      <c r="C626" s="24" t="s">
        <v>6</v>
      </c>
      <c r="D626" s="24" t="s">
        <v>523</v>
      </c>
      <c r="E626" s="24" t="s">
        <v>8</v>
      </c>
      <c r="F626" s="24" t="s">
        <v>9</v>
      </c>
      <c r="G626" s="24" t="s">
        <v>8</v>
      </c>
      <c r="H626" s="24" t="s">
        <v>606</v>
      </c>
      <c r="I626" s="27">
        <v>109.2</v>
      </c>
    </row>
    <row r="627" spans="2:9" ht="16">
      <c r="B627" s="24" t="s">
        <v>589</v>
      </c>
      <c r="C627" s="24" t="s">
        <v>6</v>
      </c>
      <c r="D627" s="24" t="s">
        <v>523</v>
      </c>
      <c r="E627" s="24" t="s">
        <v>8</v>
      </c>
      <c r="F627" s="24" t="s">
        <v>9</v>
      </c>
      <c r="G627" s="24" t="s">
        <v>8</v>
      </c>
      <c r="H627" s="24" t="s">
        <v>606</v>
      </c>
      <c r="I627" s="27">
        <v>-109.2</v>
      </c>
    </row>
    <row r="628" spans="2:9" ht="16">
      <c r="B628" s="24" t="s">
        <v>36</v>
      </c>
      <c r="C628" s="24" t="s">
        <v>6</v>
      </c>
      <c r="D628" s="24" t="s">
        <v>607</v>
      </c>
      <c r="E628" s="24" t="s">
        <v>8</v>
      </c>
      <c r="F628" s="24" t="s">
        <v>9</v>
      </c>
      <c r="G628" s="24" t="s">
        <v>8</v>
      </c>
      <c r="H628" s="24" t="s">
        <v>608</v>
      </c>
      <c r="I628" s="27">
        <v>916.69</v>
      </c>
    </row>
    <row r="629" spans="2:9" ht="16">
      <c r="B629" s="24" t="s">
        <v>36</v>
      </c>
      <c r="C629" s="24" t="s">
        <v>6</v>
      </c>
      <c r="D629" s="24" t="s">
        <v>597</v>
      </c>
      <c r="E629" s="24" t="s">
        <v>8</v>
      </c>
      <c r="F629" s="24" t="s">
        <v>9</v>
      </c>
      <c r="G629" s="24" t="s">
        <v>8</v>
      </c>
      <c r="H629" s="24" t="s">
        <v>608</v>
      </c>
      <c r="I629" s="27">
        <v>138.6</v>
      </c>
    </row>
    <row r="630" spans="2:9" ht="16">
      <c r="B630" s="24" t="s">
        <v>36</v>
      </c>
      <c r="C630" s="24" t="s">
        <v>6</v>
      </c>
      <c r="D630" s="24" t="s">
        <v>245</v>
      </c>
      <c r="E630" s="24" t="s">
        <v>8</v>
      </c>
      <c r="F630" s="24" t="s">
        <v>9</v>
      </c>
      <c r="G630" s="24" t="s">
        <v>8</v>
      </c>
      <c r="H630" s="24" t="s">
        <v>608</v>
      </c>
      <c r="I630" s="27">
        <v>25.82</v>
      </c>
    </row>
    <row r="631" spans="2:9" ht="16">
      <c r="B631" s="24" t="s">
        <v>36</v>
      </c>
      <c r="C631" s="24" t="s">
        <v>6</v>
      </c>
      <c r="D631" s="24" t="s">
        <v>609</v>
      </c>
      <c r="E631" s="24" t="s">
        <v>8</v>
      </c>
      <c r="F631" s="24" t="s">
        <v>9</v>
      </c>
      <c r="G631" s="24" t="s">
        <v>8</v>
      </c>
      <c r="H631" s="24" t="s">
        <v>610</v>
      </c>
      <c r="I631" s="27">
        <v>69.15</v>
      </c>
    </row>
    <row r="632" spans="2:9" ht="16">
      <c r="B632" s="24" t="s">
        <v>36</v>
      </c>
      <c r="C632" s="24" t="s">
        <v>6</v>
      </c>
      <c r="D632" s="24" t="s">
        <v>611</v>
      </c>
      <c r="E632" s="24" t="s">
        <v>8</v>
      </c>
      <c r="F632" s="24" t="s">
        <v>9</v>
      </c>
      <c r="G632" s="24" t="s">
        <v>8</v>
      </c>
      <c r="H632" s="24" t="s">
        <v>612</v>
      </c>
      <c r="I632" s="27">
        <v>239.59</v>
      </c>
    </row>
    <row r="633" spans="2:9" ht="16">
      <c r="B633" s="24" t="s">
        <v>36</v>
      </c>
      <c r="C633" s="24" t="s">
        <v>6</v>
      </c>
      <c r="D633" s="24" t="s">
        <v>613</v>
      </c>
      <c r="E633" s="24" t="s">
        <v>8</v>
      </c>
      <c r="F633" s="24" t="s">
        <v>9</v>
      </c>
      <c r="G633" s="24" t="s">
        <v>8</v>
      </c>
      <c r="H633" s="24" t="s">
        <v>614</v>
      </c>
      <c r="I633" s="27">
        <v>77.47</v>
      </c>
    </row>
    <row r="634" spans="2:9" ht="16">
      <c r="B634" s="24" t="s">
        <v>36</v>
      </c>
      <c r="C634" s="24" t="s">
        <v>6</v>
      </c>
      <c r="D634" s="24" t="s">
        <v>247</v>
      </c>
      <c r="E634" s="24" t="s">
        <v>8</v>
      </c>
      <c r="F634" s="24" t="s">
        <v>9</v>
      </c>
      <c r="G634" s="24" t="s">
        <v>8</v>
      </c>
      <c r="H634" s="24" t="s">
        <v>615</v>
      </c>
      <c r="I634" s="27">
        <v>234.8</v>
      </c>
    </row>
    <row r="635" spans="2:9" ht="16">
      <c r="B635" s="24" t="s">
        <v>36</v>
      </c>
      <c r="C635" s="24" t="s">
        <v>6</v>
      </c>
      <c r="D635" s="24" t="s">
        <v>616</v>
      </c>
      <c r="E635" s="24" t="s">
        <v>8</v>
      </c>
      <c r="F635" s="24" t="s">
        <v>9</v>
      </c>
      <c r="G635" s="24" t="s">
        <v>8</v>
      </c>
      <c r="H635" s="24" t="s">
        <v>615</v>
      </c>
      <c r="I635" s="27">
        <v>26.43</v>
      </c>
    </row>
    <row r="636" spans="2:9" ht="16">
      <c r="B636" s="24" t="s">
        <v>36</v>
      </c>
      <c r="C636" s="24" t="s">
        <v>6</v>
      </c>
      <c r="D636" s="24" t="s">
        <v>616</v>
      </c>
      <c r="E636" s="24" t="s">
        <v>8</v>
      </c>
      <c r="F636" s="24" t="s">
        <v>9</v>
      </c>
      <c r="G636" s="24" t="s">
        <v>8</v>
      </c>
      <c r="H636" s="24" t="s">
        <v>615</v>
      </c>
      <c r="I636" s="27">
        <v>54.02</v>
      </c>
    </row>
    <row r="637" spans="2:9" ht="16">
      <c r="B637" s="24" t="s">
        <v>36</v>
      </c>
      <c r="C637" s="24" t="s">
        <v>6</v>
      </c>
      <c r="D637" s="24" t="s">
        <v>617</v>
      </c>
      <c r="E637" s="24" t="s">
        <v>8</v>
      </c>
      <c r="F637" s="24" t="s">
        <v>9</v>
      </c>
      <c r="G637" s="24" t="s">
        <v>8</v>
      </c>
      <c r="H637" s="24" t="s">
        <v>615</v>
      </c>
      <c r="I637" s="27">
        <v>93.23</v>
      </c>
    </row>
    <row r="638" spans="2:9" ht="16">
      <c r="B638" s="24" t="s">
        <v>21</v>
      </c>
      <c r="C638" s="24" t="s">
        <v>13</v>
      </c>
      <c r="D638" s="24" t="s">
        <v>494</v>
      </c>
      <c r="E638" s="24" t="s">
        <v>618</v>
      </c>
      <c r="F638" s="24" t="s">
        <v>9</v>
      </c>
      <c r="G638" s="24" t="s">
        <v>8</v>
      </c>
      <c r="H638" s="24" t="s">
        <v>24</v>
      </c>
      <c r="I638" s="27">
        <v>272.63</v>
      </c>
    </row>
    <row r="639" spans="2:9" ht="16">
      <c r="B639" s="24" t="s">
        <v>239</v>
      </c>
      <c r="C639" s="24" t="s">
        <v>6</v>
      </c>
      <c r="D639" s="24" t="s">
        <v>619</v>
      </c>
      <c r="E639" s="24" t="s">
        <v>8</v>
      </c>
      <c r="F639" s="24" t="s">
        <v>9</v>
      </c>
      <c r="G639" s="24" t="s">
        <v>8</v>
      </c>
      <c r="H639" s="24" t="s">
        <v>576</v>
      </c>
      <c r="I639" s="27">
        <v>18.96</v>
      </c>
    </row>
    <row r="640" spans="2:9" ht="16">
      <c r="B640" s="24" t="s">
        <v>51</v>
      </c>
      <c r="C640" s="24" t="s">
        <v>6</v>
      </c>
      <c r="D640" s="24" t="s">
        <v>283</v>
      </c>
      <c r="E640" s="24" t="s">
        <v>8</v>
      </c>
      <c r="F640" s="24" t="s">
        <v>9</v>
      </c>
      <c r="G640" s="24" t="s">
        <v>8</v>
      </c>
      <c r="H640" s="24" t="s">
        <v>620</v>
      </c>
      <c r="I640" s="27">
        <v>135.85</v>
      </c>
    </row>
    <row r="641" spans="2:9" ht="16">
      <c r="B641" s="24" t="s">
        <v>316</v>
      </c>
      <c r="C641" s="24" t="s">
        <v>6</v>
      </c>
      <c r="D641" s="24" t="s">
        <v>621</v>
      </c>
      <c r="E641" s="24" t="s">
        <v>8</v>
      </c>
      <c r="F641" s="24" t="s">
        <v>9</v>
      </c>
      <c r="G641" s="24" t="s">
        <v>8</v>
      </c>
      <c r="H641" s="24" t="s">
        <v>622</v>
      </c>
      <c r="I641" s="27">
        <v>112.17</v>
      </c>
    </row>
    <row r="642" spans="2:9" ht="16">
      <c r="B642" s="24" t="s">
        <v>127</v>
      </c>
      <c r="C642" s="24" t="s">
        <v>6</v>
      </c>
      <c r="D642" s="24" t="s">
        <v>142</v>
      </c>
      <c r="E642" s="24" t="s">
        <v>8</v>
      </c>
      <c r="F642" s="24" t="s">
        <v>9</v>
      </c>
      <c r="G642" s="24" t="s">
        <v>8</v>
      </c>
      <c r="H642" s="24" t="s">
        <v>623</v>
      </c>
      <c r="I642" s="27">
        <v>8.87</v>
      </c>
    </row>
    <row r="643" spans="2:9" ht="16">
      <c r="B643" s="24" t="s">
        <v>36</v>
      </c>
      <c r="C643" s="24" t="s">
        <v>6</v>
      </c>
      <c r="D643" s="24" t="s">
        <v>624</v>
      </c>
      <c r="E643" s="24" t="s">
        <v>8</v>
      </c>
      <c r="F643" s="24" t="s">
        <v>9</v>
      </c>
      <c r="G643" s="24" t="s">
        <v>8</v>
      </c>
      <c r="H643" s="24" t="s">
        <v>625</v>
      </c>
      <c r="I643" s="27">
        <v>438.72</v>
      </c>
    </row>
    <row r="644" spans="2:9" ht="16">
      <c r="B644" s="24" t="s">
        <v>119</v>
      </c>
      <c r="C644" s="24" t="s">
        <v>6</v>
      </c>
      <c r="D644" s="24" t="s">
        <v>626</v>
      </c>
      <c r="E644" s="24" t="s">
        <v>8</v>
      </c>
      <c r="F644" s="24" t="s">
        <v>9</v>
      </c>
      <c r="G644" s="24" t="s">
        <v>8</v>
      </c>
      <c r="H644" s="24" t="s">
        <v>627</v>
      </c>
      <c r="I644" s="27">
        <v>63.73</v>
      </c>
    </row>
    <row r="645" spans="2:9" ht="16">
      <c r="B645" s="24" t="s">
        <v>36</v>
      </c>
      <c r="C645" s="24" t="s">
        <v>6</v>
      </c>
      <c r="D645" s="24" t="s">
        <v>590</v>
      </c>
      <c r="E645" s="24" t="s">
        <v>8</v>
      </c>
      <c r="F645" s="24" t="s">
        <v>9</v>
      </c>
      <c r="G645" s="24" t="s">
        <v>8</v>
      </c>
      <c r="H645" s="24" t="s">
        <v>628</v>
      </c>
      <c r="I645" s="27">
        <v>124.46</v>
      </c>
    </row>
    <row r="646" spans="2:9" ht="16">
      <c r="B646" s="24" t="s">
        <v>589</v>
      </c>
      <c r="C646" s="24" t="s">
        <v>6</v>
      </c>
      <c r="D646" s="24" t="s">
        <v>629</v>
      </c>
      <c r="E646" s="24" t="s">
        <v>8</v>
      </c>
      <c r="F646" s="24" t="s">
        <v>9</v>
      </c>
      <c r="G646" s="24" t="s">
        <v>8</v>
      </c>
      <c r="H646" s="24" t="s">
        <v>630</v>
      </c>
      <c r="I646" s="27">
        <v>-97.73</v>
      </c>
    </row>
    <row r="647" spans="2:9" ht="16">
      <c r="B647" s="24" t="s">
        <v>589</v>
      </c>
      <c r="C647" s="24" t="s">
        <v>6</v>
      </c>
      <c r="D647" s="24" t="s">
        <v>629</v>
      </c>
      <c r="E647" s="24" t="s">
        <v>8</v>
      </c>
      <c r="F647" s="24" t="s">
        <v>9</v>
      </c>
      <c r="G647" s="24" t="s">
        <v>8</v>
      </c>
      <c r="H647" s="24" t="s">
        <v>630</v>
      </c>
      <c r="I647" s="27">
        <v>97.73</v>
      </c>
    </row>
    <row r="648" spans="2:9" ht="16">
      <c r="B648" s="24" t="s">
        <v>36</v>
      </c>
      <c r="C648" s="24" t="s">
        <v>6</v>
      </c>
      <c r="D648" s="24" t="s">
        <v>631</v>
      </c>
      <c r="E648" s="24" t="s">
        <v>8</v>
      </c>
      <c r="F648" s="24" t="s">
        <v>9</v>
      </c>
      <c r="G648" s="24" t="s">
        <v>8</v>
      </c>
      <c r="H648" s="24" t="s">
        <v>632</v>
      </c>
      <c r="I648" s="27">
        <v>72.24</v>
      </c>
    </row>
    <row r="649" spans="2:9" ht="16">
      <c r="B649" s="24" t="s">
        <v>633</v>
      </c>
      <c r="C649" s="24" t="s">
        <v>6</v>
      </c>
      <c r="D649" s="24" t="s">
        <v>634</v>
      </c>
      <c r="E649" s="24" t="s">
        <v>8</v>
      </c>
      <c r="F649" s="24" t="s">
        <v>9</v>
      </c>
      <c r="G649" s="24" t="s">
        <v>8</v>
      </c>
      <c r="H649" s="24" t="s">
        <v>635</v>
      </c>
      <c r="I649" s="27">
        <v>1400.0</v>
      </c>
    </row>
    <row r="650" spans="2:9" ht="16">
      <c r="B650" s="24" t="s">
        <v>8</v>
      </c>
      <c r="C650" s="24" t="s">
        <v>139</v>
      </c>
      <c r="D650" s="24" t="s">
        <v>611</v>
      </c>
      <c r="E650" s="24" t="s">
        <v>8</v>
      </c>
      <c r="F650" s="24" t="s">
        <v>9</v>
      </c>
      <c r="G650" s="24" t="s">
        <v>8</v>
      </c>
      <c r="H650" s="24" t="s">
        <v>636</v>
      </c>
      <c r="I650" s="27">
        <v>-20.25</v>
      </c>
    </row>
    <row r="651" spans="2:9" ht="16">
      <c r="B651" s="24" t="s">
        <v>5</v>
      </c>
      <c r="C651" s="24" t="s">
        <v>13</v>
      </c>
      <c r="D651" s="24" t="s">
        <v>617</v>
      </c>
      <c r="E651" s="24" t="s">
        <v>637</v>
      </c>
      <c r="F651" s="24" t="s">
        <v>9</v>
      </c>
      <c r="G651" s="24" t="s">
        <v>8</v>
      </c>
      <c r="H651" s="24" t="s">
        <v>638</v>
      </c>
      <c r="I651" s="27">
        <v>63.36</v>
      </c>
    </row>
    <row r="652" spans="2:9" ht="16">
      <c r="B652" s="24" t="s">
        <v>316</v>
      </c>
      <c r="C652" s="24" t="s">
        <v>6</v>
      </c>
      <c r="D652" s="24" t="s">
        <v>586</v>
      </c>
      <c r="E652" s="24" t="s">
        <v>8</v>
      </c>
      <c r="F652" s="24" t="s">
        <v>9</v>
      </c>
      <c r="G652" s="24" t="s">
        <v>8</v>
      </c>
      <c r="H652" s="24" t="s">
        <v>639</v>
      </c>
      <c r="I652" s="27">
        <v>324.6</v>
      </c>
    </row>
    <row r="653" spans="2:9" ht="16">
      <c r="B653" s="24" t="s">
        <v>316</v>
      </c>
      <c r="C653" s="24" t="s">
        <v>6</v>
      </c>
      <c r="D653" s="24" t="s">
        <v>525</v>
      </c>
      <c r="E653" s="24" t="s">
        <v>8</v>
      </c>
      <c r="F653" s="24" t="s">
        <v>9</v>
      </c>
      <c r="G653" s="24" t="s">
        <v>8</v>
      </c>
      <c r="H653" s="24" t="s">
        <v>640</v>
      </c>
      <c r="I653" s="27">
        <v>60.89</v>
      </c>
    </row>
    <row r="654" spans="2:9" ht="16">
      <c r="B654" s="24" t="s">
        <v>514</v>
      </c>
      <c r="C654" s="24" t="s">
        <v>6</v>
      </c>
      <c r="D654" s="24" t="s">
        <v>597</v>
      </c>
      <c r="E654" s="24" t="s">
        <v>8</v>
      </c>
      <c r="F654" s="24" t="s">
        <v>9</v>
      </c>
      <c r="G654" s="24" t="s">
        <v>8</v>
      </c>
      <c r="H654" s="24" t="s">
        <v>641</v>
      </c>
      <c r="I654" s="27">
        <v>9.26</v>
      </c>
    </row>
    <row r="655" spans="2:9" ht="16">
      <c r="B655" s="24" t="s">
        <v>119</v>
      </c>
      <c r="C655" s="24" t="s">
        <v>6</v>
      </c>
      <c r="D655" s="24" t="s">
        <v>607</v>
      </c>
      <c r="E655" s="24" t="s">
        <v>8</v>
      </c>
      <c r="F655" s="24" t="s">
        <v>9</v>
      </c>
      <c r="G655" s="24" t="s">
        <v>8</v>
      </c>
      <c r="H655" s="24" t="s">
        <v>642</v>
      </c>
      <c r="I655" s="27">
        <v>23.98</v>
      </c>
    </row>
    <row r="656" spans="2:9" ht="16">
      <c r="B656" s="24" t="s">
        <v>119</v>
      </c>
      <c r="C656" s="24" t="s">
        <v>6</v>
      </c>
      <c r="D656" s="24" t="s">
        <v>609</v>
      </c>
      <c r="E656" s="24" t="s">
        <v>8</v>
      </c>
      <c r="F656" s="24" t="s">
        <v>9</v>
      </c>
      <c r="G656" s="24" t="s">
        <v>8</v>
      </c>
      <c r="H656" s="24" t="s">
        <v>642</v>
      </c>
      <c r="I656" s="27">
        <v>38.95</v>
      </c>
    </row>
    <row r="657" spans="2:9" ht="16">
      <c r="B657" s="24" t="s">
        <v>119</v>
      </c>
      <c r="C657" s="24" t="s">
        <v>6</v>
      </c>
      <c r="D657" s="24" t="s">
        <v>643</v>
      </c>
      <c r="E657" s="24" t="s">
        <v>8</v>
      </c>
      <c r="F657" s="24" t="s">
        <v>9</v>
      </c>
      <c r="G657" s="24" t="s">
        <v>8</v>
      </c>
      <c r="H657" s="24" t="s">
        <v>642</v>
      </c>
      <c r="I657" s="27">
        <v>592.39</v>
      </c>
    </row>
    <row r="658" spans="2:9" ht="16">
      <c r="B658" s="24" t="s">
        <v>119</v>
      </c>
      <c r="C658" s="24" t="s">
        <v>6</v>
      </c>
      <c r="D658" s="24" t="s">
        <v>611</v>
      </c>
      <c r="E658" s="24" t="s">
        <v>8</v>
      </c>
      <c r="F658" s="24" t="s">
        <v>9</v>
      </c>
      <c r="G658" s="24" t="s">
        <v>8</v>
      </c>
      <c r="H658" s="24" t="s">
        <v>644</v>
      </c>
      <c r="I658" s="27">
        <v>101.38</v>
      </c>
    </row>
    <row r="659" spans="2:9" ht="16">
      <c r="B659" s="24" t="s">
        <v>119</v>
      </c>
      <c r="C659" s="24" t="s">
        <v>6</v>
      </c>
      <c r="D659" s="24" t="s">
        <v>486</v>
      </c>
      <c r="E659" s="24" t="s">
        <v>8</v>
      </c>
      <c r="F659" s="24" t="s">
        <v>9</v>
      </c>
      <c r="G659" s="24" t="s">
        <v>8</v>
      </c>
      <c r="H659" s="24" t="s">
        <v>644</v>
      </c>
      <c r="I659" s="27">
        <v>271.49</v>
      </c>
    </row>
    <row r="660" spans="2:9" ht="16">
      <c r="B660" s="24" t="s">
        <v>119</v>
      </c>
      <c r="C660" s="24" t="s">
        <v>6</v>
      </c>
      <c r="D660" s="24" t="s">
        <v>287</v>
      </c>
      <c r="E660" s="24" t="s">
        <v>8</v>
      </c>
      <c r="F660" s="24" t="s">
        <v>9</v>
      </c>
      <c r="G660" s="24" t="s">
        <v>8</v>
      </c>
      <c r="H660" s="24" t="s">
        <v>645</v>
      </c>
      <c r="I660" s="27">
        <v>97.54</v>
      </c>
    </row>
    <row r="661" spans="2:9" ht="16">
      <c r="B661" s="24" t="s">
        <v>119</v>
      </c>
      <c r="C661" s="24" t="s">
        <v>6</v>
      </c>
      <c r="D661" s="24" t="s">
        <v>646</v>
      </c>
      <c r="E661" s="24" t="s">
        <v>8</v>
      </c>
      <c r="F661" s="24" t="s">
        <v>9</v>
      </c>
      <c r="G661" s="24" t="s">
        <v>8</v>
      </c>
      <c r="H661" s="24" t="s">
        <v>647</v>
      </c>
      <c r="I661" s="27">
        <v>30.96</v>
      </c>
    </row>
    <row r="662" spans="2:9" ht="16">
      <c r="B662" s="24" t="s">
        <v>119</v>
      </c>
      <c r="C662" s="24" t="s">
        <v>6</v>
      </c>
      <c r="D662" s="24" t="s">
        <v>409</v>
      </c>
      <c r="E662" s="24" t="s">
        <v>8</v>
      </c>
      <c r="F662" s="24" t="s">
        <v>9</v>
      </c>
      <c r="G662" s="24" t="s">
        <v>8</v>
      </c>
      <c r="H662" s="24" t="s">
        <v>319</v>
      </c>
      <c r="I662" s="27">
        <v>175.06</v>
      </c>
    </row>
    <row r="663" spans="2:9" ht="16">
      <c r="B663" s="24" t="s">
        <v>119</v>
      </c>
      <c r="C663" s="24" t="s">
        <v>139</v>
      </c>
      <c r="D663" s="24" t="s">
        <v>183</v>
      </c>
      <c r="E663" s="24" t="s">
        <v>8</v>
      </c>
      <c r="F663" s="24" t="s">
        <v>9</v>
      </c>
      <c r="G663" s="24" t="s">
        <v>8</v>
      </c>
      <c r="H663" s="24" t="s">
        <v>244</v>
      </c>
      <c r="I663" s="27">
        <v>-21.61</v>
      </c>
    </row>
    <row r="664" spans="2:9" ht="16">
      <c r="B664" s="24" t="s">
        <v>119</v>
      </c>
      <c r="C664" s="24" t="s">
        <v>6</v>
      </c>
      <c r="D664" s="24" t="s">
        <v>648</v>
      </c>
      <c r="E664" s="24" t="s">
        <v>8</v>
      </c>
      <c r="F664" s="24" t="s">
        <v>9</v>
      </c>
      <c r="G664" s="24" t="s">
        <v>8</v>
      </c>
      <c r="H664" s="24" t="s">
        <v>649</v>
      </c>
      <c r="I664" s="27">
        <v>54.01</v>
      </c>
    </row>
    <row r="665" spans="2:9" ht="16">
      <c r="B665" s="24" t="s">
        <v>119</v>
      </c>
      <c r="C665" s="24" t="s">
        <v>139</v>
      </c>
      <c r="D665" s="24" t="s">
        <v>643</v>
      </c>
      <c r="E665" s="24" t="s">
        <v>8</v>
      </c>
      <c r="F665" s="24" t="s">
        <v>9</v>
      </c>
      <c r="G665" s="24" t="s">
        <v>8</v>
      </c>
      <c r="H665" s="24" t="s">
        <v>650</v>
      </c>
      <c r="I665" s="27">
        <v>-32.82</v>
      </c>
    </row>
    <row r="666" spans="2:9" ht="16">
      <c r="B666" s="24" t="s">
        <v>119</v>
      </c>
      <c r="C666" s="24" t="s">
        <v>6</v>
      </c>
      <c r="D666" s="24" t="s">
        <v>651</v>
      </c>
      <c r="E666" s="24" t="s">
        <v>8</v>
      </c>
      <c r="F666" s="24" t="s">
        <v>9</v>
      </c>
      <c r="G666" s="24" t="s">
        <v>8</v>
      </c>
      <c r="H666" s="24" t="s">
        <v>652</v>
      </c>
      <c r="I666" s="27">
        <v>64.7</v>
      </c>
    </row>
    <row r="667" spans="2:9" ht="16">
      <c r="B667" s="24" t="s">
        <v>119</v>
      </c>
      <c r="C667" s="24" t="s">
        <v>6</v>
      </c>
      <c r="D667" s="24" t="s">
        <v>611</v>
      </c>
      <c r="E667" s="24" t="s">
        <v>8</v>
      </c>
      <c r="F667" s="24" t="s">
        <v>9</v>
      </c>
      <c r="G667" s="24" t="s">
        <v>8</v>
      </c>
      <c r="H667" s="24" t="s">
        <v>653</v>
      </c>
      <c r="I667" s="27">
        <v>194.72</v>
      </c>
    </row>
    <row r="668" spans="2:9" ht="16">
      <c r="B668" s="24" t="s">
        <v>119</v>
      </c>
      <c r="C668" s="24" t="s">
        <v>6</v>
      </c>
      <c r="D668" s="24" t="s">
        <v>607</v>
      </c>
      <c r="E668" s="24" t="s">
        <v>8</v>
      </c>
      <c r="F668" s="24" t="s">
        <v>9</v>
      </c>
      <c r="G668" s="24" t="s">
        <v>8</v>
      </c>
      <c r="H668" s="24" t="s">
        <v>653</v>
      </c>
      <c r="I668" s="27">
        <v>204.5</v>
      </c>
    </row>
    <row r="669" spans="2:9" ht="16">
      <c r="B669" s="24" t="s">
        <v>127</v>
      </c>
      <c r="C669" s="24" t="s">
        <v>6</v>
      </c>
      <c r="D669" s="24" t="s">
        <v>654</v>
      </c>
      <c r="E669" s="24" t="s">
        <v>8</v>
      </c>
      <c r="F669" s="24" t="s">
        <v>9</v>
      </c>
      <c r="G669" s="24" t="s">
        <v>8</v>
      </c>
      <c r="H669" s="24" t="s">
        <v>655</v>
      </c>
      <c r="I669" s="27">
        <v>7.66</v>
      </c>
    </row>
    <row r="670" spans="1:9" ht="16">
      <c r="A670" s="35" t="s">
        <v>40</v>
      </c>
      <c r="I670" s="28">
        <f>I612+I613+I614+I615+I616+I617+I618+I619+I620+I621+I622+I623+I624+I625+I626+I627+I628+I629+I630+I631+I632+I633+I634+I635+I636+I637+I638+I639+I640+I641+I642+I643+I644+I645+I646+I647+I648+I649+I650+I651+I652+I653+I654+I655+I656+I657+I658+I659+I660+I661+I662+I663+I664+I665+I666+I667+I668+I669</f>
        <v>7405.8</v>
      </c>
    </row>
    <row r="671" spans="1:1" ht="16">
      <c r="A671" s="34" t="s">
        <v>580</v>
      </c>
    </row>
    <row r="672" spans="2:9" ht="16">
      <c r="B672" s="24" t="s">
        <v>656</v>
      </c>
      <c r="C672" s="24" t="s">
        <v>6</v>
      </c>
      <c r="D672" s="24" t="s">
        <v>611</v>
      </c>
      <c r="E672" s="24" t="s">
        <v>8</v>
      </c>
      <c r="F672" s="24" t="s">
        <v>42</v>
      </c>
      <c r="G672" s="24" t="s">
        <v>8</v>
      </c>
      <c r="H672" s="24" t="s">
        <v>657</v>
      </c>
      <c r="I672" s="27">
        <v>66.74</v>
      </c>
    </row>
    <row r="673" spans="1:9" ht="16">
      <c r="A673" s="35" t="s">
        <v>149</v>
      </c>
      <c r="I673" s="28">
        <f>I671+I672</f>
        <v>66.74</v>
      </c>
    </row>
    <row r="674" spans="1:1" ht="16">
      <c r="A674" s="34" t="s">
        <v>580</v>
      </c>
    </row>
    <row r="675" spans="2:9" ht="16">
      <c r="B675" s="24" t="s">
        <v>658</v>
      </c>
      <c r="C675" s="24" t="s">
        <v>6</v>
      </c>
      <c r="D675" s="24" t="s">
        <v>659</v>
      </c>
      <c r="E675" s="24" t="s">
        <v>8</v>
      </c>
      <c r="F675" s="24" t="s">
        <v>42</v>
      </c>
      <c r="G675" s="24" t="s">
        <v>8</v>
      </c>
      <c r="H675" s="24" t="s">
        <v>660</v>
      </c>
      <c r="I675" s="27">
        <v>163.99</v>
      </c>
    </row>
    <row r="676" spans="2:9" ht="16">
      <c r="B676" s="24" t="s">
        <v>117</v>
      </c>
      <c r="C676" s="24" t="s">
        <v>6</v>
      </c>
      <c r="D676" s="24" t="s">
        <v>661</v>
      </c>
      <c r="E676" s="24" t="s">
        <v>8</v>
      </c>
      <c r="F676" s="24" t="s">
        <v>42</v>
      </c>
      <c r="G676" s="24" t="s">
        <v>8</v>
      </c>
      <c r="H676" s="24" t="s">
        <v>662</v>
      </c>
      <c r="I676" s="27">
        <v>345.5</v>
      </c>
    </row>
    <row r="677" spans="1:9" ht="16">
      <c r="A677" s="35" t="s">
        <v>663</v>
      </c>
      <c r="I677" s="28">
        <f>I674+I675+I676</f>
        <v>509.49</v>
      </c>
    </row>
    <row r="678" spans="1:1" ht="16">
      <c r="A678" s="34" t="s">
        <v>580</v>
      </c>
    </row>
    <row r="679" spans="2:9" ht="16">
      <c r="B679" s="24" t="s">
        <v>664</v>
      </c>
      <c r="C679" s="24" t="s">
        <v>6</v>
      </c>
      <c r="D679" s="24" t="s">
        <v>245</v>
      </c>
      <c r="E679" s="24" t="s">
        <v>8</v>
      </c>
      <c r="F679" s="24" t="s">
        <v>42</v>
      </c>
      <c r="G679" s="24" t="s">
        <v>8</v>
      </c>
      <c r="H679" s="24" t="s">
        <v>665</v>
      </c>
      <c r="I679" s="27">
        <v>13.1</v>
      </c>
    </row>
    <row r="680" spans="1:9" ht="16">
      <c r="A680" s="35" t="s">
        <v>666</v>
      </c>
      <c r="I680" s="28">
        <f>I678+I679</f>
        <v>13.1</v>
      </c>
    </row>
    <row r="681" spans="1:1" ht="16">
      <c r="A681" s="34" t="s">
        <v>580</v>
      </c>
    </row>
    <row r="682" spans="2:9" ht="16">
      <c r="B682" s="24" t="s">
        <v>589</v>
      </c>
      <c r="C682" s="24" t="s">
        <v>6</v>
      </c>
      <c r="D682" s="24" t="s">
        <v>624</v>
      </c>
      <c r="E682" s="24" t="s">
        <v>8</v>
      </c>
      <c r="F682" s="24" t="s">
        <v>9</v>
      </c>
      <c r="G682" s="24" t="s">
        <v>8</v>
      </c>
      <c r="H682" s="24" t="s">
        <v>667</v>
      </c>
      <c r="I682" s="27">
        <v>-452.7</v>
      </c>
    </row>
    <row r="683" spans="2:9" ht="16">
      <c r="B683" s="24" t="s">
        <v>589</v>
      </c>
      <c r="C683" s="24" t="s">
        <v>6</v>
      </c>
      <c r="D683" s="24" t="s">
        <v>624</v>
      </c>
      <c r="E683" s="24" t="s">
        <v>8</v>
      </c>
      <c r="F683" s="24" t="s">
        <v>9</v>
      </c>
      <c r="G683" s="24" t="s">
        <v>8</v>
      </c>
      <c r="H683" s="24" t="s">
        <v>667</v>
      </c>
      <c r="I683" s="27">
        <v>452.7</v>
      </c>
    </row>
    <row r="684" spans="2:9" ht="16">
      <c r="B684" s="24" t="s">
        <v>589</v>
      </c>
      <c r="C684" s="24" t="s">
        <v>6</v>
      </c>
      <c r="D684" s="24" t="s">
        <v>593</v>
      </c>
      <c r="E684" s="24" t="s">
        <v>8</v>
      </c>
      <c r="F684" s="24" t="s">
        <v>9</v>
      </c>
      <c r="G684" s="24" t="s">
        <v>8</v>
      </c>
      <c r="H684" s="24" t="s">
        <v>630</v>
      </c>
      <c r="I684" s="27">
        <v>55.55</v>
      </c>
    </row>
    <row r="685" spans="2:9" ht="16">
      <c r="B685" s="24" t="s">
        <v>589</v>
      </c>
      <c r="C685" s="24" t="s">
        <v>6</v>
      </c>
      <c r="D685" s="24" t="s">
        <v>593</v>
      </c>
      <c r="E685" s="24" t="s">
        <v>8</v>
      </c>
      <c r="F685" s="24" t="s">
        <v>9</v>
      </c>
      <c r="G685" s="24" t="s">
        <v>8</v>
      </c>
      <c r="H685" s="24" t="s">
        <v>630</v>
      </c>
      <c r="I685" s="27">
        <v>-55.55</v>
      </c>
    </row>
    <row r="686" spans="2:9" ht="16">
      <c r="B686" s="24" t="s">
        <v>36</v>
      </c>
      <c r="C686" s="24" t="s">
        <v>6</v>
      </c>
      <c r="D686" s="24" t="s">
        <v>668</v>
      </c>
      <c r="E686" s="24" t="s">
        <v>8</v>
      </c>
      <c r="F686" s="24" t="s">
        <v>9</v>
      </c>
      <c r="G686" s="24" t="s">
        <v>8</v>
      </c>
      <c r="H686" s="24" t="s">
        <v>669</v>
      </c>
      <c r="I686" s="27">
        <v>48.56</v>
      </c>
    </row>
    <row r="687" spans="1:9" ht="16">
      <c r="A687" s="35" t="s">
        <v>267</v>
      </c>
      <c r="I687" s="28">
        <f>I681+I682+I683+I684+I685+I686</f>
        <v>48.56</v>
      </c>
    </row>
    <row r="688" spans="1:1" ht="16">
      <c r="A688" s="34" t="s">
        <v>580</v>
      </c>
    </row>
    <row r="689" spans="2:9" ht="16">
      <c r="B689" s="24" t="s">
        <v>45</v>
      </c>
      <c r="C689" s="24" t="s">
        <v>6</v>
      </c>
      <c r="D689" s="24" t="s">
        <v>240</v>
      </c>
      <c r="E689" s="24" t="s">
        <v>8</v>
      </c>
      <c r="F689" s="24" t="s">
        <v>9</v>
      </c>
      <c r="G689" s="24" t="s">
        <v>8</v>
      </c>
      <c r="H689" s="24" t="s">
        <v>47</v>
      </c>
      <c r="I689" s="27">
        <v>2396.41</v>
      </c>
    </row>
    <row r="690" spans="2:9" ht="16">
      <c r="B690" s="24" t="s">
        <v>45</v>
      </c>
      <c r="C690" s="24" t="s">
        <v>6</v>
      </c>
      <c r="D690" s="24" t="s">
        <v>451</v>
      </c>
      <c r="E690" s="24" t="s">
        <v>8</v>
      </c>
      <c r="F690" s="24" t="s">
        <v>9</v>
      </c>
      <c r="G690" s="24" t="s">
        <v>8</v>
      </c>
      <c r="H690" s="24" t="s">
        <v>47</v>
      </c>
      <c r="I690" s="27">
        <v>676.98</v>
      </c>
    </row>
    <row r="691" spans="2:9" ht="16">
      <c r="B691" s="24" t="s">
        <v>45</v>
      </c>
      <c r="C691" s="24" t="s">
        <v>6</v>
      </c>
      <c r="D691" s="24" t="s">
        <v>273</v>
      </c>
      <c r="E691" s="24" t="s">
        <v>8</v>
      </c>
      <c r="F691" s="24" t="s">
        <v>9</v>
      </c>
      <c r="G691" s="24" t="s">
        <v>8</v>
      </c>
      <c r="H691" s="24" t="s">
        <v>47</v>
      </c>
      <c r="I691" s="27">
        <v>102.52</v>
      </c>
    </row>
    <row r="692" spans="2:9" ht="16">
      <c r="B692" s="24" t="s">
        <v>45</v>
      </c>
      <c r="C692" s="24" t="s">
        <v>6</v>
      </c>
      <c r="D692" s="24" t="s">
        <v>272</v>
      </c>
      <c r="E692" s="24" t="s">
        <v>8</v>
      </c>
      <c r="F692" s="24" t="s">
        <v>9</v>
      </c>
      <c r="G692" s="24" t="s">
        <v>8</v>
      </c>
      <c r="H692" s="24" t="s">
        <v>47</v>
      </c>
      <c r="I692" s="27">
        <v>102.52</v>
      </c>
    </row>
    <row r="693" spans="2:9" ht="16">
      <c r="B693" s="24" t="s">
        <v>8</v>
      </c>
      <c r="C693" s="24" t="s">
        <v>6</v>
      </c>
      <c r="D693" s="24" t="s">
        <v>274</v>
      </c>
      <c r="E693" s="24" t="s">
        <v>8</v>
      </c>
      <c r="F693" s="24" t="s">
        <v>9</v>
      </c>
      <c r="G693" s="24" t="s">
        <v>8</v>
      </c>
      <c r="H693" s="24" t="s">
        <v>47</v>
      </c>
      <c r="I693" s="27">
        <v>19.77</v>
      </c>
    </row>
    <row r="694" spans="2:9" ht="16">
      <c r="B694" s="24" t="s">
        <v>45</v>
      </c>
      <c r="C694" s="24" t="s">
        <v>6</v>
      </c>
      <c r="D694" s="24" t="s">
        <v>523</v>
      </c>
      <c r="E694" s="24" t="s">
        <v>8</v>
      </c>
      <c r="F694" s="24" t="s">
        <v>9</v>
      </c>
      <c r="G694" s="24" t="s">
        <v>8</v>
      </c>
      <c r="H694" s="24" t="s">
        <v>47</v>
      </c>
      <c r="I694" s="27">
        <v>256.3</v>
      </c>
    </row>
    <row r="695" spans="1:9" ht="16">
      <c r="A695" s="35" t="s">
        <v>50</v>
      </c>
      <c r="I695" s="28">
        <f>I688+I689+I690+I691+I692+I693+I694</f>
        <v>3554.5</v>
      </c>
    </row>
    <row r="696" spans="1:1" ht="16">
      <c r="A696" s="34" t="s">
        <v>580</v>
      </c>
    </row>
    <row r="697" spans="2:9" ht="16">
      <c r="B697" s="24" t="s">
        <v>51</v>
      </c>
      <c r="C697" s="24" t="s">
        <v>6</v>
      </c>
      <c r="D697" s="24" t="s">
        <v>552</v>
      </c>
      <c r="E697" s="24" t="s">
        <v>8</v>
      </c>
      <c r="F697" s="24" t="s">
        <v>9</v>
      </c>
      <c r="G697" s="24" t="s">
        <v>8</v>
      </c>
      <c r="H697" s="24" t="s">
        <v>53</v>
      </c>
      <c r="I697" s="27">
        <v>208.55</v>
      </c>
    </row>
    <row r="698" spans="2:9" ht="16">
      <c r="B698" s="24" t="s">
        <v>51</v>
      </c>
      <c r="C698" s="24" t="s">
        <v>6</v>
      </c>
      <c r="D698" s="24" t="s">
        <v>285</v>
      </c>
      <c r="E698" s="24" t="s">
        <v>8</v>
      </c>
      <c r="F698" s="24" t="s">
        <v>9</v>
      </c>
      <c r="G698" s="24" t="s">
        <v>8</v>
      </c>
      <c r="H698" s="24" t="s">
        <v>53</v>
      </c>
      <c r="I698" s="27">
        <v>202.88</v>
      </c>
    </row>
    <row r="699" spans="2:9" ht="16">
      <c r="B699" s="24" t="s">
        <v>51</v>
      </c>
      <c r="C699" s="24" t="s">
        <v>6</v>
      </c>
      <c r="D699" s="24" t="s">
        <v>283</v>
      </c>
      <c r="E699" s="24" t="s">
        <v>8</v>
      </c>
      <c r="F699" s="24" t="s">
        <v>9</v>
      </c>
      <c r="G699" s="24" t="s">
        <v>8</v>
      </c>
      <c r="H699" s="24" t="s">
        <v>53</v>
      </c>
      <c r="I699" s="27">
        <v>3144.78</v>
      </c>
    </row>
    <row r="700" spans="2:9" ht="16">
      <c r="B700" s="24" t="s">
        <v>51</v>
      </c>
      <c r="C700" s="24" t="s">
        <v>6</v>
      </c>
      <c r="D700" s="24" t="s">
        <v>556</v>
      </c>
      <c r="E700" s="24" t="s">
        <v>8</v>
      </c>
      <c r="F700" s="24" t="s">
        <v>9</v>
      </c>
      <c r="G700" s="24" t="s">
        <v>8</v>
      </c>
      <c r="H700" s="24" t="s">
        <v>53</v>
      </c>
      <c r="I700" s="27">
        <v>1290.06</v>
      </c>
    </row>
    <row r="701" spans="2:9" ht="16">
      <c r="B701" s="24" t="s">
        <v>51</v>
      </c>
      <c r="C701" s="24" t="s">
        <v>6</v>
      </c>
      <c r="D701" s="24" t="s">
        <v>419</v>
      </c>
      <c r="E701" s="24" t="s">
        <v>8</v>
      </c>
      <c r="F701" s="24" t="s">
        <v>9</v>
      </c>
      <c r="G701" s="24" t="s">
        <v>8</v>
      </c>
      <c r="H701" s="24" t="s">
        <v>53</v>
      </c>
      <c r="I701" s="27">
        <v>1115.48</v>
      </c>
    </row>
    <row r="702" spans="2:9" ht="16">
      <c r="B702" s="24" t="s">
        <v>51</v>
      </c>
      <c r="C702" s="24" t="s">
        <v>6</v>
      </c>
      <c r="D702" s="24" t="s">
        <v>553</v>
      </c>
      <c r="E702" s="24" t="s">
        <v>8</v>
      </c>
      <c r="F702" s="24" t="s">
        <v>9</v>
      </c>
      <c r="G702" s="24" t="s">
        <v>8</v>
      </c>
      <c r="H702" s="24" t="s">
        <v>53</v>
      </c>
      <c r="I702" s="27">
        <v>51.87</v>
      </c>
    </row>
    <row r="703" spans="2:9" ht="16">
      <c r="B703" s="24" t="s">
        <v>51</v>
      </c>
      <c r="C703" s="24" t="s">
        <v>6</v>
      </c>
      <c r="D703" s="24" t="s">
        <v>282</v>
      </c>
      <c r="E703" s="24" t="s">
        <v>8</v>
      </c>
      <c r="F703" s="24" t="s">
        <v>9</v>
      </c>
      <c r="G703" s="24" t="s">
        <v>8</v>
      </c>
      <c r="H703" s="24" t="s">
        <v>53</v>
      </c>
      <c r="I703" s="27">
        <v>43.33</v>
      </c>
    </row>
    <row r="704" spans="2:9" ht="16">
      <c r="B704" s="24" t="s">
        <v>51</v>
      </c>
      <c r="C704" s="24" t="s">
        <v>6</v>
      </c>
      <c r="D704" s="24" t="s">
        <v>670</v>
      </c>
      <c r="E704" s="24" t="s">
        <v>8</v>
      </c>
      <c r="F704" s="24" t="s">
        <v>9</v>
      </c>
      <c r="G704" s="24" t="s">
        <v>8</v>
      </c>
      <c r="H704" s="24" t="s">
        <v>53</v>
      </c>
      <c r="I704" s="27">
        <v>202.93</v>
      </c>
    </row>
    <row r="705" spans="2:9" ht="16">
      <c r="B705" s="24" t="s">
        <v>51</v>
      </c>
      <c r="C705" s="24" t="s">
        <v>6</v>
      </c>
      <c r="D705" s="24" t="s">
        <v>671</v>
      </c>
      <c r="E705" s="24" t="s">
        <v>8</v>
      </c>
      <c r="F705" s="24" t="s">
        <v>9</v>
      </c>
      <c r="G705" s="24" t="s">
        <v>8</v>
      </c>
      <c r="H705" s="24" t="s">
        <v>53</v>
      </c>
      <c r="I705" s="27">
        <v>260.71</v>
      </c>
    </row>
    <row r="706" spans="1:9" ht="16">
      <c r="A706" s="35" t="s">
        <v>67</v>
      </c>
      <c r="I706" s="28">
        <f>I696+I697+I698+I699+I700+I701+I702+I703+I704+I705</f>
        <v>6520.59</v>
      </c>
    </row>
    <row r="707" spans="1:9" ht="16">
      <c r="A707" s="36" t="s">
        <v>672</v>
      </c>
      <c r="I707" s="28">
        <f>I604+I608+I611+I670+I673+I677+I680+I687+I695+I706</f>
        <v>18582.2</v>
      </c>
    </row>
    <row r="708" spans="1:1" ht="16">
      <c r="A708" s="33" t="s">
        <v>324</v>
      </c>
    </row>
    <row r="709" spans="1:1" ht="16">
      <c r="A709" s="34" t="s">
        <v>673</v>
      </c>
    </row>
    <row r="710" spans="2:9" ht="16">
      <c r="B710" s="24" t="s">
        <v>119</v>
      </c>
      <c r="C710" s="24" t="s">
        <v>6</v>
      </c>
      <c r="D710" s="24" t="s">
        <v>104</v>
      </c>
      <c r="E710" s="24" t="s">
        <v>8</v>
      </c>
      <c r="F710" s="24" t="s">
        <v>9</v>
      </c>
      <c r="G710" s="24" t="s">
        <v>8</v>
      </c>
      <c r="H710" s="24" t="s">
        <v>674</v>
      </c>
      <c r="I710" s="27">
        <v>51.33</v>
      </c>
    </row>
    <row r="711" spans="1:9" ht="16">
      <c r="A711" s="35" t="s">
        <v>40</v>
      </c>
      <c r="I711" s="28">
        <f>I709+I710</f>
        <v>51.33</v>
      </c>
    </row>
    <row r="712" spans="1:1" ht="16">
      <c r="A712" s="34" t="s">
        <v>673</v>
      </c>
    </row>
    <row r="713" spans="2:9" ht="16">
      <c r="B713" s="24" t="s">
        <v>45</v>
      </c>
      <c r="C713" s="24" t="s">
        <v>6</v>
      </c>
      <c r="D713" s="24" t="s">
        <v>48</v>
      </c>
      <c r="E713" s="24" t="s">
        <v>8</v>
      </c>
      <c r="F713" s="24" t="s">
        <v>9</v>
      </c>
      <c r="G713" s="24" t="s">
        <v>8</v>
      </c>
      <c r="H713" s="24" t="s">
        <v>47</v>
      </c>
      <c r="I713" s="27">
        <v>230.67</v>
      </c>
    </row>
    <row r="714" spans="1:9" ht="16">
      <c r="A714" s="35" t="s">
        <v>50</v>
      </c>
      <c r="I714" s="28">
        <f>I712+I713</f>
        <v>230.67</v>
      </c>
    </row>
    <row r="715" spans="1:9" ht="16">
      <c r="A715" s="36" t="s">
        <v>675</v>
      </c>
      <c r="I715" s="28">
        <f>I711+I714</f>
        <v>282.0</v>
      </c>
    </row>
    <row r="716" spans="1:1" ht="16">
      <c r="A716" s="33" t="s">
        <v>324</v>
      </c>
    </row>
    <row r="717" spans="1:1" ht="16">
      <c r="A717" s="34" t="s">
        <v>676</v>
      </c>
    </row>
    <row r="718" spans="2:9" ht="16">
      <c r="B718" s="24" t="s">
        <v>36</v>
      </c>
      <c r="C718" s="24" t="s">
        <v>6</v>
      </c>
      <c r="D718" s="24" t="s">
        <v>124</v>
      </c>
      <c r="E718" s="24" t="s">
        <v>8</v>
      </c>
      <c r="F718" s="24" t="s">
        <v>9</v>
      </c>
      <c r="G718" s="24" t="s">
        <v>8</v>
      </c>
      <c r="H718" s="24" t="s">
        <v>677</v>
      </c>
      <c r="I718" s="27">
        <v>66.9</v>
      </c>
    </row>
    <row r="719" spans="1:9" ht="16">
      <c r="A719" s="35" t="s">
        <v>40</v>
      </c>
      <c r="I719" s="28">
        <f>I717+I718</f>
        <v>66.9</v>
      </c>
    </row>
    <row r="720" spans="1:1" ht="16">
      <c r="A720" s="34" t="s">
        <v>676</v>
      </c>
    </row>
    <row r="721" spans="2:9" ht="16">
      <c r="B721" s="24" t="s">
        <v>45</v>
      </c>
      <c r="C721" s="24" t="s">
        <v>13</v>
      </c>
      <c r="D721" s="24" t="s">
        <v>165</v>
      </c>
      <c r="E721" s="24" t="s">
        <v>8</v>
      </c>
      <c r="F721" s="24" t="s">
        <v>9</v>
      </c>
      <c r="G721" s="24" t="s">
        <v>8</v>
      </c>
      <c r="H721" s="24" t="s">
        <v>8</v>
      </c>
      <c r="I721" s="27">
        <v>153.78</v>
      </c>
    </row>
    <row r="722" spans="1:9" ht="16">
      <c r="A722" s="35" t="s">
        <v>50</v>
      </c>
      <c r="I722" s="28">
        <f>I720+I721</f>
        <v>153.78</v>
      </c>
    </row>
    <row r="723" spans="1:1" ht="16">
      <c r="A723" s="34" t="s">
        <v>676</v>
      </c>
    </row>
    <row r="724" spans="2:9" ht="16">
      <c r="B724" s="24" t="s">
        <v>51</v>
      </c>
      <c r="C724" s="24" t="s">
        <v>6</v>
      </c>
      <c r="D724" s="24" t="s">
        <v>133</v>
      </c>
      <c r="E724" s="24" t="s">
        <v>8</v>
      </c>
      <c r="F724" s="24" t="s">
        <v>9</v>
      </c>
      <c r="G724" s="24" t="s">
        <v>8</v>
      </c>
      <c r="H724" s="24" t="s">
        <v>53</v>
      </c>
      <c r="I724" s="27">
        <v>563.77</v>
      </c>
    </row>
    <row r="725" spans="1:9" ht="16">
      <c r="A725" s="35" t="s">
        <v>67</v>
      </c>
      <c r="I725" s="28">
        <f>I723+I724</f>
        <v>563.77</v>
      </c>
    </row>
    <row r="726" spans="1:9" ht="16">
      <c r="A726" s="36" t="s">
        <v>678</v>
      </c>
      <c r="I726" s="28">
        <f>I719+I722+I725</f>
        <v>784.45</v>
      </c>
    </row>
    <row r="727" spans="1:1" ht="16">
      <c r="A727" s="33" t="s">
        <v>383</v>
      </c>
    </row>
    <row r="728" spans="1:1" ht="16">
      <c r="A728" s="34" t="s">
        <v>679</v>
      </c>
    </row>
    <row r="729" spans="2:9" ht="16">
      <c r="B729" s="24" t="s">
        <v>45</v>
      </c>
      <c r="C729" s="24" t="s">
        <v>13</v>
      </c>
      <c r="D729" s="24" t="s">
        <v>165</v>
      </c>
      <c r="E729" s="24" t="s">
        <v>8</v>
      </c>
      <c r="F729" s="24" t="s">
        <v>9</v>
      </c>
      <c r="G729" s="24" t="s">
        <v>8</v>
      </c>
      <c r="H729" s="24" t="s">
        <v>8</v>
      </c>
      <c r="I729" s="27">
        <v>563.86</v>
      </c>
    </row>
    <row r="730" spans="1:9" ht="16">
      <c r="A730" s="35" t="s">
        <v>50</v>
      </c>
      <c r="I730" s="28">
        <f>I728+I729</f>
        <v>563.86</v>
      </c>
    </row>
    <row r="731" spans="1:1" ht="16">
      <c r="A731" s="34" t="s">
        <v>679</v>
      </c>
    </row>
    <row r="732" spans="2:9" ht="16">
      <c r="B732" s="24" t="s">
        <v>51</v>
      </c>
      <c r="C732" s="24" t="s">
        <v>6</v>
      </c>
      <c r="D732" s="24" t="s">
        <v>168</v>
      </c>
      <c r="E732" s="24" t="s">
        <v>8</v>
      </c>
      <c r="F732" s="24" t="s">
        <v>9</v>
      </c>
      <c r="G732" s="24" t="s">
        <v>8</v>
      </c>
      <c r="H732" s="24" t="s">
        <v>169</v>
      </c>
      <c r="I732" s="27">
        <v>1117.15</v>
      </c>
    </row>
    <row r="733" spans="1:9" ht="16">
      <c r="A733" s="35" t="s">
        <v>67</v>
      </c>
      <c r="I733" s="28">
        <f>I731+I732</f>
        <v>1117.15</v>
      </c>
    </row>
    <row r="734" spans="1:9" ht="16">
      <c r="A734" s="36" t="s">
        <v>680</v>
      </c>
      <c r="I734" s="28">
        <f>I730+I733</f>
        <v>1681.0100000000002</v>
      </c>
    </row>
    <row r="735" spans="1:1" ht="16">
      <c r="A735" s="33" t="s">
        <v>324</v>
      </c>
    </row>
    <row r="736" spans="1:1" ht="16">
      <c r="A736" s="34" t="s">
        <v>681</v>
      </c>
    </row>
    <row r="737" spans="2:9" ht="16">
      <c r="B737" s="24" t="s">
        <v>21</v>
      </c>
      <c r="C737" s="24" t="s">
        <v>13</v>
      </c>
      <c r="D737" s="24" t="s">
        <v>682</v>
      </c>
      <c r="E737" s="24" t="s">
        <v>683</v>
      </c>
      <c r="F737" s="24" t="s">
        <v>9</v>
      </c>
      <c r="G737" s="24" t="s">
        <v>8</v>
      </c>
      <c r="H737" s="24" t="s">
        <v>24</v>
      </c>
      <c r="I737" s="27">
        <v>232.68</v>
      </c>
    </row>
    <row r="738" spans="2:9" ht="16">
      <c r="B738" s="24" t="s">
        <v>119</v>
      </c>
      <c r="C738" s="24" t="s">
        <v>6</v>
      </c>
      <c r="D738" s="24" t="s">
        <v>243</v>
      </c>
      <c r="E738" s="24" t="s">
        <v>8</v>
      </c>
      <c r="F738" s="24" t="s">
        <v>9</v>
      </c>
      <c r="G738" s="24" t="s">
        <v>8</v>
      </c>
      <c r="H738" s="24" t="s">
        <v>684</v>
      </c>
      <c r="I738" s="27">
        <v>21.88</v>
      </c>
    </row>
    <row r="739" spans="2:9" ht="16">
      <c r="B739" s="24" t="s">
        <v>5</v>
      </c>
      <c r="C739" s="24" t="s">
        <v>6</v>
      </c>
      <c r="D739" s="24" t="s">
        <v>166</v>
      </c>
      <c r="E739" s="24" t="s">
        <v>8</v>
      </c>
      <c r="F739" s="24" t="s">
        <v>9</v>
      </c>
      <c r="G739" s="24" t="s">
        <v>8</v>
      </c>
      <c r="H739" s="24" t="s">
        <v>685</v>
      </c>
      <c r="I739" s="27">
        <v>95.2</v>
      </c>
    </row>
    <row r="740" spans="2:9" ht="16">
      <c r="B740" s="24" t="s">
        <v>686</v>
      </c>
      <c r="C740" s="24" t="s">
        <v>6</v>
      </c>
      <c r="D740" s="24" t="s">
        <v>166</v>
      </c>
      <c r="E740" s="24" t="s">
        <v>8</v>
      </c>
      <c r="F740" s="24" t="s">
        <v>9</v>
      </c>
      <c r="G740" s="24" t="s">
        <v>8</v>
      </c>
      <c r="H740" s="24" t="s">
        <v>687</v>
      </c>
      <c r="I740" s="27">
        <v>108.12</v>
      </c>
    </row>
    <row r="741" spans="2:9" ht="16">
      <c r="B741" s="24" t="s">
        <v>316</v>
      </c>
      <c r="C741" s="24" t="s">
        <v>6</v>
      </c>
      <c r="D741" s="24" t="s">
        <v>688</v>
      </c>
      <c r="E741" s="24" t="s">
        <v>8</v>
      </c>
      <c r="F741" s="24" t="s">
        <v>9</v>
      </c>
      <c r="G741" s="24" t="s">
        <v>8</v>
      </c>
      <c r="H741" s="24" t="s">
        <v>689</v>
      </c>
      <c r="I741" s="27">
        <v>98.93</v>
      </c>
    </row>
    <row r="742" spans="2:9" ht="16">
      <c r="B742" s="24" t="s">
        <v>316</v>
      </c>
      <c r="C742" s="24" t="s">
        <v>6</v>
      </c>
      <c r="D742" s="24" t="s">
        <v>166</v>
      </c>
      <c r="E742" s="24" t="s">
        <v>8</v>
      </c>
      <c r="F742" s="24" t="s">
        <v>9</v>
      </c>
      <c r="G742" s="24" t="s">
        <v>8</v>
      </c>
      <c r="H742" s="24" t="s">
        <v>690</v>
      </c>
      <c r="I742" s="27">
        <v>92.79</v>
      </c>
    </row>
    <row r="743" spans="2:9" ht="16">
      <c r="B743" s="24" t="s">
        <v>127</v>
      </c>
      <c r="C743" s="24" t="s">
        <v>6</v>
      </c>
      <c r="D743" s="24" t="s">
        <v>691</v>
      </c>
      <c r="E743" s="24" t="s">
        <v>8</v>
      </c>
      <c r="F743" s="24" t="s">
        <v>9</v>
      </c>
      <c r="G743" s="24" t="s">
        <v>8</v>
      </c>
      <c r="H743" s="24" t="s">
        <v>692</v>
      </c>
      <c r="I743" s="27">
        <v>38.24</v>
      </c>
    </row>
    <row r="744" spans="2:9" ht="16">
      <c r="B744" s="24" t="s">
        <v>693</v>
      </c>
      <c r="C744" s="24" t="s">
        <v>6</v>
      </c>
      <c r="D744" s="24" t="s">
        <v>235</v>
      </c>
      <c r="E744" s="24" t="s">
        <v>8</v>
      </c>
      <c r="F744" s="24" t="s">
        <v>9</v>
      </c>
      <c r="G744" s="24" t="s">
        <v>8</v>
      </c>
      <c r="H744" s="24" t="s">
        <v>694</v>
      </c>
      <c r="I744" s="27">
        <v>19.0</v>
      </c>
    </row>
    <row r="745" spans="2:9" ht="16">
      <c r="B745" s="24" t="s">
        <v>127</v>
      </c>
      <c r="C745" s="24" t="s">
        <v>6</v>
      </c>
      <c r="D745" s="24" t="s">
        <v>180</v>
      </c>
      <c r="E745" s="24" t="s">
        <v>8</v>
      </c>
      <c r="F745" s="24" t="s">
        <v>9</v>
      </c>
      <c r="G745" s="24" t="s">
        <v>8</v>
      </c>
      <c r="H745" s="24" t="s">
        <v>695</v>
      </c>
      <c r="I745" s="27">
        <v>24.47</v>
      </c>
    </row>
    <row r="746" spans="2:9" ht="16">
      <c r="B746" s="24" t="s">
        <v>316</v>
      </c>
      <c r="C746" s="24" t="s">
        <v>6</v>
      </c>
      <c r="D746" s="24" t="s">
        <v>180</v>
      </c>
      <c r="E746" s="24" t="s">
        <v>8</v>
      </c>
      <c r="F746" s="24" t="s">
        <v>9</v>
      </c>
      <c r="G746" s="24" t="s">
        <v>8</v>
      </c>
      <c r="H746" s="24" t="s">
        <v>696</v>
      </c>
      <c r="I746" s="27">
        <v>37.71</v>
      </c>
    </row>
    <row r="747" spans="2:9" ht="16">
      <c r="B747" s="24" t="s">
        <v>333</v>
      </c>
      <c r="C747" s="24" t="s">
        <v>6</v>
      </c>
      <c r="D747" s="24" t="s">
        <v>166</v>
      </c>
      <c r="E747" s="24" t="s">
        <v>8</v>
      </c>
      <c r="F747" s="24" t="s">
        <v>9</v>
      </c>
      <c r="G747" s="24" t="s">
        <v>8</v>
      </c>
      <c r="H747" s="24" t="s">
        <v>697</v>
      </c>
      <c r="I747" s="27">
        <v>4.89</v>
      </c>
    </row>
    <row r="748" spans="1:9" ht="16">
      <c r="A748" s="35" t="s">
        <v>40</v>
      </c>
      <c r="I748" s="28">
        <f>I736+I737+I738+I739+I740+I741+I742+I743+I744+I745+I746+I747</f>
        <v>773.91</v>
      </c>
    </row>
    <row r="749" spans="1:1" ht="16">
      <c r="A749" s="34" t="s">
        <v>681</v>
      </c>
    </row>
    <row r="750" spans="2:9" ht="16">
      <c r="B750" s="24" t="s">
        <v>159</v>
      </c>
      <c r="C750" s="24" t="s">
        <v>13</v>
      </c>
      <c r="D750" s="24" t="s">
        <v>273</v>
      </c>
      <c r="E750" s="24" t="s">
        <v>698</v>
      </c>
      <c r="F750" s="24" t="s">
        <v>9</v>
      </c>
      <c r="G750" s="24" t="s">
        <v>8</v>
      </c>
      <c r="H750" s="24" t="s">
        <v>699</v>
      </c>
      <c r="I750" s="27">
        <v>1875.0</v>
      </c>
    </row>
    <row r="751" spans="1:9" ht="16">
      <c r="A751" s="35" t="s">
        <v>164</v>
      </c>
      <c r="I751" s="28">
        <f>I749+I750</f>
        <v>1875.0</v>
      </c>
    </row>
    <row r="752" spans="1:1" ht="16">
      <c r="A752" s="34" t="s">
        <v>681</v>
      </c>
    </row>
    <row r="753" spans="2:9" ht="16">
      <c r="B753" s="24" t="s">
        <v>45</v>
      </c>
      <c r="C753" s="24" t="s">
        <v>6</v>
      </c>
      <c r="D753" s="24" t="s">
        <v>240</v>
      </c>
      <c r="E753" s="24" t="s">
        <v>8</v>
      </c>
      <c r="F753" s="24" t="s">
        <v>9</v>
      </c>
      <c r="G753" s="24" t="s">
        <v>8</v>
      </c>
      <c r="H753" s="24" t="s">
        <v>47</v>
      </c>
      <c r="I753" s="27">
        <v>102.52</v>
      </c>
    </row>
    <row r="754" spans="2:9" ht="16">
      <c r="B754" s="24" t="s">
        <v>45</v>
      </c>
      <c r="C754" s="24" t="s">
        <v>6</v>
      </c>
      <c r="D754" s="24" t="s">
        <v>273</v>
      </c>
      <c r="E754" s="24" t="s">
        <v>8</v>
      </c>
      <c r="F754" s="24" t="s">
        <v>9</v>
      </c>
      <c r="G754" s="24" t="s">
        <v>8</v>
      </c>
      <c r="H754" s="24" t="s">
        <v>47</v>
      </c>
      <c r="I754" s="27">
        <v>615.12</v>
      </c>
    </row>
    <row r="755" spans="2:9" ht="16">
      <c r="B755" s="24" t="s">
        <v>45</v>
      </c>
      <c r="C755" s="24" t="s">
        <v>13</v>
      </c>
      <c r="D755" s="24" t="s">
        <v>165</v>
      </c>
      <c r="E755" s="24" t="s">
        <v>8</v>
      </c>
      <c r="F755" s="24" t="s">
        <v>9</v>
      </c>
      <c r="G755" s="24" t="s">
        <v>8</v>
      </c>
      <c r="H755" s="24" t="s">
        <v>8</v>
      </c>
      <c r="I755" s="27">
        <v>230.67</v>
      </c>
    </row>
    <row r="756" spans="1:9" ht="16">
      <c r="A756" s="35" t="s">
        <v>50</v>
      </c>
      <c r="I756" s="28">
        <f>I752+I753+I754+I755</f>
        <v>948.31</v>
      </c>
    </row>
    <row r="757" spans="1:1" ht="16">
      <c r="A757" s="34" t="s">
        <v>681</v>
      </c>
    </row>
    <row r="758" spans="2:9" ht="16">
      <c r="B758" s="24" t="s">
        <v>51</v>
      </c>
      <c r="C758" s="24" t="s">
        <v>6</v>
      </c>
      <c r="D758" s="24" t="s">
        <v>166</v>
      </c>
      <c r="E758" s="24" t="s">
        <v>8</v>
      </c>
      <c r="F758" s="24" t="s">
        <v>9</v>
      </c>
      <c r="G758" s="24" t="s">
        <v>8</v>
      </c>
      <c r="H758" s="24" t="s">
        <v>167</v>
      </c>
      <c r="I758" s="27">
        <v>322.78</v>
      </c>
    </row>
    <row r="759" spans="2:9" ht="16">
      <c r="B759" s="24" t="s">
        <v>51</v>
      </c>
      <c r="C759" s="24" t="s">
        <v>6</v>
      </c>
      <c r="D759" s="24" t="s">
        <v>168</v>
      </c>
      <c r="E759" s="24" t="s">
        <v>8</v>
      </c>
      <c r="F759" s="24" t="s">
        <v>9</v>
      </c>
      <c r="G759" s="24" t="s">
        <v>8</v>
      </c>
      <c r="H759" s="24" t="s">
        <v>169</v>
      </c>
      <c r="I759" s="27">
        <v>371.54</v>
      </c>
    </row>
    <row r="760" spans="2:9" ht="16">
      <c r="B760" s="24" t="s">
        <v>51</v>
      </c>
      <c r="C760" s="24" t="s">
        <v>6</v>
      </c>
      <c r="D760" s="24" t="s">
        <v>235</v>
      </c>
      <c r="E760" s="24" t="s">
        <v>8</v>
      </c>
      <c r="F760" s="24" t="s">
        <v>9</v>
      </c>
      <c r="G760" s="24" t="s">
        <v>8</v>
      </c>
      <c r="H760" s="24" t="s">
        <v>279</v>
      </c>
      <c r="I760" s="27">
        <v>1174.61</v>
      </c>
    </row>
    <row r="761" spans="2:9" ht="16">
      <c r="B761" s="24" t="s">
        <v>51</v>
      </c>
      <c r="C761" s="24" t="s">
        <v>6</v>
      </c>
      <c r="D761" s="24" t="s">
        <v>283</v>
      </c>
      <c r="E761" s="24" t="s">
        <v>8</v>
      </c>
      <c r="F761" s="24" t="s">
        <v>9</v>
      </c>
      <c r="G761" s="24" t="s">
        <v>8</v>
      </c>
      <c r="H761" s="24" t="s">
        <v>53</v>
      </c>
      <c r="I761" s="27">
        <v>192.18</v>
      </c>
    </row>
    <row r="762" spans="1:9" ht="16">
      <c r="A762" s="35" t="s">
        <v>67</v>
      </c>
      <c r="I762" s="28">
        <f>I757+I758+I759+I760+I761</f>
        <v>2061.1099999999997</v>
      </c>
    </row>
    <row r="763" spans="1:9" ht="16">
      <c r="A763" s="36" t="s">
        <v>700</v>
      </c>
      <c r="I763" s="28">
        <f>I748+I751+I756+I762</f>
        <v>5658.33</v>
      </c>
    </row>
    <row r="764" spans="1:1" ht="16">
      <c r="A764" s="33" t="s">
        <v>324</v>
      </c>
    </row>
    <row r="765" spans="1:1" ht="16">
      <c r="A765" s="34" t="s">
        <v>701</v>
      </c>
    </row>
    <row r="766" spans="2:9" ht="16">
      <c r="B766" s="24" t="s">
        <v>312</v>
      </c>
      <c r="C766" s="24" t="s">
        <v>6</v>
      </c>
      <c r="D766" s="24" t="s">
        <v>209</v>
      </c>
      <c r="E766" s="24" t="s">
        <v>8</v>
      </c>
      <c r="F766" s="24" t="s">
        <v>9</v>
      </c>
      <c r="G766" s="24" t="s">
        <v>8</v>
      </c>
      <c r="H766" s="24" t="s">
        <v>702</v>
      </c>
      <c r="I766" s="27">
        <v>192.89</v>
      </c>
    </row>
    <row r="767" spans="2:9" ht="16">
      <c r="B767" s="24" t="s">
        <v>119</v>
      </c>
      <c r="C767" s="24" t="s">
        <v>6</v>
      </c>
      <c r="D767" s="24" t="s">
        <v>209</v>
      </c>
      <c r="E767" s="24" t="s">
        <v>8</v>
      </c>
      <c r="F767" s="24" t="s">
        <v>9</v>
      </c>
      <c r="G767" s="24" t="s">
        <v>8</v>
      </c>
      <c r="H767" s="24" t="s">
        <v>703</v>
      </c>
      <c r="I767" s="27">
        <v>91.2</v>
      </c>
    </row>
    <row r="768" spans="1:9" ht="16">
      <c r="A768" s="35" t="s">
        <v>40</v>
      </c>
      <c r="I768" s="28">
        <f>I765+I766+I767</f>
        <v>284.09</v>
      </c>
    </row>
    <row r="769" spans="1:1" ht="16">
      <c r="A769" s="34" t="s">
        <v>701</v>
      </c>
    </row>
    <row r="770" spans="2:9" ht="16">
      <c r="B770" s="24" t="s">
        <v>45</v>
      </c>
      <c r="C770" s="24" t="s">
        <v>13</v>
      </c>
      <c r="D770" s="24" t="s">
        <v>165</v>
      </c>
      <c r="E770" s="24" t="s">
        <v>8</v>
      </c>
      <c r="F770" s="24" t="s">
        <v>9</v>
      </c>
      <c r="G770" s="24" t="s">
        <v>8</v>
      </c>
      <c r="H770" s="24" t="s">
        <v>8</v>
      </c>
      <c r="I770" s="27">
        <v>871.43</v>
      </c>
    </row>
    <row r="771" spans="1:9" ht="16">
      <c r="A771" s="35" t="s">
        <v>50</v>
      </c>
      <c r="I771" s="28">
        <f>I769+I770</f>
        <v>871.43</v>
      </c>
    </row>
    <row r="772" spans="1:1" ht="16">
      <c r="A772" s="34" t="s">
        <v>701</v>
      </c>
    </row>
    <row r="773" spans="2:9" ht="16">
      <c r="B773" s="24" t="s">
        <v>51</v>
      </c>
      <c r="C773" s="24" t="s">
        <v>6</v>
      </c>
      <c r="D773" s="24" t="s">
        <v>235</v>
      </c>
      <c r="E773" s="24" t="s">
        <v>8</v>
      </c>
      <c r="F773" s="24" t="s">
        <v>9</v>
      </c>
      <c r="G773" s="24" t="s">
        <v>8</v>
      </c>
      <c r="H773" s="24" t="s">
        <v>279</v>
      </c>
      <c r="I773" s="27">
        <v>1645.29</v>
      </c>
    </row>
    <row r="774" spans="1:9" ht="16">
      <c r="A774" s="35" t="s">
        <v>67</v>
      </c>
      <c r="I774" s="28">
        <f>I772+I773</f>
        <v>1645.29</v>
      </c>
    </row>
    <row r="775" spans="1:9" ht="16">
      <c r="A775" s="36" t="s">
        <v>704</v>
      </c>
      <c r="I775" s="28">
        <f>I768+I771+I774</f>
        <v>2800.81</v>
      </c>
    </row>
    <row r="776" spans="1:1" ht="16">
      <c r="A776" s="33" t="s">
        <v>324</v>
      </c>
    </row>
    <row r="777" spans="1:1" ht="16">
      <c r="A777" s="34" t="s">
        <v>705</v>
      </c>
    </row>
    <row r="778" spans="2:9" ht="16">
      <c r="B778" s="24" t="s">
        <v>36</v>
      </c>
      <c r="C778" s="24" t="s">
        <v>6</v>
      </c>
      <c r="D778" s="24" t="s">
        <v>706</v>
      </c>
      <c r="E778" s="24" t="s">
        <v>8</v>
      </c>
      <c r="F778" s="24" t="s">
        <v>9</v>
      </c>
      <c r="G778" s="24" t="s">
        <v>8</v>
      </c>
      <c r="H778" s="24" t="s">
        <v>707</v>
      </c>
      <c r="I778" s="27">
        <v>66.7</v>
      </c>
    </row>
    <row r="779" spans="2:9" ht="16">
      <c r="B779" s="24" t="s">
        <v>119</v>
      </c>
      <c r="C779" s="24" t="s">
        <v>6</v>
      </c>
      <c r="D779" s="24" t="s">
        <v>235</v>
      </c>
      <c r="E779" s="24" t="s">
        <v>8</v>
      </c>
      <c r="F779" s="24" t="s">
        <v>9</v>
      </c>
      <c r="G779" s="24" t="s">
        <v>8</v>
      </c>
      <c r="H779" s="24" t="s">
        <v>708</v>
      </c>
      <c r="I779" s="27">
        <v>92.1</v>
      </c>
    </row>
    <row r="780" spans="2:9" ht="16">
      <c r="B780" s="24" t="s">
        <v>119</v>
      </c>
      <c r="C780" s="24" t="s">
        <v>6</v>
      </c>
      <c r="D780" s="24" t="s">
        <v>709</v>
      </c>
      <c r="E780" s="24" t="s">
        <v>8</v>
      </c>
      <c r="F780" s="24" t="s">
        <v>9</v>
      </c>
      <c r="G780" s="24" t="s">
        <v>8</v>
      </c>
      <c r="H780" s="24" t="s">
        <v>710</v>
      </c>
      <c r="I780" s="27">
        <v>241.11</v>
      </c>
    </row>
    <row r="781" spans="1:9" ht="16">
      <c r="A781" s="35" t="s">
        <v>40</v>
      </c>
      <c r="I781" s="28">
        <f>I777+I778+I779+I780</f>
        <v>399.91</v>
      </c>
    </row>
    <row r="782" spans="1:1" ht="16">
      <c r="A782" s="34" t="s">
        <v>705</v>
      </c>
    </row>
    <row r="783" spans="2:9" ht="16">
      <c r="B783" s="24" t="s">
        <v>45</v>
      </c>
      <c r="C783" s="24" t="s">
        <v>6</v>
      </c>
      <c r="D783" s="24" t="s">
        <v>273</v>
      </c>
      <c r="E783" s="24" t="s">
        <v>8</v>
      </c>
      <c r="F783" s="24" t="s">
        <v>9</v>
      </c>
      <c r="G783" s="24" t="s">
        <v>8</v>
      </c>
      <c r="H783" s="24" t="s">
        <v>47</v>
      </c>
      <c r="I783" s="27">
        <v>1947.88</v>
      </c>
    </row>
    <row r="784" spans="1:9" ht="16">
      <c r="A784" s="35" t="s">
        <v>50</v>
      </c>
      <c r="I784" s="28">
        <f>I782+I783</f>
        <v>1947.88</v>
      </c>
    </row>
    <row r="785" spans="1:1" ht="16">
      <c r="A785" s="34" t="s">
        <v>705</v>
      </c>
    </row>
    <row r="786" spans="2:9" ht="16">
      <c r="B786" s="24" t="s">
        <v>51</v>
      </c>
      <c r="C786" s="24" t="s">
        <v>6</v>
      </c>
      <c r="D786" s="24" t="s">
        <v>165</v>
      </c>
      <c r="E786" s="24" t="s">
        <v>8</v>
      </c>
      <c r="F786" s="24" t="s">
        <v>9</v>
      </c>
      <c r="G786" s="24" t="s">
        <v>8</v>
      </c>
      <c r="H786" s="24" t="s">
        <v>278</v>
      </c>
      <c r="I786" s="27">
        <v>3529.88</v>
      </c>
    </row>
    <row r="787" spans="2:9" ht="16">
      <c r="B787" s="24" t="s">
        <v>51</v>
      </c>
      <c r="C787" s="24" t="s">
        <v>6</v>
      </c>
      <c r="D787" s="24" t="s">
        <v>285</v>
      </c>
      <c r="E787" s="24" t="s">
        <v>8</v>
      </c>
      <c r="F787" s="24" t="s">
        <v>9</v>
      </c>
      <c r="G787" s="24" t="s">
        <v>8</v>
      </c>
      <c r="H787" s="24" t="s">
        <v>53</v>
      </c>
      <c r="I787" s="27">
        <v>197.51</v>
      </c>
    </row>
    <row r="788" spans="1:9" ht="16">
      <c r="A788" s="35" t="s">
        <v>67</v>
      </c>
      <c r="I788" s="28">
        <f>I785+I786+I787</f>
        <v>3727.3900000000003</v>
      </c>
    </row>
    <row r="789" spans="1:9" ht="16">
      <c r="A789" s="36" t="s">
        <v>711</v>
      </c>
      <c r="I789" s="28">
        <f>I781+I784+I788</f>
        <v>6075.18</v>
      </c>
    </row>
    <row r="790" spans="1:1" ht="16">
      <c r="A790" s="33" t="s">
        <v>324</v>
      </c>
    </row>
    <row r="791" spans="1:1" ht="16">
      <c r="A791" s="34" t="s">
        <v>712</v>
      </c>
    </row>
    <row r="792" spans="2:9" ht="16">
      <c r="B792" s="24" t="s">
        <v>713</v>
      </c>
      <c r="C792" s="24" t="s">
        <v>6</v>
      </c>
      <c r="D792" s="24" t="s">
        <v>273</v>
      </c>
      <c r="E792" s="24" t="s">
        <v>714</v>
      </c>
      <c r="F792" s="24" t="s">
        <v>9</v>
      </c>
      <c r="G792" s="24" t="s">
        <v>8</v>
      </c>
      <c r="H792" s="24" t="s">
        <v>715</v>
      </c>
      <c r="I792" s="27">
        <v>120.04</v>
      </c>
    </row>
    <row r="793" spans="2:9" ht="16">
      <c r="B793" s="24" t="s">
        <v>21</v>
      </c>
      <c r="C793" s="24" t="s">
        <v>13</v>
      </c>
      <c r="D793" s="24" t="s">
        <v>176</v>
      </c>
      <c r="E793" s="24" t="s">
        <v>716</v>
      </c>
      <c r="F793" s="24" t="s">
        <v>9</v>
      </c>
      <c r="G793" s="24" t="s">
        <v>8</v>
      </c>
      <c r="H793" s="24" t="s">
        <v>24</v>
      </c>
      <c r="I793" s="27">
        <v>787.35</v>
      </c>
    </row>
    <row r="794" spans="2:9" ht="16">
      <c r="B794" s="24" t="s">
        <v>119</v>
      </c>
      <c r="C794" s="24" t="s">
        <v>6</v>
      </c>
      <c r="D794" s="24" t="s">
        <v>176</v>
      </c>
      <c r="E794" s="24" t="s">
        <v>8</v>
      </c>
      <c r="F794" s="24" t="s">
        <v>9</v>
      </c>
      <c r="G794" s="24" t="s">
        <v>8</v>
      </c>
      <c r="H794" s="24" t="s">
        <v>717</v>
      </c>
      <c r="I794" s="27">
        <v>282.89</v>
      </c>
    </row>
    <row r="795" spans="2:9" ht="16">
      <c r="B795" s="24" t="s">
        <v>36</v>
      </c>
      <c r="C795" s="24" t="s">
        <v>6</v>
      </c>
      <c r="D795" s="24" t="s">
        <v>142</v>
      </c>
      <c r="E795" s="24" t="s">
        <v>8</v>
      </c>
      <c r="F795" s="24" t="s">
        <v>9</v>
      </c>
      <c r="G795" s="24" t="s">
        <v>8</v>
      </c>
      <c r="H795" s="24" t="s">
        <v>718</v>
      </c>
      <c r="I795" s="27">
        <v>74.23</v>
      </c>
    </row>
    <row r="796" spans="2:9" ht="16">
      <c r="B796" s="24" t="s">
        <v>119</v>
      </c>
      <c r="C796" s="24" t="s">
        <v>6</v>
      </c>
      <c r="D796" s="24" t="s">
        <v>533</v>
      </c>
      <c r="E796" s="24" t="s">
        <v>8</v>
      </c>
      <c r="F796" s="24" t="s">
        <v>9</v>
      </c>
      <c r="G796" s="24" t="s">
        <v>8</v>
      </c>
      <c r="H796" s="24" t="s">
        <v>8</v>
      </c>
      <c r="I796" s="27">
        <v>41.68</v>
      </c>
    </row>
    <row r="797" spans="1:9" ht="16">
      <c r="A797" s="35" t="s">
        <v>40</v>
      </c>
      <c r="I797" s="28">
        <f>I791+I792+I793+I794+I795+I796</f>
        <v>1306.19</v>
      </c>
    </row>
    <row r="798" spans="1:1" ht="16">
      <c r="A798" s="34" t="s">
        <v>712</v>
      </c>
    </row>
    <row r="799" spans="2:9" ht="16">
      <c r="B799" s="24" t="s">
        <v>45</v>
      </c>
      <c r="C799" s="24" t="s">
        <v>6</v>
      </c>
      <c r="D799" s="24" t="s">
        <v>240</v>
      </c>
      <c r="E799" s="24" t="s">
        <v>8</v>
      </c>
      <c r="F799" s="24" t="s">
        <v>9</v>
      </c>
      <c r="G799" s="24" t="s">
        <v>8</v>
      </c>
      <c r="H799" s="24" t="s">
        <v>47</v>
      </c>
      <c r="I799" s="27">
        <v>627.94</v>
      </c>
    </row>
    <row r="800" spans="2:9" ht="16">
      <c r="B800" s="24" t="s">
        <v>45</v>
      </c>
      <c r="C800" s="24" t="s">
        <v>6</v>
      </c>
      <c r="D800" s="24" t="s">
        <v>273</v>
      </c>
      <c r="E800" s="24" t="s">
        <v>8</v>
      </c>
      <c r="F800" s="24" t="s">
        <v>9</v>
      </c>
      <c r="G800" s="24" t="s">
        <v>8</v>
      </c>
      <c r="H800" s="24" t="s">
        <v>47</v>
      </c>
      <c r="I800" s="27">
        <v>538.23</v>
      </c>
    </row>
    <row r="801" spans="1:9" ht="16">
      <c r="A801" s="35" t="s">
        <v>50</v>
      </c>
      <c r="I801" s="28">
        <f>I798+I799+I800</f>
        <v>1166.17</v>
      </c>
    </row>
    <row r="802" spans="1:1" ht="16">
      <c r="A802" s="34" t="s">
        <v>712</v>
      </c>
    </row>
    <row r="803" spans="2:9" ht="16">
      <c r="B803" s="24" t="s">
        <v>51</v>
      </c>
      <c r="C803" s="24" t="s">
        <v>6</v>
      </c>
      <c r="D803" s="24" t="s">
        <v>287</v>
      </c>
      <c r="E803" s="24" t="s">
        <v>8</v>
      </c>
      <c r="F803" s="24" t="s">
        <v>9</v>
      </c>
      <c r="G803" s="24" t="s">
        <v>8</v>
      </c>
      <c r="H803" s="24" t="s">
        <v>53</v>
      </c>
      <c r="I803" s="27">
        <v>1003.86</v>
      </c>
    </row>
    <row r="804" spans="2:9" ht="16">
      <c r="B804" s="24" t="s">
        <v>51</v>
      </c>
      <c r="C804" s="24" t="s">
        <v>6</v>
      </c>
      <c r="D804" s="24" t="s">
        <v>419</v>
      </c>
      <c r="E804" s="24" t="s">
        <v>8</v>
      </c>
      <c r="F804" s="24" t="s">
        <v>9</v>
      </c>
      <c r="G804" s="24" t="s">
        <v>8</v>
      </c>
      <c r="H804" s="24" t="s">
        <v>53</v>
      </c>
      <c r="I804" s="27">
        <v>263.74</v>
      </c>
    </row>
    <row r="805" spans="2:9" ht="16">
      <c r="B805" s="24" t="s">
        <v>51</v>
      </c>
      <c r="C805" s="24" t="s">
        <v>6</v>
      </c>
      <c r="D805" s="24" t="s">
        <v>285</v>
      </c>
      <c r="E805" s="24" t="s">
        <v>8</v>
      </c>
      <c r="F805" s="24" t="s">
        <v>9</v>
      </c>
      <c r="G805" s="24" t="s">
        <v>8</v>
      </c>
      <c r="H805" s="24" t="s">
        <v>53</v>
      </c>
      <c r="I805" s="27">
        <v>1505.98</v>
      </c>
    </row>
    <row r="806" spans="1:9" ht="16">
      <c r="A806" s="35" t="s">
        <v>67</v>
      </c>
      <c r="I806" s="28">
        <f>I802+I803+I804+I805</f>
        <v>2773.58</v>
      </c>
    </row>
    <row r="807" spans="1:9" ht="16">
      <c r="A807" s="36" t="s">
        <v>719</v>
      </c>
      <c r="I807" s="28">
        <f>I797+I801+I806</f>
        <v>5245.9400000000005</v>
      </c>
    </row>
    <row r="808" spans="1:1" ht="16">
      <c r="A808" s="33" t="s">
        <v>324</v>
      </c>
    </row>
    <row r="809" spans="1:1" ht="16">
      <c r="A809" s="34" t="s">
        <v>720</v>
      </c>
    </row>
    <row r="810" spans="2:9" ht="16">
      <c r="B810" s="24" t="s">
        <v>589</v>
      </c>
      <c r="C810" s="24" t="s">
        <v>6</v>
      </c>
      <c r="D810" s="24" t="s">
        <v>721</v>
      </c>
      <c r="E810" s="24" t="s">
        <v>722</v>
      </c>
      <c r="F810" s="24" t="s">
        <v>9</v>
      </c>
      <c r="G810" s="24" t="s">
        <v>8</v>
      </c>
      <c r="H810" s="24" t="s">
        <v>723</v>
      </c>
      <c r="I810" s="27">
        <v>123.04</v>
      </c>
    </row>
    <row r="811" spans="2:9" ht="16">
      <c r="B811" s="24" t="s">
        <v>21</v>
      </c>
      <c r="C811" s="24" t="s">
        <v>13</v>
      </c>
      <c r="D811" s="24" t="s">
        <v>520</v>
      </c>
      <c r="E811" s="24" t="s">
        <v>724</v>
      </c>
      <c r="F811" s="24" t="s">
        <v>9</v>
      </c>
      <c r="G811" s="24" t="s">
        <v>8</v>
      </c>
      <c r="H811" s="24" t="s">
        <v>24</v>
      </c>
      <c r="I811" s="27">
        <v>111.92</v>
      </c>
    </row>
    <row r="812" spans="2:9" ht="16">
      <c r="B812" s="24" t="s">
        <v>21</v>
      </c>
      <c r="C812" s="24" t="s">
        <v>13</v>
      </c>
      <c r="D812" s="24" t="s">
        <v>520</v>
      </c>
      <c r="E812" s="24" t="s">
        <v>725</v>
      </c>
      <c r="F812" s="24" t="s">
        <v>9</v>
      </c>
      <c r="G812" s="24" t="s">
        <v>8</v>
      </c>
      <c r="H812" s="24" t="s">
        <v>24</v>
      </c>
      <c r="I812" s="27">
        <v>368.24</v>
      </c>
    </row>
    <row r="813" spans="2:9" ht="16">
      <c r="B813" s="24" t="s">
        <v>21</v>
      </c>
      <c r="C813" s="24" t="s">
        <v>13</v>
      </c>
      <c r="D813" s="24" t="s">
        <v>520</v>
      </c>
      <c r="E813" s="24" t="s">
        <v>726</v>
      </c>
      <c r="F813" s="24" t="s">
        <v>9</v>
      </c>
      <c r="G813" s="24" t="s">
        <v>8</v>
      </c>
      <c r="H813" s="24" t="s">
        <v>24</v>
      </c>
      <c r="I813" s="27">
        <v>190.92</v>
      </c>
    </row>
    <row r="814" spans="2:9" ht="16">
      <c r="B814" s="24" t="s">
        <v>119</v>
      </c>
      <c r="C814" s="24" t="s">
        <v>6</v>
      </c>
      <c r="D814" s="24" t="s">
        <v>245</v>
      </c>
      <c r="E814" s="24" t="s">
        <v>8</v>
      </c>
      <c r="F814" s="24" t="s">
        <v>9</v>
      </c>
      <c r="G814" s="24" t="s">
        <v>8</v>
      </c>
      <c r="H814" s="24" t="s">
        <v>727</v>
      </c>
      <c r="I814" s="27">
        <v>60.15</v>
      </c>
    </row>
    <row r="815" spans="2:9" ht="16">
      <c r="B815" s="24" t="s">
        <v>119</v>
      </c>
      <c r="C815" s="24" t="s">
        <v>6</v>
      </c>
      <c r="D815" s="24" t="s">
        <v>728</v>
      </c>
      <c r="E815" s="24" t="s">
        <v>8</v>
      </c>
      <c r="F815" s="24" t="s">
        <v>9</v>
      </c>
      <c r="G815" s="24" t="s">
        <v>8</v>
      </c>
      <c r="H815" s="24" t="s">
        <v>729</v>
      </c>
      <c r="I815" s="27">
        <v>76.86</v>
      </c>
    </row>
    <row r="816" spans="2:9" ht="16">
      <c r="B816" s="24" t="s">
        <v>589</v>
      </c>
      <c r="C816" s="24" t="s">
        <v>6</v>
      </c>
      <c r="D816" s="24" t="s">
        <v>499</v>
      </c>
      <c r="E816" s="24" t="s">
        <v>8</v>
      </c>
      <c r="F816" s="24" t="s">
        <v>9</v>
      </c>
      <c r="G816" s="24" t="s">
        <v>8</v>
      </c>
      <c r="H816" s="24" t="s">
        <v>730</v>
      </c>
      <c r="I816" s="27">
        <v>225.52</v>
      </c>
    </row>
    <row r="817" spans="2:9" ht="16">
      <c r="B817" s="24" t="s">
        <v>589</v>
      </c>
      <c r="C817" s="24" t="s">
        <v>6</v>
      </c>
      <c r="D817" s="24" t="s">
        <v>731</v>
      </c>
      <c r="E817" s="24" t="s">
        <v>8</v>
      </c>
      <c r="F817" s="24" t="s">
        <v>9</v>
      </c>
      <c r="G817" s="24" t="s">
        <v>8</v>
      </c>
      <c r="H817" s="24" t="s">
        <v>730</v>
      </c>
      <c r="I817" s="27">
        <v>-24.39</v>
      </c>
    </row>
    <row r="818" spans="2:9" ht="16">
      <c r="B818" s="24" t="s">
        <v>589</v>
      </c>
      <c r="C818" s="24" t="s">
        <v>6</v>
      </c>
      <c r="D818" s="24" t="s">
        <v>731</v>
      </c>
      <c r="E818" s="24" t="s">
        <v>8</v>
      </c>
      <c r="F818" s="24" t="s">
        <v>9</v>
      </c>
      <c r="G818" s="24" t="s">
        <v>8</v>
      </c>
      <c r="H818" s="24" t="s">
        <v>730</v>
      </c>
      <c r="I818" s="27">
        <v>24.39</v>
      </c>
    </row>
    <row r="819" spans="2:9" ht="16">
      <c r="B819" s="24" t="s">
        <v>589</v>
      </c>
      <c r="C819" s="24" t="s">
        <v>6</v>
      </c>
      <c r="D819" s="24" t="s">
        <v>499</v>
      </c>
      <c r="E819" s="24" t="s">
        <v>8</v>
      </c>
      <c r="F819" s="24" t="s">
        <v>9</v>
      </c>
      <c r="G819" s="24" t="s">
        <v>8</v>
      </c>
      <c r="H819" s="24" t="s">
        <v>730</v>
      </c>
      <c r="I819" s="27">
        <v>-225.52</v>
      </c>
    </row>
    <row r="820" spans="2:9" ht="16">
      <c r="B820" s="24" t="s">
        <v>459</v>
      </c>
      <c r="C820" s="24" t="s">
        <v>13</v>
      </c>
      <c r="D820" s="24" t="s">
        <v>732</v>
      </c>
      <c r="E820" s="24" t="s">
        <v>733</v>
      </c>
      <c r="F820" s="24" t="s">
        <v>9</v>
      </c>
      <c r="G820" s="24" t="s">
        <v>8</v>
      </c>
      <c r="H820" s="24" t="s">
        <v>734</v>
      </c>
      <c r="I820" s="27">
        <v>3408.0</v>
      </c>
    </row>
    <row r="821" spans="2:9" ht="16">
      <c r="B821" s="24" t="s">
        <v>119</v>
      </c>
      <c r="C821" s="24" t="s">
        <v>6</v>
      </c>
      <c r="D821" s="24" t="s">
        <v>732</v>
      </c>
      <c r="E821" s="24" t="s">
        <v>8</v>
      </c>
      <c r="F821" s="24" t="s">
        <v>9</v>
      </c>
      <c r="G821" s="24" t="s">
        <v>8</v>
      </c>
      <c r="H821" s="24" t="s">
        <v>642</v>
      </c>
      <c r="I821" s="27">
        <v>73.65</v>
      </c>
    </row>
    <row r="822" spans="2:9" ht="16">
      <c r="B822" s="24" t="s">
        <v>589</v>
      </c>
      <c r="C822" s="24" t="s">
        <v>6</v>
      </c>
      <c r="D822" s="24" t="s">
        <v>721</v>
      </c>
      <c r="E822" s="24" t="s">
        <v>722</v>
      </c>
      <c r="F822" s="24" t="s">
        <v>9</v>
      </c>
      <c r="G822" s="24" t="s">
        <v>8</v>
      </c>
      <c r="H822" s="24" t="s">
        <v>735</v>
      </c>
      <c r="I822" s="27">
        <v>21.86</v>
      </c>
    </row>
    <row r="823" spans="1:9" ht="16">
      <c r="A823" s="35" t="s">
        <v>40</v>
      </c>
      <c r="I823" s="28">
        <f>I809+I810+I811+I812+I813+I814+I815+I816+I817+I818+I819+I820+I821+I822</f>
        <v>4434.639999999999</v>
      </c>
    </row>
    <row r="824" spans="1:1" ht="16">
      <c r="A824" s="34" t="s">
        <v>720</v>
      </c>
    </row>
    <row r="825" spans="2:9" ht="16">
      <c r="B825" s="24" t="s">
        <v>119</v>
      </c>
      <c r="C825" s="24" t="s">
        <v>6</v>
      </c>
      <c r="D825" s="24" t="s">
        <v>736</v>
      </c>
      <c r="E825" s="24" t="s">
        <v>8</v>
      </c>
      <c r="F825" s="24" t="s">
        <v>9</v>
      </c>
      <c r="G825" s="24" t="s">
        <v>8</v>
      </c>
      <c r="H825" s="24" t="s">
        <v>737</v>
      </c>
      <c r="I825" s="27">
        <v>24.93</v>
      </c>
    </row>
    <row r="826" spans="1:9" ht="16">
      <c r="A826" s="35" t="s">
        <v>267</v>
      </c>
      <c r="I826" s="28">
        <f>I824+I825</f>
        <v>24.93</v>
      </c>
    </row>
    <row r="827" spans="1:1" ht="16">
      <c r="A827" s="34" t="s">
        <v>720</v>
      </c>
    </row>
    <row r="828" spans="2:9" ht="16">
      <c r="B828" s="24" t="s">
        <v>159</v>
      </c>
      <c r="C828" s="24" t="s">
        <v>13</v>
      </c>
      <c r="D828" s="24" t="s">
        <v>738</v>
      </c>
      <c r="E828" s="24" t="s">
        <v>739</v>
      </c>
      <c r="F828" s="24" t="s">
        <v>9</v>
      </c>
      <c r="G828" s="24" t="s">
        <v>8</v>
      </c>
      <c r="H828" s="24" t="s">
        <v>159</v>
      </c>
      <c r="I828" s="27">
        <v>1300.0</v>
      </c>
    </row>
    <row r="829" spans="1:9" ht="16">
      <c r="A829" s="35" t="s">
        <v>164</v>
      </c>
      <c r="I829" s="28">
        <f>I827+I828</f>
        <v>1300.0</v>
      </c>
    </row>
    <row r="830" spans="1:1" ht="16">
      <c r="A830" s="34" t="s">
        <v>720</v>
      </c>
    </row>
    <row r="831" spans="2:9" ht="16">
      <c r="B831" s="24" t="s">
        <v>45</v>
      </c>
      <c r="C831" s="24" t="s">
        <v>6</v>
      </c>
      <c r="D831" s="24" t="s">
        <v>272</v>
      </c>
      <c r="E831" s="24" t="s">
        <v>8</v>
      </c>
      <c r="F831" s="24" t="s">
        <v>9</v>
      </c>
      <c r="G831" s="24" t="s">
        <v>8</v>
      </c>
      <c r="H831" s="24" t="s">
        <v>47</v>
      </c>
      <c r="I831" s="27">
        <v>205.04</v>
      </c>
    </row>
    <row r="832" spans="2:9" ht="16">
      <c r="B832" s="24" t="s">
        <v>8</v>
      </c>
      <c r="C832" s="24" t="s">
        <v>6</v>
      </c>
      <c r="D832" s="24" t="s">
        <v>274</v>
      </c>
      <c r="E832" s="24" t="s">
        <v>8</v>
      </c>
      <c r="F832" s="24" t="s">
        <v>9</v>
      </c>
      <c r="G832" s="24" t="s">
        <v>8</v>
      </c>
      <c r="H832" s="24" t="s">
        <v>47</v>
      </c>
      <c r="I832" s="27">
        <v>640.75</v>
      </c>
    </row>
    <row r="833" spans="2:9" ht="16">
      <c r="B833" s="24" t="s">
        <v>45</v>
      </c>
      <c r="C833" s="24" t="s">
        <v>6</v>
      </c>
      <c r="D833" s="24" t="s">
        <v>240</v>
      </c>
      <c r="E833" s="24" t="s">
        <v>8</v>
      </c>
      <c r="F833" s="24" t="s">
        <v>9</v>
      </c>
      <c r="G833" s="24" t="s">
        <v>8</v>
      </c>
      <c r="H833" s="24" t="s">
        <v>47</v>
      </c>
      <c r="I833" s="27">
        <v>410.08</v>
      </c>
    </row>
    <row r="834" spans="2:9" ht="16">
      <c r="B834" s="24" t="s">
        <v>45</v>
      </c>
      <c r="C834" s="24" t="s">
        <v>6</v>
      </c>
      <c r="D834" s="24" t="s">
        <v>273</v>
      </c>
      <c r="E834" s="24" t="s">
        <v>8</v>
      </c>
      <c r="F834" s="24" t="s">
        <v>9</v>
      </c>
      <c r="G834" s="24" t="s">
        <v>8</v>
      </c>
      <c r="H834" s="24" t="s">
        <v>47</v>
      </c>
      <c r="I834" s="27">
        <v>817.3</v>
      </c>
    </row>
    <row r="835" spans="1:9" ht="16">
      <c r="A835" s="35" t="s">
        <v>50</v>
      </c>
      <c r="I835" s="28">
        <f>I830+I831+I832+I833+I834</f>
        <v>2073.17</v>
      </c>
    </row>
    <row r="836" spans="1:1" ht="16">
      <c r="A836" s="34" t="s">
        <v>720</v>
      </c>
    </row>
    <row r="837" spans="2:9" ht="16">
      <c r="B837" s="24" t="s">
        <v>51</v>
      </c>
      <c r="C837" s="24" t="s">
        <v>6</v>
      </c>
      <c r="D837" s="24" t="s">
        <v>738</v>
      </c>
      <c r="E837" s="24" t="s">
        <v>8</v>
      </c>
      <c r="F837" s="24" t="s">
        <v>9</v>
      </c>
      <c r="G837" s="24" t="s">
        <v>8</v>
      </c>
      <c r="H837" s="24" t="s">
        <v>53</v>
      </c>
      <c r="I837" s="27">
        <v>39.08</v>
      </c>
    </row>
    <row r="838" spans="2:9" ht="16">
      <c r="B838" s="24" t="s">
        <v>51</v>
      </c>
      <c r="C838" s="24" t="s">
        <v>6</v>
      </c>
      <c r="D838" s="24" t="s">
        <v>286</v>
      </c>
      <c r="E838" s="24" t="s">
        <v>8</v>
      </c>
      <c r="F838" s="24" t="s">
        <v>9</v>
      </c>
      <c r="G838" s="24" t="s">
        <v>8</v>
      </c>
      <c r="H838" s="24" t="s">
        <v>53</v>
      </c>
      <c r="I838" s="27">
        <v>39.99</v>
      </c>
    </row>
    <row r="839" spans="2:9" ht="16">
      <c r="B839" s="24" t="s">
        <v>51</v>
      </c>
      <c r="C839" s="24" t="s">
        <v>6</v>
      </c>
      <c r="D839" s="24" t="s">
        <v>240</v>
      </c>
      <c r="E839" s="24" t="s">
        <v>8</v>
      </c>
      <c r="F839" s="24" t="s">
        <v>9</v>
      </c>
      <c r="G839" s="24" t="s">
        <v>8</v>
      </c>
      <c r="H839" s="24" t="s">
        <v>53</v>
      </c>
      <c r="I839" s="27">
        <v>1222.18</v>
      </c>
    </row>
    <row r="840" spans="2:9" ht="16">
      <c r="B840" s="24" t="s">
        <v>51</v>
      </c>
      <c r="C840" s="24" t="s">
        <v>6</v>
      </c>
      <c r="D840" s="24" t="s">
        <v>284</v>
      </c>
      <c r="E840" s="24" t="s">
        <v>8</v>
      </c>
      <c r="F840" s="24" t="s">
        <v>9</v>
      </c>
      <c r="G840" s="24" t="s">
        <v>8</v>
      </c>
      <c r="H840" s="24" t="s">
        <v>53</v>
      </c>
      <c r="I840" s="27">
        <v>96.08</v>
      </c>
    </row>
    <row r="841" spans="2:9" ht="16">
      <c r="B841" s="24" t="s">
        <v>51</v>
      </c>
      <c r="C841" s="24" t="s">
        <v>6</v>
      </c>
      <c r="D841" s="24" t="s">
        <v>285</v>
      </c>
      <c r="E841" s="24" t="s">
        <v>8</v>
      </c>
      <c r="F841" s="24" t="s">
        <v>9</v>
      </c>
      <c r="G841" s="24" t="s">
        <v>8</v>
      </c>
      <c r="H841" s="24" t="s">
        <v>53</v>
      </c>
      <c r="I841" s="27">
        <v>1582.96</v>
      </c>
    </row>
    <row r="842" spans="2:9" ht="16">
      <c r="B842" s="24" t="s">
        <v>51</v>
      </c>
      <c r="C842" s="24" t="s">
        <v>6</v>
      </c>
      <c r="D842" s="24" t="s">
        <v>740</v>
      </c>
      <c r="E842" s="24" t="s">
        <v>8</v>
      </c>
      <c r="F842" s="24" t="s">
        <v>9</v>
      </c>
      <c r="G842" s="24" t="s">
        <v>8</v>
      </c>
      <c r="H842" s="24" t="s">
        <v>53</v>
      </c>
      <c r="I842" s="27">
        <v>795.1</v>
      </c>
    </row>
    <row r="843" spans="2:9" ht="16">
      <c r="B843" s="24" t="s">
        <v>51</v>
      </c>
      <c r="C843" s="24" t="s">
        <v>6</v>
      </c>
      <c r="D843" s="24" t="s">
        <v>283</v>
      </c>
      <c r="E843" s="24" t="s">
        <v>8</v>
      </c>
      <c r="F843" s="24" t="s">
        <v>9</v>
      </c>
      <c r="G843" s="24" t="s">
        <v>8</v>
      </c>
      <c r="H843" s="24" t="s">
        <v>53</v>
      </c>
      <c r="I843" s="27">
        <v>790.12</v>
      </c>
    </row>
    <row r="844" spans="2:9" ht="16">
      <c r="B844" s="24" t="s">
        <v>51</v>
      </c>
      <c r="C844" s="24" t="s">
        <v>6</v>
      </c>
      <c r="D844" s="24" t="s">
        <v>670</v>
      </c>
      <c r="E844" s="24" t="s">
        <v>8</v>
      </c>
      <c r="F844" s="24" t="s">
        <v>9</v>
      </c>
      <c r="G844" s="24" t="s">
        <v>8</v>
      </c>
      <c r="H844" s="24" t="s">
        <v>53</v>
      </c>
      <c r="I844" s="27">
        <v>96.08</v>
      </c>
    </row>
    <row r="845" spans="1:9" ht="16">
      <c r="A845" s="35" t="s">
        <v>67</v>
      </c>
      <c r="I845" s="28">
        <f>I836+I837+I838+I839+I840+I841+I842+I843+I844</f>
        <v>4661.59</v>
      </c>
    </row>
    <row r="846" spans="1:9" ht="16">
      <c r="A846" s="36" t="s">
        <v>741</v>
      </c>
      <c r="I846" s="28">
        <f>I823+I826+I829+I835+I845</f>
        <v>12494.33</v>
      </c>
    </row>
    <row r="847" spans="1:1" ht="16">
      <c r="A847" s="33" t="s">
        <v>324</v>
      </c>
    </row>
    <row r="848" spans="1:1" ht="16">
      <c r="A848" s="34" t="s">
        <v>742</v>
      </c>
    </row>
    <row r="849" spans="2:9" ht="16">
      <c r="B849" s="24" t="s">
        <v>86</v>
      </c>
      <c r="C849" s="24" t="s">
        <v>13</v>
      </c>
      <c r="D849" s="24" t="s">
        <v>607</v>
      </c>
      <c r="E849" s="24" t="s">
        <v>743</v>
      </c>
      <c r="F849" s="24" t="s">
        <v>9</v>
      </c>
      <c r="G849" s="24" t="s">
        <v>8</v>
      </c>
      <c r="H849" s="24" t="s">
        <v>89</v>
      </c>
      <c r="I849" s="27">
        <v>87.3</v>
      </c>
    </row>
    <row r="850" spans="2:9" ht="16">
      <c r="B850" s="24" t="s">
        <v>36</v>
      </c>
      <c r="C850" s="24" t="s">
        <v>6</v>
      </c>
      <c r="D850" s="24" t="s">
        <v>597</v>
      </c>
      <c r="E850" s="24" t="s">
        <v>8</v>
      </c>
      <c r="F850" s="24" t="s">
        <v>9</v>
      </c>
      <c r="G850" s="24" t="s">
        <v>8</v>
      </c>
      <c r="H850" s="24" t="s">
        <v>744</v>
      </c>
      <c r="I850" s="27">
        <v>73.05</v>
      </c>
    </row>
    <row r="851" spans="2:9" ht="16">
      <c r="B851" s="24" t="s">
        <v>5</v>
      </c>
      <c r="C851" s="24" t="s">
        <v>13</v>
      </c>
      <c r="D851" s="24" t="s">
        <v>745</v>
      </c>
      <c r="E851" s="24" t="s">
        <v>746</v>
      </c>
      <c r="F851" s="24" t="s">
        <v>9</v>
      </c>
      <c r="G851" s="24" t="s">
        <v>8</v>
      </c>
      <c r="H851" s="24" t="s">
        <v>638</v>
      </c>
      <c r="I851" s="27">
        <v>369.18</v>
      </c>
    </row>
    <row r="852" spans="1:9" ht="16">
      <c r="A852" s="35" t="s">
        <v>40</v>
      </c>
      <c r="I852" s="28">
        <f>I848+I849+I850+I851</f>
        <v>529.53</v>
      </c>
    </row>
    <row r="853" spans="1:1" ht="16">
      <c r="A853" s="34" t="s">
        <v>742</v>
      </c>
    </row>
    <row r="854" spans="2:9" ht="16">
      <c r="B854" s="24" t="s">
        <v>159</v>
      </c>
      <c r="C854" s="24" t="s">
        <v>6</v>
      </c>
      <c r="D854" s="24" t="s">
        <v>747</v>
      </c>
      <c r="E854" s="24" t="s">
        <v>8</v>
      </c>
      <c r="F854" s="24" t="s">
        <v>9</v>
      </c>
      <c r="G854" s="24" t="s">
        <v>8</v>
      </c>
      <c r="H854" s="24" t="s">
        <v>748</v>
      </c>
      <c r="I854" s="27">
        <v>680.0</v>
      </c>
    </row>
    <row r="855" spans="1:9" ht="16">
      <c r="A855" s="35" t="s">
        <v>164</v>
      </c>
      <c r="I855" s="28">
        <f>I853+I854</f>
        <v>680.0</v>
      </c>
    </row>
    <row r="856" spans="1:1" ht="16">
      <c r="A856" s="34" t="s">
        <v>742</v>
      </c>
    </row>
    <row r="857" spans="2:9" ht="16">
      <c r="B857" s="24" t="s">
        <v>45</v>
      </c>
      <c r="C857" s="24" t="s">
        <v>6</v>
      </c>
      <c r="D857" s="24" t="s">
        <v>240</v>
      </c>
      <c r="E857" s="24" t="s">
        <v>8</v>
      </c>
      <c r="F857" s="24" t="s">
        <v>9</v>
      </c>
      <c r="G857" s="24" t="s">
        <v>8</v>
      </c>
      <c r="H857" s="24" t="s">
        <v>47</v>
      </c>
      <c r="I857" s="27">
        <v>410.08</v>
      </c>
    </row>
    <row r="858" spans="1:9" ht="16">
      <c r="A858" s="35" t="s">
        <v>50</v>
      </c>
      <c r="I858" s="28">
        <f>I856+I857</f>
        <v>410.08</v>
      </c>
    </row>
    <row r="859" spans="1:1" ht="16">
      <c r="A859" s="34" t="s">
        <v>742</v>
      </c>
    </row>
    <row r="860" spans="2:9" ht="16">
      <c r="B860" s="24" t="s">
        <v>51</v>
      </c>
      <c r="C860" s="24" t="s">
        <v>6</v>
      </c>
      <c r="D860" s="24" t="s">
        <v>281</v>
      </c>
      <c r="E860" s="24" t="s">
        <v>8</v>
      </c>
      <c r="F860" s="24" t="s">
        <v>9</v>
      </c>
      <c r="G860" s="24" t="s">
        <v>8</v>
      </c>
      <c r="H860" s="24" t="s">
        <v>53</v>
      </c>
      <c r="I860" s="27">
        <v>784.84</v>
      </c>
    </row>
    <row r="861" spans="1:9" ht="16">
      <c r="A861" s="35" t="s">
        <v>67</v>
      </c>
      <c r="I861" s="28">
        <f>I859+I860</f>
        <v>784.84</v>
      </c>
    </row>
    <row r="862" spans="1:9" ht="16">
      <c r="A862" s="36" t="s">
        <v>749</v>
      </c>
      <c r="I862" s="28">
        <f>I852+I855+I858+I861</f>
        <v>2404.45</v>
      </c>
    </row>
    <row r="863" spans="1:1" ht="16">
      <c r="A863" s="33" t="s">
        <v>324</v>
      </c>
    </row>
    <row r="864" spans="1:1" ht="16">
      <c r="A864" s="34" t="s">
        <v>750</v>
      </c>
    </row>
    <row r="865" spans="2:9" ht="16">
      <c r="B865" s="24" t="s">
        <v>127</v>
      </c>
      <c r="C865" s="24" t="s">
        <v>6</v>
      </c>
      <c r="D865" s="24" t="s">
        <v>285</v>
      </c>
      <c r="E865" s="24" t="s">
        <v>8</v>
      </c>
      <c r="F865" s="24" t="s">
        <v>9</v>
      </c>
      <c r="G865" s="24" t="s">
        <v>8</v>
      </c>
      <c r="H865" s="24" t="s">
        <v>751</v>
      </c>
      <c r="I865" s="27">
        <v>52.74</v>
      </c>
    </row>
    <row r="866" spans="1:9" ht="16">
      <c r="A866" s="35" t="s">
        <v>40</v>
      </c>
      <c r="I866" s="28">
        <f>I864+I865</f>
        <v>52.74</v>
      </c>
    </row>
    <row r="867" spans="1:1" ht="16">
      <c r="A867" s="34" t="s">
        <v>750</v>
      </c>
    </row>
    <row r="868" spans="2:9" ht="16">
      <c r="B868" s="24" t="s">
        <v>45</v>
      </c>
      <c r="C868" s="24" t="s">
        <v>6</v>
      </c>
      <c r="D868" s="24" t="s">
        <v>240</v>
      </c>
      <c r="E868" s="24" t="s">
        <v>8</v>
      </c>
      <c r="F868" s="24" t="s">
        <v>9</v>
      </c>
      <c r="G868" s="24" t="s">
        <v>8</v>
      </c>
      <c r="H868" s="24" t="s">
        <v>47</v>
      </c>
      <c r="I868" s="27">
        <v>256.3</v>
      </c>
    </row>
    <row r="869" spans="1:9" ht="16">
      <c r="A869" s="35" t="s">
        <v>50</v>
      </c>
      <c r="I869" s="28">
        <f>I867+I868</f>
        <v>256.3</v>
      </c>
    </row>
    <row r="870" spans="1:1" ht="16">
      <c r="A870" s="34" t="s">
        <v>750</v>
      </c>
    </row>
    <row r="871" spans="2:9" ht="16">
      <c r="B871" s="24" t="s">
        <v>51</v>
      </c>
      <c r="C871" s="24" t="s">
        <v>6</v>
      </c>
      <c r="D871" s="24" t="s">
        <v>281</v>
      </c>
      <c r="E871" s="24" t="s">
        <v>8</v>
      </c>
      <c r="F871" s="24" t="s">
        <v>9</v>
      </c>
      <c r="G871" s="24" t="s">
        <v>8</v>
      </c>
      <c r="H871" s="24" t="s">
        <v>53</v>
      </c>
      <c r="I871" s="27">
        <v>507.35</v>
      </c>
    </row>
    <row r="872" spans="1:9" ht="16">
      <c r="A872" s="35" t="s">
        <v>67</v>
      </c>
      <c r="I872" s="28">
        <f>I870+I871</f>
        <v>507.35</v>
      </c>
    </row>
    <row r="873" spans="1:9" ht="16">
      <c r="A873" s="36" t="s">
        <v>752</v>
      </c>
      <c r="I873" s="28">
        <f>I866+I869+I872</f>
        <v>816.3900000000001</v>
      </c>
    </row>
    <row r="874" spans="1:1" ht="16">
      <c r="A874" s="33" t="s">
        <v>172</v>
      </c>
    </row>
    <row r="875" spans="1:1" ht="16">
      <c r="A875" s="34" t="s">
        <v>753</v>
      </c>
    </row>
    <row r="876" spans="2:9" ht="16">
      <c r="B876" s="24" t="s">
        <v>77</v>
      </c>
      <c r="C876" s="24" t="s">
        <v>13</v>
      </c>
      <c r="D876" s="24" t="s">
        <v>287</v>
      </c>
      <c r="E876" s="24" t="s">
        <v>754</v>
      </c>
      <c r="F876" s="24" t="s">
        <v>9</v>
      </c>
      <c r="G876" s="24" t="s">
        <v>8</v>
      </c>
      <c r="H876" s="24" t="s">
        <v>80</v>
      </c>
      <c r="I876" s="27">
        <v>511.71</v>
      </c>
    </row>
    <row r="877" spans="1:9" ht="16">
      <c r="A877" s="35" t="s">
        <v>81</v>
      </c>
      <c r="I877" s="28">
        <f>I875+I876</f>
        <v>511.71</v>
      </c>
    </row>
    <row r="878" spans="1:1" ht="16">
      <c r="A878" s="34" t="s">
        <v>753</v>
      </c>
    </row>
    <row r="879" spans="2:9" ht="16">
      <c r="B879" s="24" t="s">
        <v>77</v>
      </c>
      <c r="C879" s="24" t="s">
        <v>13</v>
      </c>
      <c r="D879" s="24" t="s">
        <v>755</v>
      </c>
      <c r="E879" s="24" t="s">
        <v>756</v>
      </c>
      <c r="F879" s="24" t="s">
        <v>9</v>
      </c>
      <c r="G879" s="24" t="s">
        <v>8</v>
      </c>
      <c r="H879" s="24" t="s">
        <v>80</v>
      </c>
      <c r="I879" s="27">
        <v>663.87</v>
      </c>
    </row>
    <row r="880" spans="2:9" ht="16">
      <c r="B880" s="24" t="s">
        <v>36</v>
      </c>
      <c r="C880" s="24" t="s">
        <v>6</v>
      </c>
      <c r="D880" s="24" t="s">
        <v>757</v>
      </c>
      <c r="E880" s="24" t="s">
        <v>8</v>
      </c>
      <c r="F880" s="24" t="s">
        <v>9</v>
      </c>
      <c r="G880" s="24" t="s">
        <v>8</v>
      </c>
      <c r="H880" s="24" t="s">
        <v>758</v>
      </c>
      <c r="I880" s="27">
        <v>121.4</v>
      </c>
    </row>
    <row r="881" spans="2:9" ht="16">
      <c r="B881" s="24" t="s">
        <v>21</v>
      </c>
      <c r="C881" s="24" t="s">
        <v>13</v>
      </c>
      <c r="D881" s="24" t="s">
        <v>486</v>
      </c>
      <c r="E881" s="24" t="s">
        <v>759</v>
      </c>
      <c r="F881" s="24" t="s">
        <v>9</v>
      </c>
      <c r="G881" s="24" t="s">
        <v>8</v>
      </c>
      <c r="H881" s="24" t="s">
        <v>24</v>
      </c>
      <c r="I881" s="27">
        <v>141.7</v>
      </c>
    </row>
    <row r="882" spans="2:9" ht="16">
      <c r="B882" s="24" t="s">
        <v>21</v>
      </c>
      <c r="C882" s="24" t="s">
        <v>13</v>
      </c>
      <c r="D882" s="24" t="s">
        <v>494</v>
      </c>
      <c r="E882" s="24" t="s">
        <v>760</v>
      </c>
      <c r="F882" s="24" t="s">
        <v>9</v>
      </c>
      <c r="G882" s="24" t="s">
        <v>8</v>
      </c>
      <c r="H882" s="24" t="s">
        <v>24</v>
      </c>
      <c r="I882" s="27">
        <v>339.33</v>
      </c>
    </row>
    <row r="883" spans="2:9" ht="16">
      <c r="B883" s="24" t="s">
        <v>21</v>
      </c>
      <c r="C883" s="24" t="s">
        <v>13</v>
      </c>
      <c r="D883" s="24" t="s">
        <v>283</v>
      </c>
      <c r="E883" s="24" t="s">
        <v>761</v>
      </c>
      <c r="F883" s="24" t="s">
        <v>9</v>
      </c>
      <c r="G883" s="24" t="s">
        <v>8</v>
      </c>
      <c r="H883" s="24" t="s">
        <v>24</v>
      </c>
      <c r="I883" s="27">
        <v>1106.79</v>
      </c>
    </row>
    <row r="884" spans="2:9" ht="16">
      <c r="B884" s="24" t="s">
        <v>21</v>
      </c>
      <c r="C884" s="24" t="s">
        <v>13</v>
      </c>
      <c r="D884" s="24" t="s">
        <v>283</v>
      </c>
      <c r="E884" s="24" t="s">
        <v>762</v>
      </c>
      <c r="F884" s="24" t="s">
        <v>9</v>
      </c>
      <c r="G884" s="24" t="s">
        <v>8</v>
      </c>
      <c r="H884" s="24" t="s">
        <v>24</v>
      </c>
      <c r="I884" s="27">
        <v>2275.97</v>
      </c>
    </row>
    <row r="885" spans="2:9" ht="16">
      <c r="B885" s="24" t="s">
        <v>186</v>
      </c>
      <c r="C885" s="24" t="s">
        <v>6</v>
      </c>
      <c r="D885" s="24" t="s">
        <v>180</v>
      </c>
      <c r="E885" s="24" t="s">
        <v>8</v>
      </c>
      <c r="F885" s="24" t="s">
        <v>9</v>
      </c>
      <c r="G885" s="24" t="s">
        <v>8</v>
      </c>
      <c r="H885" s="24" t="s">
        <v>763</v>
      </c>
      <c r="I885" s="27">
        <v>528.28</v>
      </c>
    </row>
    <row r="886" spans="2:9" ht="16">
      <c r="B886" s="24" t="s">
        <v>119</v>
      </c>
      <c r="C886" s="24" t="s">
        <v>6</v>
      </c>
      <c r="D886" s="24" t="s">
        <v>283</v>
      </c>
      <c r="E886" s="24" t="s">
        <v>8</v>
      </c>
      <c r="F886" s="24" t="s">
        <v>9</v>
      </c>
      <c r="G886" s="24" t="s">
        <v>8</v>
      </c>
      <c r="H886" s="24" t="s">
        <v>764</v>
      </c>
      <c r="I886" s="27">
        <v>139.77</v>
      </c>
    </row>
    <row r="887" spans="2:9" ht="16">
      <c r="B887" s="24" t="s">
        <v>119</v>
      </c>
      <c r="C887" s="24" t="s">
        <v>6</v>
      </c>
      <c r="D887" s="24" t="s">
        <v>661</v>
      </c>
      <c r="E887" s="24" t="s">
        <v>8</v>
      </c>
      <c r="F887" s="24" t="s">
        <v>9</v>
      </c>
      <c r="G887" s="24" t="s">
        <v>8</v>
      </c>
      <c r="H887" s="24" t="s">
        <v>765</v>
      </c>
      <c r="I887" s="27">
        <v>4.63</v>
      </c>
    </row>
    <row r="888" spans="2:9" ht="16">
      <c r="B888" s="24" t="s">
        <v>316</v>
      </c>
      <c r="C888" s="24" t="s">
        <v>6</v>
      </c>
      <c r="D888" s="24" t="s">
        <v>661</v>
      </c>
      <c r="E888" s="24" t="s">
        <v>8</v>
      </c>
      <c r="F888" s="24" t="s">
        <v>9</v>
      </c>
      <c r="G888" s="24" t="s">
        <v>8</v>
      </c>
      <c r="H888" s="24" t="s">
        <v>766</v>
      </c>
      <c r="I888" s="27">
        <v>10.98</v>
      </c>
    </row>
    <row r="889" spans="2:9" ht="16">
      <c r="B889" s="24" t="s">
        <v>316</v>
      </c>
      <c r="C889" s="24" t="s">
        <v>6</v>
      </c>
      <c r="D889" s="24" t="s">
        <v>661</v>
      </c>
      <c r="E889" s="24" t="s">
        <v>8</v>
      </c>
      <c r="F889" s="24" t="s">
        <v>9</v>
      </c>
      <c r="G889" s="24" t="s">
        <v>8</v>
      </c>
      <c r="H889" s="24" t="s">
        <v>767</v>
      </c>
      <c r="I889" s="27">
        <v>122.35</v>
      </c>
    </row>
    <row r="890" spans="2:9" ht="16">
      <c r="B890" s="24" t="s">
        <v>119</v>
      </c>
      <c r="C890" s="24" t="s">
        <v>6</v>
      </c>
      <c r="D890" s="24" t="s">
        <v>768</v>
      </c>
      <c r="E890" s="24" t="s">
        <v>8</v>
      </c>
      <c r="F890" s="24" t="s">
        <v>9</v>
      </c>
      <c r="G890" s="24" t="s">
        <v>8</v>
      </c>
      <c r="H890" s="24" t="s">
        <v>769</v>
      </c>
      <c r="I890" s="27">
        <v>10.57</v>
      </c>
    </row>
    <row r="891" spans="2:9" ht="16">
      <c r="B891" s="24" t="s">
        <v>186</v>
      </c>
      <c r="C891" s="24" t="s">
        <v>6</v>
      </c>
      <c r="D891" s="24" t="s">
        <v>755</v>
      </c>
      <c r="E891" s="24" t="s">
        <v>8</v>
      </c>
      <c r="F891" s="24" t="s">
        <v>9</v>
      </c>
      <c r="G891" s="24" t="s">
        <v>8</v>
      </c>
      <c r="H891" s="24" t="s">
        <v>770</v>
      </c>
      <c r="I891" s="27">
        <v>640.82</v>
      </c>
    </row>
    <row r="892" spans="1:9" ht="16">
      <c r="A892" s="35" t="s">
        <v>40</v>
      </c>
      <c r="I892" s="28">
        <f>I878+I879+I880+I881+I882+I883+I884+I885+I886+I887+I888+I889+I890+I891</f>
        <v>6106.459999999999</v>
      </c>
    </row>
    <row r="893" spans="1:1" ht="16">
      <c r="A893" s="34" t="s">
        <v>753</v>
      </c>
    </row>
    <row r="894" spans="2:9" ht="16">
      <c r="B894" s="24" t="s">
        <v>119</v>
      </c>
      <c r="C894" s="24" t="s">
        <v>6</v>
      </c>
      <c r="D894" s="24" t="s">
        <v>661</v>
      </c>
      <c r="E894" s="24" t="s">
        <v>8</v>
      </c>
      <c r="F894" s="24" t="s">
        <v>9</v>
      </c>
      <c r="G894" s="24" t="s">
        <v>8</v>
      </c>
      <c r="H894" s="24" t="s">
        <v>771</v>
      </c>
      <c r="I894" s="27">
        <v>19.44</v>
      </c>
    </row>
    <row r="895" spans="1:9" ht="16">
      <c r="A895" s="35" t="s">
        <v>267</v>
      </c>
      <c r="I895" s="28">
        <f>I893+I894</f>
        <v>19.44</v>
      </c>
    </row>
    <row r="896" spans="1:1" ht="16">
      <c r="A896" s="34" t="s">
        <v>753</v>
      </c>
    </row>
    <row r="897" spans="2:9" ht="16">
      <c r="B897" s="24" t="s">
        <v>159</v>
      </c>
      <c r="C897" s="24" t="s">
        <v>13</v>
      </c>
      <c r="D897" s="24" t="s">
        <v>646</v>
      </c>
      <c r="E897" s="24" t="s">
        <v>772</v>
      </c>
      <c r="F897" s="24" t="s">
        <v>9</v>
      </c>
      <c r="G897" s="24" t="s">
        <v>8</v>
      </c>
      <c r="H897" s="24" t="s">
        <v>159</v>
      </c>
      <c r="I897" s="27">
        <v>2000.0</v>
      </c>
    </row>
    <row r="898" spans="1:9" ht="16">
      <c r="A898" s="35" t="s">
        <v>164</v>
      </c>
      <c r="I898" s="28">
        <f>I896+I897</f>
        <v>2000.0</v>
      </c>
    </row>
    <row r="899" spans="1:1" ht="16">
      <c r="A899" s="34" t="s">
        <v>753</v>
      </c>
    </row>
    <row r="900" spans="2:9" ht="16">
      <c r="B900" s="24" t="s">
        <v>8</v>
      </c>
      <c r="C900" s="24" t="s">
        <v>6</v>
      </c>
      <c r="D900" s="24" t="s">
        <v>274</v>
      </c>
      <c r="E900" s="24" t="s">
        <v>8</v>
      </c>
      <c r="F900" s="24" t="s">
        <v>9</v>
      </c>
      <c r="G900" s="24" t="s">
        <v>8</v>
      </c>
      <c r="H900" s="24" t="s">
        <v>47</v>
      </c>
      <c r="I900" s="27">
        <v>759.37</v>
      </c>
    </row>
    <row r="901" spans="2:9" ht="16">
      <c r="B901" s="24" t="s">
        <v>45</v>
      </c>
      <c r="C901" s="24" t="s">
        <v>6</v>
      </c>
      <c r="D901" s="24" t="s">
        <v>240</v>
      </c>
      <c r="E901" s="24" t="s">
        <v>8</v>
      </c>
      <c r="F901" s="24" t="s">
        <v>9</v>
      </c>
      <c r="G901" s="24" t="s">
        <v>8</v>
      </c>
      <c r="H901" s="24" t="s">
        <v>47</v>
      </c>
      <c r="I901" s="27">
        <v>2127.29</v>
      </c>
    </row>
    <row r="902" spans="1:9" ht="16">
      <c r="A902" s="35" t="s">
        <v>50</v>
      </c>
      <c r="I902" s="28">
        <f>I899+I900+I901</f>
        <v>2886.66</v>
      </c>
    </row>
    <row r="903" spans="1:1" ht="16">
      <c r="A903" s="34" t="s">
        <v>753</v>
      </c>
    </row>
    <row r="904" spans="2:9" ht="16">
      <c r="B904" s="24" t="s">
        <v>51</v>
      </c>
      <c r="C904" s="24" t="s">
        <v>6</v>
      </c>
      <c r="D904" s="24" t="s">
        <v>287</v>
      </c>
      <c r="E904" s="24" t="s">
        <v>8</v>
      </c>
      <c r="F904" s="24" t="s">
        <v>9</v>
      </c>
      <c r="G904" s="24" t="s">
        <v>8</v>
      </c>
      <c r="H904" s="24" t="s">
        <v>53</v>
      </c>
      <c r="I904" s="27">
        <v>1537.4</v>
      </c>
    </row>
    <row r="905" spans="2:9" ht="16">
      <c r="B905" s="24" t="s">
        <v>51</v>
      </c>
      <c r="C905" s="24" t="s">
        <v>6</v>
      </c>
      <c r="D905" s="24" t="s">
        <v>282</v>
      </c>
      <c r="E905" s="24" t="s">
        <v>8</v>
      </c>
      <c r="F905" s="24" t="s">
        <v>9</v>
      </c>
      <c r="G905" s="24" t="s">
        <v>8</v>
      </c>
      <c r="H905" s="24" t="s">
        <v>53</v>
      </c>
      <c r="I905" s="27">
        <v>980.75</v>
      </c>
    </row>
    <row r="906" spans="2:9" ht="16">
      <c r="B906" s="24" t="s">
        <v>51</v>
      </c>
      <c r="C906" s="24" t="s">
        <v>6</v>
      </c>
      <c r="D906" s="24" t="s">
        <v>419</v>
      </c>
      <c r="E906" s="24" t="s">
        <v>8</v>
      </c>
      <c r="F906" s="24" t="s">
        <v>9</v>
      </c>
      <c r="G906" s="24" t="s">
        <v>8</v>
      </c>
      <c r="H906" s="24" t="s">
        <v>53</v>
      </c>
      <c r="I906" s="27">
        <v>2494.54</v>
      </c>
    </row>
    <row r="907" spans="1:9" ht="16">
      <c r="A907" s="35" t="s">
        <v>67</v>
      </c>
      <c r="I907" s="28">
        <f>I903+I904+I905+I906</f>
        <v>5012.6900000000005</v>
      </c>
    </row>
    <row r="908" spans="1:9" ht="16">
      <c r="A908" s="36" t="s">
        <v>773</v>
      </c>
      <c r="I908" s="28">
        <f>I877+I892+I895+I898+I902+I907</f>
        <v>16536.96</v>
      </c>
    </row>
    <row r="909" spans="1:1" ht="16">
      <c r="A909" s="33" t="s">
        <v>324</v>
      </c>
    </row>
    <row r="910" spans="1:1" ht="16">
      <c r="A910" s="34" t="s">
        <v>774</v>
      </c>
    </row>
    <row r="911" spans="2:9" ht="16">
      <c r="B911" s="24" t="s">
        <v>36</v>
      </c>
      <c r="C911" s="24" t="s">
        <v>6</v>
      </c>
      <c r="D911" s="24" t="s">
        <v>775</v>
      </c>
      <c r="E911" s="24" t="s">
        <v>8</v>
      </c>
      <c r="F911" s="24" t="s">
        <v>9</v>
      </c>
      <c r="G911" s="24" t="s">
        <v>8</v>
      </c>
      <c r="H911" s="24" t="s">
        <v>776</v>
      </c>
      <c r="I911" s="27">
        <v>202.06</v>
      </c>
    </row>
    <row r="912" spans="2:9" ht="16">
      <c r="B912" s="24" t="s">
        <v>316</v>
      </c>
      <c r="C912" s="24" t="s">
        <v>6</v>
      </c>
      <c r="D912" s="24" t="s">
        <v>777</v>
      </c>
      <c r="E912" s="24" t="s">
        <v>8</v>
      </c>
      <c r="F912" s="24" t="s">
        <v>9</v>
      </c>
      <c r="G912" s="24" t="s">
        <v>8</v>
      </c>
      <c r="H912" s="24" t="s">
        <v>778</v>
      </c>
      <c r="I912" s="27">
        <v>110.55</v>
      </c>
    </row>
    <row r="913" spans="2:9" ht="16">
      <c r="B913" s="24" t="s">
        <v>36</v>
      </c>
      <c r="C913" s="24" t="s">
        <v>6</v>
      </c>
      <c r="D913" s="24" t="s">
        <v>586</v>
      </c>
      <c r="E913" s="24" t="s">
        <v>8</v>
      </c>
      <c r="F913" s="24" t="s">
        <v>9</v>
      </c>
      <c r="G913" s="24" t="s">
        <v>8</v>
      </c>
      <c r="H913" s="24" t="s">
        <v>779</v>
      </c>
      <c r="I913" s="27">
        <v>9.78</v>
      </c>
    </row>
    <row r="914" spans="2:9" ht="16">
      <c r="B914" s="24" t="s">
        <v>316</v>
      </c>
      <c r="C914" s="24" t="s">
        <v>6</v>
      </c>
      <c r="D914" s="24" t="s">
        <v>586</v>
      </c>
      <c r="E914" s="24" t="s">
        <v>8</v>
      </c>
      <c r="F914" s="24" t="s">
        <v>9</v>
      </c>
      <c r="G914" s="24" t="s">
        <v>8</v>
      </c>
      <c r="H914" s="24" t="s">
        <v>780</v>
      </c>
      <c r="I914" s="27">
        <v>96.32</v>
      </c>
    </row>
    <row r="915" spans="2:9" ht="16">
      <c r="B915" s="24" t="s">
        <v>316</v>
      </c>
      <c r="C915" s="24" t="s">
        <v>6</v>
      </c>
      <c r="D915" s="24" t="s">
        <v>494</v>
      </c>
      <c r="E915" s="24" t="s">
        <v>8</v>
      </c>
      <c r="F915" s="24" t="s">
        <v>9</v>
      </c>
      <c r="G915" s="24" t="s">
        <v>8</v>
      </c>
      <c r="H915" s="24" t="s">
        <v>781</v>
      </c>
      <c r="I915" s="27">
        <v>71.34</v>
      </c>
    </row>
    <row r="916" spans="1:9" ht="16">
      <c r="A916" s="35" t="s">
        <v>40</v>
      </c>
      <c r="I916" s="28">
        <f>I910+I911+I912+I913+I914+I915</f>
        <v>490.04999999999995</v>
      </c>
    </row>
    <row r="917" spans="1:1" ht="16">
      <c r="A917" s="34" t="s">
        <v>774</v>
      </c>
    </row>
    <row r="918" spans="2:9" ht="16">
      <c r="B918" s="24" t="s">
        <v>45</v>
      </c>
      <c r="C918" s="24" t="s">
        <v>6</v>
      </c>
      <c r="D918" s="24" t="s">
        <v>240</v>
      </c>
      <c r="E918" s="24" t="s">
        <v>8</v>
      </c>
      <c r="F918" s="24" t="s">
        <v>9</v>
      </c>
      <c r="G918" s="24" t="s">
        <v>8</v>
      </c>
      <c r="H918" s="24" t="s">
        <v>47</v>
      </c>
      <c r="I918" s="27">
        <v>792.28</v>
      </c>
    </row>
    <row r="919" spans="2:9" ht="16">
      <c r="B919" s="24" t="s">
        <v>8</v>
      </c>
      <c r="C919" s="24" t="s">
        <v>6</v>
      </c>
      <c r="D919" s="24" t="s">
        <v>274</v>
      </c>
      <c r="E919" s="24" t="s">
        <v>8</v>
      </c>
      <c r="F919" s="24" t="s">
        <v>9</v>
      </c>
      <c r="G919" s="24" t="s">
        <v>8</v>
      </c>
      <c r="H919" s="24" t="s">
        <v>47</v>
      </c>
      <c r="I919" s="27">
        <v>568.95</v>
      </c>
    </row>
    <row r="920" spans="1:9" ht="16">
      <c r="A920" s="35" t="s">
        <v>50</v>
      </c>
      <c r="I920" s="28">
        <f>I917+I918+I919</f>
        <v>1361.23</v>
      </c>
    </row>
    <row r="921" spans="1:1" ht="16">
      <c r="A921" s="34" t="s">
        <v>774</v>
      </c>
    </row>
    <row r="922" spans="2:9" ht="16">
      <c r="B922" s="24" t="s">
        <v>51</v>
      </c>
      <c r="C922" s="24" t="s">
        <v>6</v>
      </c>
      <c r="D922" s="24" t="s">
        <v>282</v>
      </c>
      <c r="E922" s="24" t="s">
        <v>8</v>
      </c>
      <c r="F922" s="24" t="s">
        <v>9</v>
      </c>
      <c r="G922" s="24" t="s">
        <v>8</v>
      </c>
      <c r="H922" s="24" t="s">
        <v>53</v>
      </c>
      <c r="I922" s="27">
        <v>1686.15</v>
      </c>
    </row>
    <row r="923" spans="2:9" ht="16">
      <c r="B923" s="24" t="s">
        <v>51</v>
      </c>
      <c r="C923" s="24" t="s">
        <v>6</v>
      </c>
      <c r="D923" s="24" t="s">
        <v>419</v>
      </c>
      <c r="E923" s="24" t="s">
        <v>8</v>
      </c>
      <c r="F923" s="24" t="s">
        <v>9</v>
      </c>
      <c r="G923" s="24" t="s">
        <v>8</v>
      </c>
      <c r="H923" s="24" t="s">
        <v>53</v>
      </c>
      <c r="I923" s="27">
        <v>2563.88</v>
      </c>
    </row>
    <row r="924" spans="1:9" ht="16">
      <c r="A924" s="35" t="s">
        <v>67</v>
      </c>
      <c r="I924" s="28">
        <f>I921+I922+I923</f>
        <v>4250.030000000001</v>
      </c>
    </row>
    <row r="925" spans="1:9" ht="16">
      <c r="A925" s="36" t="s">
        <v>782</v>
      </c>
      <c r="I925" s="28">
        <f>I916+I920+I924</f>
        <v>6101.31</v>
      </c>
    </row>
    <row r="926" spans="1:1" ht="16">
      <c r="A926" s="33" t="s">
        <v>172</v>
      </c>
    </row>
    <row r="927" spans="1:1" ht="16">
      <c r="A927" s="34" t="s">
        <v>783</v>
      </c>
    </row>
    <row r="928" spans="2:9" ht="16">
      <c r="B928" s="24" t="s">
        <v>77</v>
      </c>
      <c r="C928" s="24" t="s">
        <v>13</v>
      </c>
      <c r="D928" s="24" t="s">
        <v>784</v>
      </c>
      <c r="E928" s="24" t="s">
        <v>785</v>
      </c>
      <c r="F928" s="24" t="s">
        <v>9</v>
      </c>
      <c r="G928" s="24" t="s">
        <v>8</v>
      </c>
      <c r="H928" s="24" t="s">
        <v>786</v>
      </c>
      <c r="I928" s="27">
        <v>1415.9</v>
      </c>
    </row>
    <row r="929" spans="2:9" ht="16">
      <c r="B929" s="24" t="s">
        <v>77</v>
      </c>
      <c r="C929" s="24" t="s">
        <v>13</v>
      </c>
      <c r="D929" s="24" t="s">
        <v>626</v>
      </c>
      <c r="E929" s="24" t="s">
        <v>787</v>
      </c>
      <c r="F929" s="24" t="s">
        <v>9</v>
      </c>
      <c r="G929" s="24" t="s">
        <v>8</v>
      </c>
      <c r="H929" s="24" t="s">
        <v>80</v>
      </c>
      <c r="I929" s="27">
        <v>510.64</v>
      </c>
    </row>
    <row r="930" spans="2:9" ht="16">
      <c r="B930" s="24" t="s">
        <v>77</v>
      </c>
      <c r="C930" s="24" t="s">
        <v>13</v>
      </c>
      <c r="D930" s="24" t="s">
        <v>456</v>
      </c>
      <c r="E930" s="24" t="s">
        <v>788</v>
      </c>
      <c r="F930" s="24" t="s">
        <v>9</v>
      </c>
      <c r="G930" s="24" t="s">
        <v>8</v>
      </c>
      <c r="H930" s="24" t="s">
        <v>80</v>
      </c>
      <c r="I930" s="27">
        <v>780.64</v>
      </c>
    </row>
    <row r="931" spans="2:9" ht="16">
      <c r="B931" s="24" t="s">
        <v>77</v>
      </c>
      <c r="C931" s="24" t="s">
        <v>13</v>
      </c>
      <c r="D931" s="24" t="s">
        <v>648</v>
      </c>
      <c r="E931" s="24" t="s">
        <v>789</v>
      </c>
      <c r="F931" s="24" t="s">
        <v>9</v>
      </c>
      <c r="G931" s="24" t="s">
        <v>8</v>
      </c>
      <c r="H931" s="24" t="s">
        <v>790</v>
      </c>
      <c r="I931" s="27">
        <v>428.62</v>
      </c>
    </row>
    <row r="932" spans="2:9" ht="16">
      <c r="B932" s="24" t="s">
        <v>77</v>
      </c>
      <c r="C932" s="24" t="s">
        <v>13</v>
      </c>
      <c r="D932" s="24" t="s">
        <v>791</v>
      </c>
      <c r="E932" s="24" t="s">
        <v>792</v>
      </c>
      <c r="F932" s="24" t="s">
        <v>9</v>
      </c>
      <c r="G932" s="24" t="s">
        <v>8</v>
      </c>
      <c r="H932" s="24" t="s">
        <v>793</v>
      </c>
      <c r="I932" s="27">
        <v>467.4</v>
      </c>
    </row>
    <row r="933" spans="1:9" ht="16">
      <c r="A933" s="35" t="s">
        <v>81</v>
      </c>
      <c r="I933" s="28">
        <f>I927+I928+I929+I930+I931+I932</f>
        <v>3603.2</v>
      </c>
    </row>
    <row r="934" spans="1:1" ht="16">
      <c r="A934" s="34" t="s">
        <v>783</v>
      </c>
    </row>
    <row r="935" spans="2:9" ht="16">
      <c r="B935" s="24" t="s">
        <v>794</v>
      </c>
      <c r="C935" s="24" t="s">
        <v>6</v>
      </c>
      <c r="D935" s="24" t="s">
        <v>795</v>
      </c>
      <c r="E935" s="24" t="s">
        <v>8</v>
      </c>
      <c r="F935" s="24" t="s">
        <v>42</v>
      </c>
      <c r="G935" s="24" t="s">
        <v>8</v>
      </c>
      <c r="H935" s="24" t="s">
        <v>796</v>
      </c>
      <c r="I935" s="27">
        <v>9.43</v>
      </c>
    </row>
    <row r="936" spans="1:9" ht="16">
      <c r="A936" s="35" t="s">
        <v>797</v>
      </c>
      <c r="I936" s="28">
        <f>I934+I935</f>
        <v>9.43</v>
      </c>
    </row>
    <row r="937" spans="1:1" ht="16">
      <c r="A937" s="34" t="s">
        <v>783</v>
      </c>
    </row>
    <row r="938" spans="2:9" ht="16">
      <c r="B938" s="24" t="s">
        <v>119</v>
      </c>
      <c r="C938" s="24" t="s">
        <v>6</v>
      </c>
      <c r="D938" s="24" t="s">
        <v>446</v>
      </c>
      <c r="E938" s="24" t="s">
        <v>8</v>
      </c>
      <c r="F938" s="24" t="s">
        <v>9</v>
      </c>
      <c r="G938" s="24" t="s">
        <v>8</v>
      </c>
      <c r="H938" s="24" t="s">
        <v>798</v>
      </c>
      <c r="I938" s="27">
        <v>185.22</v>
      </c>
    </row>
    <row r="939" spans="2:9" ht="16">
      <c r="B939" s="24" t="s">
        <v>589</v>
      </c>
      <c r="C939" s="24" t="s">
        <v>6</v>
      </c>
      <c r="D939" s="24" t="s">
        <v>799</v>
      </c>
      <c r="E939" s="24" t="s">
        <v>800</v>
      </c>
      <c r="F939" s="24" t="s">
        <v>9</v>
      </c>
      <c r="G939" s="24" t="s">
        <v>8</v>
      </c>
      <c r="H939" s="24" t="s">
        <v>801</v>
      </c>
      <c r="I939" s="27">
        <v>145.36</v>
      </c>
    </row>
    <row r="940" spans="2:9" ht="16">
      <c r="B940" s="24" t="s">
        <v>12</v>
      </c>
      <c r="C940" s="24" t="s">
        <v>13</v>
      </c>
      <c r="D940" s="24" t="s">
        <v>802</v>
      </c>
      <c r="E940" s="24" t="s">
        <v>803</v>
      </c>
      <c r="F940" s="24" t="s">
        <v>9</v>
      </c>
      <c r="G940" s="24" t="s">
        <v>8</v>
      </c>
      <c r="H940" s="24" t="s">
        <v>16</v>
      </c>
      <c r="I940" s="27">
        <v>153.09</v>
      </c>
    </row>
    <row r="941" spans="2:9" ht="16">
      <c r="B941" s="24" t="s">
        <v>589</v>
      </c>
      <c r="C941" s="24" t="s">
        <v>139</v>
      </c>
      <c r="D941" s="24" t="s">
        <v>804</v>
      </c>
      <c r="E941" s="24" t="s">
        <v>8</v>
      </c>
      <c r="F941" s="24" t="s">
        <v>9</v>
      </c>
      <c r="G941" s="24" t="s">
        <v>8</v>
      </c>
      <c r="H941" s="24" t="s">
        <v>805</v>
      </c>
      <c r="I941" s="27">
        <v>-180.43</v>
      </c>
    </row>
    <row r="942" spans="2:9" ht="16">
      <c r="B942" s="24" t="s">
        <v>589</v>
      </c>
      <c r="C942" s="24" t="s">
        <v>139</v>
      </c>
      <c r="D942" s="24" t="s">
        <v>804</v>
      </c>
      <c r="E942" s="24" t="s">
        <v>8</v>
      </c>
      <c r="F942" s="24" t="s">
        <v>9</v>
      </c>
      <c r="G942" s="24" t="s">
        <v>8</v>
      </c>
      <c r="H942" s="24" t="s">
        <v>805</v>
      </c>
      <c r="I942" s="27">
        <v>180.43</v>
      </c>
    </row>
    <row r="943" spans="2:9" ht="16">
      <c r="B943" s="24" t="s">
        <v>589</v>
      </c>
      <c r="C943" s="24" t="s">
        <v>139</v>
      </c>
      <c r="D943" s="24" t="s">
        <v>280</v>
      </c>
      <c r="E943" s="24" t="s">
        <v>8</v>
      </c>
      <c r="F943" s="24" t="s">
        <v>9</v>
      </c>
      <c r="G943" s="24" t="s">
        <v>8</v>
      </c>
      <c r="H943" s="24" t="s">
        <v>591</v>
      </c>
      <c r="I943" s="27">
        <v>40.61</v>
      </c>
    </row>
    <row r="944" spans="2:9" ht="16">
      <c r="B944" s="24" t="s">
        <v>589</v>
      </c>
      <c r="C944" s="24" t="s">
        <v>139</v>
      </c>
      <c r="D944" s="24" t="s">
        <v>280</v>
      </c>
      <c r="E944" s="24" t="s">
        <v>8</v>
      </c>
      <c r="F944" s="24" t="s">
        <v>9</v>
      </c>
      <c r="G944" s="24" t="s">
        <v>8</v>
      </c>
      <c r="H944" s="24" t="s">
        <v>591</v>
      </c>
      <c r="I944" s="27">
        <v>-40.61</v>
      </c>
    </row>
    <row r="945" spans="2:9" ht="16">
      <c r="B945" s="24" t="s">
        <v>589</v>
      </c>
      <c r="C945" s="24" t="s">
        <v>6</v>
      </c>
      <c r="D945" s="24" t="s">
        <v>806</v>
      </c>
      <c r="E945" s="24" t="s">
        <v>807</v>
      </c>
      <c r="F945" s="24" t="s">
        <v>9</v>
      </c>
      <c r="G945" s="24" t="s">
        <v>8</v>
      </c>
      <c r="H945" s="24" t="s">
        <v>808</v>
      </c>
      <c r="I945" s="27">
        <v>55.26</v>
      </c>
    </row>
    <row r="946" spans="2:9" ht="16">
      <c r="B946" s="24" t="s">
        <v>589</v>
      </c>
      <c r="C946" s="24" t="s">
        <v>6</v>
      </c>
      <c r="D946" s="24" t="s">
        <v>619</v>
      </c>
      <c r="E946" s="24" t="s">
        <v>807</v>
      </c>
      <c r="F946" s="24" t="s">
        <v>9</v>
      </c>
      <c r="G946" s="24" t="s">
        <v>8</v>
      </c>
      <c r="H946" s="24" t="s">
        <v>809</v>
      </c>
      <c r="I946" s="27">
        <v>45.63</v>
      </c>
    </row>
    <row r="947" spans="2:9" ht="16">
      <c r="B947" s="24" t="s">
        <v>589</v>
      </c>
      <c r="C947" s="24" t="s">
        <v>6</v>
      </c>
      <c r="D947" s="24" t="s">
        <v>619</v>
      </c>
      <c r="E947" s="24" t="s">
        <v>807</v>
      </c>
      <c r="F947" s="24" t="s">
        <v>9</v>
      </c>
      <c r="G947" s="24" t="s">
        <v>8</v>
      </c>
      <c r="H947" s="24" t="s">
        <v>810</v>
      </c>
      <c r="I947" s="27">
        <v>540.19</v>
      </c>
    </row>
    <row r="948" spans="2:9" ht="16">
      <c r="B948" s="24" t="s">
        <v>811</v>
      </c>
      <c r="C948" s="24" t="s">
        <v>6</v>
      </c>
      <c r="D948" s="24" t="s">
        <v>247</v>
      </c>
      <c r="E948" s="24" t="s">
        <v>8</v>
      </c>
      <c r="F948" s="24" t="s">
        <v>9</v>
      </c>
      <c r="G948" s="24" t="s">
        <v>8</v>
      </c>
      <c r="H948" s="24" t="s">
        <v>812</v>
      </c>
      <c r="I948" s="27">
        <v>69.14</v>
      </c>
    </row>
    <row r="949" spans="2:9" ht="16">
      <c r="B949" s="24" t="s">
        <v>589</v>
      </c>
      <c r="C949" s="24" t="s">
        <v>6</v>
      </c>
      <c r="D949" s="24" t="s">
        <v>619</v>
      </c>
      <c r="E949" s="24" t="s">
        <v>807</v>
      </c>
      <c r="F949" s="24" t="s">
        <v>9</v>
      </c>
      <c r="G949" s="24" t="s">
        <v>8</v>
      </c>
      <c r="H949" s="24" t="s">
        <v>813</v>
      </c>
      <c r="I949" s="27">
        <v>180.43</v>
      </c>
    </row>
    <row r="950" spans="2:9" ht="16">
      <c r="B950" s="24" t="s">
        <v>814</v>
      </c>
      <c r="C950" s="24" t="s">
        <v>6</v>
      </c>
      <c r="D950" s="24" t="s">
        <v>646</v>
      </c>
      <c r="E950" s="24" t="s">
        <v>8</v>
      </c>
      <c r="F950" s="24" t="s">
        <v>9</v>
      </c>
      <c r="G950" s="24" t="s">
        <v>8</v>
      </c>
      <c r="H950" s="24" t="s">
        <v>815</v>
      </c>
      <c r="I950" s="27">
        <v>186.09</v>
      </c>
    </row>
    <row r="951" spans="2:9" ht="16">
      <c r="B951" s="24" t="s">
        <v>814</v>
      </c>
      <c r="C951" s="24" t="s">
        <v>6</v>
      </c>
      <c r="D951" s="24" t="s">
        <v>646</v>
      </c>
      <c r="E951" s="24" t="s">
        <v>8</v>
      </c>
      <c r="F951" s="24" t="s">
        <v>9</v>
      </c>
      <c r="G951" s="24" t="s">
        <v>8</v>
      </c>
      <c r="H951" s="24" t="s">
        <v>815</v>
      </c>
      <c r="I951" s="27">
        <v>43.78</v>
      </c>
    </row>
    <row r="952" spans="2:9" ht="16">
      <c r="B952" s="24" t="s">
        <v>589</v>
      </c>
      <c r="C952" s="24" t="s">
        <v>6</v>
      </c>
      <c r="D952" s="24" t="s">
        <v>806</v>
      </c>
      <c r="E952" s="24" t="s">
        <v>816</v>
      </c>
      <c r="F952" s="24" t="s">
        <v>9</v>
      </c>
      <c r="G952" s="24" t="s">
        <v>8</v>
      </c>
      <c r="H952" s="24" t="s">
        <v>817</v>
      </c>
      <c r="I952" s="27">
        <v>126.8</v>
      </c>
    </row>
    <row r="953" spans="2:9" ht="16">
      <c r="B953" s="24" t="s">
        <v>36</v>
      </c>
      <c r="C953" s="24" t="s">
        <v>6</v>
      </c>
      <c r="D953" s="24" t="s">
        <v>818</v>
      </c>
      <c r="E953" s="24" t="s">
        <v>8</v>
      </c>
      <c r="F953" s="24" t="s">
        <v>9</v>
      </c>
      <c r="G953" s="24" t="s">
        <v>8</v>
      </c>
      <c r="H953" s="24" t="s">
        <v>819</v>
      </c>
      <c r="I953" s="27">
        <v>51.22</v>
      </c>
    </row>
    <row r="954" spans="2:9" ht="16">
      <c r="B954" s="24" t="s">
        <v>36</v>
      </c>
      <c r="C954" s="24" t="s">
        <v>6</v>
      </c>
      <c r="D954" s="24" t="s">
        <v>471</v>
      </c>
      <c r="E954" s="24" t="s">
        <v>8</v>
      </c>
      <c r="F954" s="24" t="s">
        <v>9</v>
      </c>
      <c r="G954" s="24" t="s">
        <v>8</v>
      </c>
      <c r="H954" s="24" t="s">
        <v>820</v>
      </c>
      <c r="I954" s="27">
        <v>2367.74</v>
      </c>
    </row>
    <row r="955" spans="2:9" ht="16">
      <c r="B955" s="24" t="s">
        <v>36</v>
      </c>
      <c r="C955" s="24" t="s">
        <v>6</v>
      </c>
      <c r="D955" s="24" t="s">
        <v>821</v>
      </c>
      <c r="E955" s="24" t="s">
        <v>8</v>
      </c>
      <c r="F955" s="24" t="s">
        <v>9</v>
      </c>
      <c r="G955" s="24" t="s">
        <v>8</v>
      </c>
      <c r="H955" s="24" t="s">
        <v>822</v>
      </c>
      <c r="I955" s="27">
        <v>67.57</v>
      </c>
    </row>
    <row r="956" spans="2:9" ht="16">
      <c r="B956" s="24" t="s">
        <v>21</v>
      </c>
      <c r="C956" s="24" t="s">
        <v>13</v>
      </c>
      <c r="D956" s="24" t="s">
        <v>823</v>
      </c>
      <c r="E956" s="24" t="s">
        <v>824</v>
      </c>
      <c r="F956" s="24" t="s">
        <v>9</v>
      </c>
      <c r="G956" s="24" t="s">
        <v>8</v>
      </c>
      <c r="H956" s="24" t="s">
        <v>24</v>
      </c>
      <c r="I956" s="27">
        <v>3757.05</v>
      </c>
    </row>
    <row r="957" spans="2:9" ht="16">
      <c r="B957" s="24" t="s">
        <v>21</v>
      </c>
      <c r="C957" s="24" t="s">
        <v>13</v>
      </c>
      <c r="D957" s="24" t="s">
        <v>194</v>
      </c>
      <c r="E957" s="24" t="s">
        <v>825</v>
      </c>
      <c r="F957" s="24" t="s">
        <v>9</v>
      </c>
      <c r="G957" s="24" t="s">
        <v>8</v>
      </c>
      <c r="H957" s="24" t="s">
        <v>24</v>
      </c>
      <c r="I957" s="27">
        <v>604.05</v>
      </c>
    </row>
    <row r="958" spans="2:9" ht="16">
      <c r="B958" s="24" t="s">
        <v>21</v>
      </c>
      <c r="C958" s="24" t="s">
        <v>13</v>
      </c>
      <c r="D958" s="24" t="s">
        <v>537</v>
      </c>
      <c r="E958" s="24" t="s">
        <v>826</v>
      </c>
      <c r="F958" s="24" t="s">
        <v>9</v>
      </c>
      <c r="G958" s="24" t="s">
        <v>8</v>
      </c>
      <c r="H958" s="24" t="s">
        <v>24</v>
      </c>
      <c r="I958" s="27">
        <v>159.54</v>
      </c>
    </row>
    <row r="959" spans="2:9" ht="16">
      <c r="B959" s="24" t="s">
        <v>21</v>
      </c>
      <c r="C959" s="24" t="s">
        <v>13</v>
      </c>
      <c r="D959" s="24" t="s">
        <v>520</v>
      </c>
      <c r="E959" s="24" t="s">
        <v>827</v>
      </c>
      <c r="F959" s="24" t="s">
        <v>9</v>
      </c>
      <c r="G959" s="24" t="s">
        <v>8</v>
      </c>
      <c r="H959" s="24" t="s">
        <v>24</v>
      </c>
      <c r="I959" s="27">
        <v>2157.0</v>
      </c>
    </row>
    <row r="960" spans="2:9" ht="16">
      <c r="B960" s="24" t="s">
        <v>21</v>
      </c>
      <c r="C960" s="24" t="s">
        <v>13</v>
      </c>
      <c r="D960" s="24" t="s">
        <v>747</v>
      </c>
      <c r="E960" s="24" t="s">
        <v>828</v>
      </c>
      <c r="F960" s="24" t="s">
        <v>9</v>
      </c>
      <c r="G960" s="24" t="s">
        <v>8</v>
      </c>
      <c r="H960" s="24" t="s">
        <v>24</v>
      </c>
      <c r="I960" s="27">
        <v>186.2</v>
      </c>
    </row>
    <row r="961" spans="2:9" ht="16">
      <c r="B961" s="24" t="s">
        <v>21</v>
      </c>
      <c r="C961" s="24" t="s">
        <v>13</v>
      </c>
      <c r="D961" s="24" t="s">
        <v>471</v>
      </c>
      <c r="E961" s="24" t="s">
        <v>829</v>
      </c>
      <c r="F961" s="24" t="s">
        <v>9</v>
      </c>
      <c r="G961" s="24" t="s">
        <v>8</v>
      </c>
      <c r="H961" s="24" t="s">
        <v>24</v>
      </c>
      <c r="I961" s="27">
        <v>592.8</v>
      </c>
    </row>
    <row r="962" spans="2:9" ht="16">
      <c r="B962" s="24" t="s">
        <v>21</v>
      </c>
      <c r="C962" s="24" t="s">
        <v>13</v>
      </c>
      <c r="D962" s="24" t="s">
        <v>821</v>
      </c>
      <c r="E962" s="24" t="s">
        <v>830</v>
      </c>
      <c r="F962" s="24" t="s">
        <v>9</v>
      </c>
      <c r="G962" s="24" t="s">
        <v>8</v>
      </c>
      <c r="H962" s="24" t="s">
        <v>24</v>
      </c>
      <c r="I962" s="27">
        <v>412.8</v>
      </c>
    </row>
    <row r="963" spans="2:9" ht="16">
      <c r="B963" s="24" t="s">
        <v>21</v>
      </c>
      <c r="C963" s="24" t="s">
        <v>13</v>
      </c>
      <c r="D963" s="24" t="s">
        <v>247</v>
      </c>
      <c r="E963" s="24" t="s">
        <v>248</v>
      </c>
      <c r="F963" s="24" t="s">
        <v>9</v>
      </c>
      <c r="G963" s="24" t="s">
        <v>8</v>
      </c>
      <c r="H963" s="24" t="s">
        <v>24</v>
      </c>
      <c r="I963" s="27">
        <v>753.66</v>
      </c>
    </row>
    <row r="964" spans="2:9" ht="16">
      <c r="B964" s="24" t="s">
        <v>21</v>
      </c>
      <c r="C964" s="24" t="s">
        <v>13</v>
      </c>
      <c r="D964" s="24" t="s">
        <v>499</v>
      </c>
      <c r="E964" s="24" t="s">
        <v>831</v>
      </c>
      <c r="F964" s="24" t="s">
        <v>9</v>
      </c>
      <c r="G964" s="24" t="s">
        <v>8</v>
      </c>
      <c r="H964" s="24" t="s">
        <v>24</v>
      </c>
      <c r="I964" s="27">
        <v>332.8</v>
      </c>
    </row>
    <row r="965" spans="2:9" ht="16">
      <c r="B965" s="24" t="s">
        <v>21</v>
      </c>
      <c r="C965" s="24" t="s">
        <v>13</v>
      </c>
      <c r="D965" s="24" t="s">
        <v>832</v>
      </c>
      <c r="E965" s="24" t="s">
        <v>833</v>
      </c>
      <c r="F965" s="24" t="s">
        <v>9</v>
      </c>
      <c r="G965" s="24" t="s">
        <v>8</v>
      </c>
      <c r="H965" s="24" t="s">
        <v>834</v>
      </c>
      <c r="I965" s="27">
        <v>900.8</v>
      </c>
    </row>
    <row r="966" spans="2:9" ht="16">
      <c r="B966" s="24" t="s">
        <v>21</v>
      </c>
      <c r="C966" s="24" t="s">
        <v>13</v>
      </c>
      <c r="D966" s="24" t="s">
        <v>550</v>
      </c>
      <c r="E966" s="24" t="s">
        <v>835</v>
      </c>
      <c r="F966" s="24" t="s">
        <v>9</v>
      </c>
      <c r="G966" s="24" t="s">
        <v>8</v>
      </c>
      <c r="H966" s="24" t="s">
        <v>834</v>
      </c>
      <c r="I966" s="27">
        <v>541.11</v>
      </c>
    </row>
    <row r="967" spans="2:9" ht="16">
      <c r="B967" s="24" t="s">
        <v>5</v>
      </c>
      <c r="C967" s="24" t="s">
        <v>13</v>
      </c>
      <c r="D967" s="24" t="s">
        <v>529</v>
      </c>
      <c r="E967" s="24" t="s">
        <v>836</v>
      </c>
      <c r="F967" s="24" t="s">
        <v>9</v>
      </c>
      <c r="G967" s="24" t="s">
        <v>8</v>
      </c>
      <c r="H967" s="24" t="s">
        <v>837</v>
      </c>
      <c r="I967" s="27">
        <v>985.08</v>
      </c>
    </row>
    <row r="968" spans="2:9" ht="16">
      <c r="B968" s="24" t="s">
        <v>589</v>
      </c>
      <c r="C968" s="24" t="s">
        <v>6</v>
      </c>
      <c r="D968" s="24" t="s">
        <v>806</v>
      </c>
      <c r="E968" s="24" t="s">
        <v>807</v>
      </c>
      <c r="F968" s="24" t="s">
        <v>9</v>
      </c>
      <c r="G968" s="24" t="s">
        <v>8</v>
      </c>
      <c r="H968" s="24" t="s">
        <v>838</v>
      </c>
      <c r="I968" s="27">
        <v>81.22</v>
      </c>
    </row>
    <row r="969" spans="2:9" ht="16">
      <c r="B969" s="24" t="s">
        <v>589</v>
      </c>
      <c r="C969" s="24" t="s">
        <v>6</v>
      </c>
      <c r="D969" s="24" t="s">
        <v>806</v>
      </c>
      <c r="E969" s="24" t="s">
        <v>807</v>
      </c>
      <c r="F969" s="24" t="s">
        <v>9</v>
      </c>
      <c r="G969" s="24" t="s">
        <v>8</v>
      </c>
      <c r="H969" s="24" t="s">
        <v>839</v>
      </c>
      <c r="I969" s="27">
        <v>21.86</v>
      </c>
    </row>
    <row r="970" spans="2:9" ht="16">
      <c r="B970" s="24" t="s">
        <v>589</v>
      </c>
      <c r="C970" s="24" t="s">
        <v>6</v>
      </c>
      <c r="D970" s="24" t="s">
        <v>799</v>
      </c>
      <c r="E970" s="24" t="s">
        <v>800</v>
      </c>
      <c r="F970" s="24" t="s">
        <v>9</v>
      </c>
      <c r="G970" s="24" t="s">
        <v>8</v>
      </c>
      <c r="H970" s="24" t="s">
        <v>840</v>
      </c>
      <c r="I970" s="27">
        <v>382.62</v>
      </c>
    </row>
    <row r="971" spans="2:9" ht="16">
      <c r="B971" s="24" t="s">
        <v>36</v>
      </c>
      <c r="C971" s="24" t="s">
        <v>6</v>
      </c>
      <c r="D971" s="24" t="s">
        <v>286</v>
      </c>
      <c r="E971" s="24" t="s">
        <v>8</v>
      </c>
      <c r="F971" s="24" t="s">
        <v>9</v>
      </c>
      <c r="G971" s="24" t="s">
        <v>8</v>
      </c>
      <c r="H971" s="24" t="s">
        <v>841</v>
      </c>
      <c r="I971" s="27">
        <v>1637.56</v>
      </c>
    </row>
    <row r="972" spans="2:9" ht="16">
      <c r="B972" s="24" t="s">
        <v>488</v>
      </c>
      <c r="C972" s="24" t="s">
        <v>6</v>
      </c>
      <c r="D972" s="24" t="s">
        <v>533</v>
      </c>
      <c r="E972" s="24" t="s">
        <v>8</v>
      </c>
      <c r="F972" s="24" t="s">
        <v>9</v>
      </c>
      <c r="G972" s="24" t="s">
        <v>8</v>
      </c>
      <c r="H972" s="24" t="s">
        <v>842</v>
      </c>
      <c r="I972" s="27">
        <v>1157.15</v>
      </c>
    </row>
    <row r="973" spans="2:9" ht="16">
      <c r="B973" s="24" t="s">
        <v>488</v>
      </c>
      <c r="C973" s="24" t="s">
        <v>6</v>
      </c>
      <c r="D973" s="24" t="s">
        <v>283</v>
      </c>
      <c r="E973" s="24" t="s">
        <v>8</v>
      </c>
      <c r="F973" s="24" t="s">
        <v>9</v>
      </c>
      <c r="G973" s="24" t="s">
        <v>8</v>
      </c>
      <c r="H973" s="24" t="s">
        <v>843</v>
      </c>
      <c r="I973" s="27">
        <v>1662.38</v>
      </c>
    </row>
    <row r="974" spans="2:9" ht="16">
      <c r="B974" s="24" t="s">
        <v>119</v>
      </c>
      <c r="C974" s="24" t="s">
        <v>6</v>
      </c>
      <c r="D974" s="24" t="s">
        <v>799</v>
      </c>
      <c r="E974" s="24" t="s">
        <v>8</v>
      </c>
      <c r="F974" s="24" t="s">
        <v>9</v>
      </c>
      <c r="G974" s="24" t="s">
        <v>8</v>
      </c>
      <c r="H974" s="24" t="s">
        <v>844</v>
      </c>
      <c r="I974" s="27">
        <v>98.31</v>
      </c>
    </row>
    <row r="975" spans="2:9" ht="16">
      <c r="B975" s="24" t="s">
        <v>119</v>
      </c>
      <c r="C975" s="24" t="s">
        <v>6</v>
      </c>
      <c r="D975" s="24" t="s">
        <v>240</v>
      </c>
      <c r="E975" s="24" t="s">
        <v>8</v>
      </c>
      <c r="F975" s="24" t="s">
        <v>9</v>
      </c>
      <c r="G975" s="24" t="s">
        <v>8</v>
      </c>
      <c r="H975" s="24" t="s">
        <v>845</v>
      </c>
      <c r="I975" s="27">
        <v>29.7</v>
      </c>
    </row>
    <row r="976" spans="2:9" ht="16">
      <c r="B976" s="24" t="s">
        <v>811</v>
      </c>
      <c r="C976" s="24" t="s">
        <v>6</v>
      </c>
      <c r="D976" s="24" t="s">
        <v>846</v>
      </c>
      <c r="E976" s="24" t="s">
        <v>8</v>
      </c>
      <c r="F976" s="24" t="s">
        <v>9</v>
      </c>
      <c r="G976" s="24" t="s">
        <v>8</v>
      </c>
      <c r="H976" s="24" t="s">
        <v>847</v>
      </c>
      <c r="I976" s="27">
        <v>33.1</v>
      </c>
    </row>
    <row r="977" spans="2:9" ht="16">
      <c r="B977" s="24" t="s">
        <v>811</v>
      </c>
      <c r="C977" s="24" t="s">
        <v>6</v>
      </c>
      <c r="D977" s="24" t="s">
        <v>247</v>
      </c>
      <c r="E977" s="24" t="s">
        <v>8</v>
      </c>
      <c r="F977" s="24" t="s">
        <v>9</v>
      </c>
      <c r="G977" s="24" t="s">
        <v>8</v>
      </c>
      <c r="H977" s="24" t="s">
        <v>848</v>
      </c>
      <c r="I977" s="27">
        <v>787.35</v>
      </c>
    </row>
    <row r="978" spans="2:9" ht="16">
      <c r="B978" s="24" t="s">
        <v>811</v>
      </c>
      <c r="C978" s="24" t="s">
        <v>6</v>
      </c>
      <c r="D978" s="24" t="s">
        <v>619</v>
      </c>
      <c r="E978" s="24" t="s">
        <v>8</v>
      </c>
      <c r="F978" s="24" t="s">
        <v>9</v>
      </c>
      <c r="G978" s="24" t="s">
        <v>8</v>
      </c>
      <c r="H978" s="24" t="s">
        <v>849</v>
      </c>
      <c r="I978" s="27">
        <v>190.62</v>
      </c>
    </row>
    <row r="979" spans="2:9" ht="16">
      <c r="B979" s="24" t="s">
        <v>850</v>
      </c>
      <c r="C979" s="24" t="s">
        <v>6</v>
      </c>
      <c r="D979" s="24" t="s">
        <v>247</v>
      </c>
      <c r="E979" s="24" t="s">
        <v>8</v>
      </c>
      <c r="F979" s="24" t="s">
        <v>9</v>
      </c>
      <c r="G979" s="24" t="s">
        <v>8</v>
      </c>
      <c r="H979" s="24" t="s">
        <v>851</v>
      </c>
      <c r="I979" s="27">
        <v>327.7</v>
      </c>
    </row>
    <row r="980" spans="2:9" ht="16">
      <c r="B980" s="24" t="s">
        <v>186</v>
      </c>
      <c r="C980" s="24" t="s">
        <v>6</v>
      </c>
      <c r="D980" s="24" t="s">
        <v>520</v>
      </c>
      <c r="E980" s="24" t="s">
        <v>8</v>
      </c>
      <c r="F980" s="24" t="s">
        <v>9</v>
      </c>
      <c r="G980" s="24" t="s">
        <v>8</v>
      </c>
      <c r="H980" s="24" t="s">
        <v>852</v>
      </c>
      <c r="I980" s="27">
        <v>81.77</v>
      </c>
    </row>
    <row r="981" spans="2:9" ht="16">
      <c r="B981" s="24" t="s">
        <v>186</v>
      </c>
      <c r="C981" s="24" t="s">
        <v>6</v>
      </c>
      <c r="D981" s="24" t="s">
        <v>520</v>
      </c>
      <c r="E981" s="24" t="s">
        <v>8</v>
      </c>
      <c r="F981" s="24" t="s">
        <v>9</v>
      </c>
      <c r="G981" s="24" t="s">
        <v>8</v>
      </c>
      <c r="H981" s="24" t="s">
        <v>852</v>
      </c>
      <c r="I981" s="27">
        <v>117.64</v>
      </c>
    </row>
    <row r="982" spans="2:9" ht="16">
      <c r="B982" s="24" t="s">
        <v>186</v>
      </c>
      <c r="C982" s="24" t="s">
        <v>6</v>
      </c>
      <c r="D982" s="24" t="s">
        <v>520</v>
      </c>
      <c r="E982" s="24" t="s">
        <v>8</v>
      </c>
      <c r="F982" s="24" t="s">
        <v>9</v>
      </c>
      <c r="G982" s="24" t="s">
        <v>8</v>
      </c>
      <c r="H982" s="24" t="s">
        <v>853</v>
      </c>
      <c r="I982" s="27">
        <v>1296.97</v>
      </c>
    </row>
    <row r="983" spans="2:9" ht="16">
      <c r="B983" s="24" t="s">
        <v>811</v>
      </c>
      <c r="C983" s="24" t="s">
        <v>6</v>
      </c>
      <c r="D983" s="24" t="s">
        <v>846</v>
      </c>
      <c r="E983" s="24" t="s">
        <v>8</v>
      </c>
      <c r="F983" s="24" t="s">
        <v>9</v>
      </c>
      <c r="G983" s="24" t="s">
        <v>8</v>
      </c>
      <c r="H983" s="24" t="s">
        <v>854</v>
      </c>
      <c r="I983" s="27">
        <v>728.0</v>
      </c>
    </row>
    <row r="984" spans="2:9" ht="16">
      <c r="B984" s="24" t="s">
        <v>814</v>
      </c>
      <c r="C984" s="24" t="s">
        <v>6</v>
      </c>
      <c r="D984" s="24" t="s">
        <v>846</v>
      </c>
      <c r="E984" s="24" t="s">
        <v>8</v>
      </c>
      <c r="F984" s="24" t="s">
        <v>9</v>
      </c>
      <c r="G984" s="24" t="s">
        <v>8</v>
      </c>
      <c r="H984" s="24" t="s">
        <v>855</v>
      </c>
      <c r="I984" s="27">
        <v>129.14</v>
      </c>
    </row>
    <row r="985" spans="2:9" ht="16">
      <c r="B985" s="24" t="s">
        <v>127</v>
      </c>
      <c r="C985" s="24" t="s">
        <v>6</v>
      </c>
      <c r="D985" s="24" t="s">
        <v>846</v>
      </c>
      <c r="E985" s="24" t="s">
        <v>8</v>
      </c>
      <c r="F985" s="24" t="s">
        <v>9</v>
      </c>
      <c r="G985" s="24" t="s">
        <v>8</v>
      </c>
      <c r="H985" s="24" t="s">
        <v>856</v>
      </c>
      <c r="I985" s="27">
        <v>62.21</v>
      </c>
    </row>
    <row r="986" spans="2:9" ht="16">
      <c r="B986" s="24" t="s">
        <v>127</v>
      </c>
      <c r="C986" s="24" t="s">
        <v>6</v>
      </c>
      <c r="D986" s="24" t="s">
        <v>446</v>
      </c>
      <c r="E986" s="24" t="s">
        <v>8</v>
      </c>
      <c r="F986" s="24" t="s">
        <v>9</v>
      </c>
      <c r="G986" s="24" t="s">
        <v>8</v>
      </c>
      <c r="H986" s="24" t="s">
        <v>857</v>
      </c>
      <c r="I986" s="27">
        <v>153.23</v>
      </c>
    </row>
    <row r="987" spans="2:9" ht="16">
      <c r="B987" s="24" t="s">
        <v>119</v>
      </c>
      <c r="C987" s="24" t="s">
        <v>6</v>
      </c>
      <c r="D987" s="24" t="s">
        <v>446</v>
      </c>
      <c r="E987" s="24" t="s">
        <v>8</v>
      </c>
      <c r="F987" s="24" t="s">
        <v>9</v>
      </c>
      <c r="G987" s="24" t="s">
        <v>8</v>
      </c>
      <c r="H987" s="24" t="s">
        <v>858</v>
      </c>
      <c r="I987" s="27">
        <v>12.02</v>
      </c>
    </row>
    <row r="988" spans="2:9" ht="16">
      <c r="B988" s="24" t="s">
        <v>600</v>
      </c>
      <c r="C988" s="24" t="s">
        <v>6</v>
      </c>
      <c r="D988" s="24" t="s">
        <v>446</v>
      </c>
      <c r="E988" s="24" t="s">
        <v>8</v>
      </c>
      <c r="F988" s="24" t="s">
        <v>9</v>
      </c>
      <c r="G988" s="24" t="s">
        <v>8</v>
      </c>
      <c r="H988" s="24" t="s">
        <v>859</v>
      </c>
      <c r="I988" s="27">
        <v>8.18</v>
      </c>
    </row>
    <row r="989" spans="2:9" ht="16">
      <c r="B989" s="24" t="s">
        <v>600</v>
      </c>
      <c r="C989" s="24" t="s">
        <v>6</v>
      </c>
      <c r="D989" s="24" t="s">
        <v>282</v>
      </c>
      <c r="E989" s="24" t="s">
        <v>8</v>
      </c>
      <c r="F989" s="24" t="s">
        <v>9</v>
      </c>
      <c r="G989" s="24" t="s">
        <v>8</v>
      </c>
      <c r="H989" s="24" t="s">
        <v>860</v>
      </c>
      <c r="I989" s="27">
        <v>16.25</v>
      </c>
    </row>
    <row r="990" spans="2:9" ht="16">
      <c r="B990" s="24" t="s">
        <v>850</v>
      </c>
      <c r="C990" s="24" t="s">
        <v>6</v>
      </c>
      <c r="D990" s="24" t="s">
        <v>240</v>
      </c>
      <c r="E990" s="24" t="s">
        <v>8</v>
      </c>
      <c r="F990" s="24" t="s">
        <v>9</v>
      </c>
      <c r="G990" s="24" t="s">
        <v>8</v>
      </c>
      <c r="H990" s="24" t="s">
        <v>861</v>
      </c>
      <c r="I990" s="27">
        <v>379.54</v>
      </c>
    </row>
    <row r="991" spans="2:9" ht="16">
      <c r="B991" s="24" t="s">
        <v>600</v>
      </c>
      <c r="C991" s="24" t="s">
        <v>6</v>
      </c>
      <c r="D991" s="24" t="s">
        <v>280</v>
      </c>
      <c r="E991" s="24" t="s">
        <v>8</v>
      </c>
      <c r="F991" s="24" t="s">
        <v>9</v>
      </c>
      <c r="G991" s="24" t="s">
        <v>8</v>
      </c>
      <c r="H991" s="24" t="s">
        <v>862</v>
      </c>
      <c r="I991" s="27">
        <v>8.18</v>
      </c>
    </row>
    <row r="992" spans="2:9" ht="16">
      <c r="B992" s="24" t="s">
        <v>600</v>
      </c>
      <c r="C992" s="24" t="s">
        <v>6</v>
      </c>
      <c r="D992" s="24" t="s">
        <v>477</v>
      </c>
      <c r="E992" s="24" t="s">
        <v>8</v>
      </c>
      <c r="F992" s="24" t="s">
        <v>9</v>
      </c>
      <c r="G992" s="24" t="s">
        <v>8</v>
      </c>
      <c r="H992" s="24" t="s">
        <v>863</v>
      </c>
      <c r="I992" s="27">
        <v>8.69</v>
      </c>
    </row>
    <row r="993" spans="2:9" ht="16">
      <c r="B993" s="24" t="s">
        <v>850</v>
      </c>
      <c r="C993" s="24" t="s">
        <v>6</v>
      </c>
      <c r="D993" s="24" t="s">
        <v>204</v>
      </c>
      <c r="E993" s="24" t="s">
        <v>8</v>
      </c>
      <c r="F993" s="24" t="s">
        <v>9</v>
      </c>
      <c r="G993" s="24" t="s">
        <v>8</v>
      </c>
      <c r="H993" s="24" t="s">
        <v>864</v>
      </c>
      <c r="I993" s="27">
        <v>149.27</v>
      </c>
    </row>
    <row r="994" spans="2:9" ht="16">
      <c r="B994" s="24" t="s">
        <v>119</v>
      </c>
      <c r="C994" s="24" t="s">
        <v>6</v>
      </c>
      <c r="D994" s="24" t="s">
        <v>412</v>
      </c>
      <c r="E994" s="24" t="s">
        <v>8</v>
      </c>
      <c r="F994" s="24" t="s">
        <v>9</v>
      </c>
      <c r="G994" s="24" t="s">
        <v>8</v>
      </c>
      <c r="H994" s="24" t="s">
        <v>865</v>
      </c>
      <c r="I994" s="27">
        <v>15.25</v>
      </c>
    </row>
    <row r="995" spans="2:9" ht="16">
      <c r="B995" s="24" t="s">
        <v>119</v>
      </c>
      <c r="C995" s="24" t="s">
        <v>6</v>
      </c>
      <c r="D995" s="24" t="s">
        <v>646</v>
      </c>
      <c r="E995" s="24" t="s">
        <v>8</v>
      </c>
      <c r="F995" s="24" t="s">
        <v>9</v>
      </c>
      <c r="G995" s="24" t="s">
        <v>8</v>
      </c>
      <c r="H995" s="24" t="s">
        <v>866</v>
      </c>
      <c r="I995" s="27">
        <v>98.51</v>
      </c>
    </row>
    <row r="996" spans="2:9" ht="16">
      <c r="B996" s="24" t="s">
        <v>119</v>
      </c>
      <c r="C996" s="24" t="s">
        <v>6</v>
      </c>
      <c r="D996" s="24" t="s">
        <v>867</v>
      </c>
      <c r="E996" s="24" t="s">
        <v>8</v>
      </c>
      <c r="F996" s="24" t="s">
        <v>9</v>
      </c>
      <c r="G996" s="24" t="s">
        <v>8</v>
      </c>
      <c r="H996" s="24" t="s">
        <v>868</v>
      </c>
      <c r="I996" s="27">
        <v>86.93</v>
      </c>
    </row>
    <row r="997" spans="2:9" ht="16">
      <c r="B997" s="24" t="s">
        <v>36</v>
      </c>
      <c r="C997" s="24" t="s">
        <v>6</v>
      </c>
      <c r="D997" s="24" t="s">
        <v>869</v>
      </c>
      <c r="E997" s="24" t="s">
        <v>8</v>
      </c>
      <c r="F997" s="24" t="s">
        <v>9</v>
      </c>
      <c r="G997" s="24" t="s">
        <v>8</v>
      </c>
      <c r="H997" s="24" t="s">
        <v>870</v>
      </c>
      <c r="I997" s="27">
        <v>81.64</v>
      </c>
    </row>
    <row r="998" spans="2:9" ht="16">
      <c r="B998" s="24" t="s">
        <v>119</v>
      </c>
      <c r="C998" s="24" t="s">
        <v>6</v>
      </c>
      <c r="D998" s="24" t="s">
        <v>626</v>
      </c>
      <c r="E998" s="24" t="s">
        <v>8</v>
      </c>
      <c r="F998" s="24" t="s">
        <v>9</v>
      </c>
      <c r="G998" s="24" t="s">
        <v>8</v>
      </c>
      <c r="H998" s="24" t="s">
        <v>871</v>
      </c>
      <c r="I998" s="27">
        <v>26.21</v>
      </c>
    </row>
    <row r="999" spans="2:9" ht="16">
      <c r="B999" s="24" t="s">
        <v>17</v>
      </c>
      <c r="C999" s="24" t="s">
        <v>6</v>
      </c>
      <c r="D999" s="24" t="s">
        <v>736</v>
      </c>
      <c r="E999" s="24" t="s">
        <v>8</v>
      </c>
      <c r="F999" s="24" t="s">
        <v>9</v>
      </c>
      <c r="G999" s="24" t="s">
        <v>8</v>
      </c>
      <c r="H999" s="24" t="s">
        <v>872</v>
      </c>
      <c r="I999" s="27">
        <v>326.29</v>
      </c>
    </row>
    <row r="1000" spans="2:9" ht="16">
      <c r="B1000" s="24" t="s">
        <v>127</v>
      </c>
      <c r="C1000" s="24" t="s">
        <v>6</v>
      </c>
      <c r="D1000" s="24" t="s">
        <v>873</v>
      </c>
      <c r="E1000" s="24" t="s">
        <v>8</v>
      </c>
      <c r="F1000" s="24" t="s">
        <v>9</v>
      </c>
      <c r="G1000" s="24" t="s">
        <v>8</v>
      </c>
      <c r="H1000" s="24" t="s">
        <v>874</v>
      </c>
      <c r="I1000" s="27">
        <v>28.0</v>
      </c>
    </row>
    <row r="1001" spans="2:9" ht="16">
      <c r="B1001" s="24" t="s">
        <v>21</v>
      </c>
      <c r="C1001" s="24" t="s">
        <v>13</v>
      </c>
      <c r="D1001" s="24" t="s">
        <v>875</v>
      </c>
      <c r="E1001" s="24" t="s">
        <v>876</v>
      </c>
      <c r="F1001" s="24" t="s">
        <v>9</v>
      </c>
      <c r="G1001" s="24" t="s">
        <v>8</v>
      </c>
      <c r="H1001" s="24" t="s">
        <v>877</v>
      </c>
      <c r="I1001" s="27">
        <v>6851.42</v>
      </c>
    </row>
    <row r="1002" spans="2:9" ht="16">
      <c r="B1002" s="24" t="s">
        <v>814</v>
      </c>
      <c r="C1002" s="24" t="s">
        <v>6</v>
      </c>
      <c r="D1002" s="24" t="s">
        <v>593</v>
      </c>
      <c r="E1002" s="24" t="s">
        <v>8</v>
      </c>
      <c r="F1002" s="24" t="s">
        <v>9</v>
      </c>
      <c r="G1002" s="24" t="s">
        <v>8</v>
      </c>
      <c r="H1002" s="24" t="s">
        <v>878</v>
      </c>
      <c r="I1002" s="27">
        <v>4.37</v>
      </c>
    </row>
    <row r="1003" spans="2:9" ht="16">
      <c r="B1003" s="24" t="s">
        <v>119</v>
      </c>
      <c r="C1003" s="24" t="s">
        <v>6</v>
      </c>
      <c r="D1003" s="24" t="s">
        <v>590</v>
      </c>
      <c r="E1003" s="24" t="s">
        <v>8</v>
      </c>
      <c r="F1003" s="24" t="s">
        <v>9</v>
      </c>
      <c r="G1003" s="24" t="s">
        <v>8</v>
      </c>
      <c r="H1003" s="24" t="s">
        <v>879</v>
      </c>
      <c r="I1003" s="27">
        <v>14.56</v>
      </c>
    </row>
    <row r="1004" spans="2:9" ht="16">
      <c r="B1004" s="24" t="s">
        <v>21</v>
      </c>
      <c r="C1004" s="24" t="s">
        <v>13</v>
      </c>
      <c r="D1004" s="24" t="s">
        <v>629</v>
      </c>
      <c r="E1004" s="24" t="s">
        <v>880</v>
      </c>
      <c r="F1004" s="24" t="s">
        <v>9</v>
      </c>
      <c r="G1004" s="24" t="s">
        <v>8</v>
      </c>
      <c r="H1004" s="24" t="s">
        <v>881</v>
      </c>
      <c r="I1004" s="27">
        <v>2520.0</v>
      </c>
    </row>
    <row r="1005" spans="2:9" ht="16">
      <c r="B1005" s="24" t="s">
        <v>117</v>
      </c>
      <c r="C1005" s="24" t="s">
        <v>6</v>
      </c>
      <c r="D1005" s="24" t="s">
        <v>732</v>
      </c>
      <c r="E1005" s="24" t="s">
        <v>8</v>
      </c>
      <c r="F1005" s="24" t="s">
        <v>9</v>
      </c>
      <c r="G1005" s="24" t="s">
        <v>8</v>
      </c>
      <c r="H1005" s="24" t="s">
        <v>882</v>
      </c>
      <c r="I1005" s="27">
        <v>17.22</v>
      </c>
    </row>
    <row r="1006" spans="2:9" ht="16">
      <c r="B1006" s="24" t="s">
        <v>850</v>
      </c>
      <c r="C1006" s="24" t="s">
        <v>6</v>
      </c>
      <c r="D1006" s="24" t="s">
        <v>537</v>
      </c>
      <c r="E1006" s="24" t="s">
        <v>8</v>
      </c>
      <c r="F1006" s="24" t="s">
        <v>9</v>
      </c>
      <c r="G1006" s="24" t="s">
        <v>8</v>
      </c>
      <c r="H1006" s="24" t="s">
        <v>883</v>
      </c>
      <c r="I1006" s="27">
        <v>26.9</v>
      </c>
    </row>
    <row r="1007" spans="2:9" ht="16">
      <c r="B1007" s="24" t="s">
        <v>814</v>
      </c>
      <c r="C1007" s="24" t="s">
        <v>6</v>
      </c>
      <c r="D1007" s="24" t="s">
        <v>537</v>
      </c>
      <c r="E1007" s="24" t="s">
        <v>8</v>
      </c>
      <c r="F1007" s="24" t="s">
        <v>9</v>
      </c>
      <c r="G1007" s="24" t="s">
        <v>8</v>
      </c>
      <c r="H1007" s="24" t="s">
        <v>884</v>
      </c>
      <c r="I1007" s="27">
        <v>28.4</v>
      </c>
    </row>
    <row r="1008" spans="2:9" ht="16">
      <c r="B1008" s="24" t="s">
        <v>119</v>
      </c>
      <c r="C1008" s="24" t="s">
        <v>6</v>
      </c>
      <c r="D1008" s="24" t="s">
        <v>885</v>
      </c>
      <c r="E1008" s="24" t="s">
        <v>8</v>
      </c>
      <c r="F1008" s="24" t="s">
        <v>9</v>
      </c>
      <c r="G1008" s="24" t="s">
        <v>8</v>
      </c>
      <c r="H1008" s="24" t="s">
        <v>886</v>
      </c>
      <c r="I1008" s="27">
        <v>250.73</v>
      </c>
    </row>
    <row r="1009" spans="2:9" ht="16">
      <c r="B1009" s="24" t="s">
        <v>119</v>
      </c>
      <c r="C1009" s="24" t="s">
        <v>6</v>
      </c>
      <c r="D1009" s="24" t="s">
        <v>537</v>
      </c>
      <c r="E1009" s="24" t="s">
        <v>8</v>
      </c>
      <c r="F1009" s="24" t="s">
        <v>9</v>
      </c>
      <c r="G1009" s="24" t="s">
        <v>8</v>
      </c>
      <c r="H1009" s="24" t="s">
        <v>887</v>
      </c>
      <c r="I1009" s="27">
        <v>79.61</v>
      </c>
    </row>
    <row r="1010" spans="2:9" ht="16">
      <c r="B1010" s="24" t="s">
        <v>119</v>
      </c>
      <c r="C1010" s="24" t="s">
        <v>6</v>
      </c>
      <c r="D1010" s="24" t="s">
        <v>537</v>
      </c>
      <c r="E1010" s="24" t="s">
        <v>8</v>
      </c>
      <c r="F1010" s="24" t="s">
        <v>9</v>
      </c>
      <c r="G1010" s="24" t="s">
        <v>8</v>
      </c>
      <c r="H1010" s="24" t="s">
        <v>888</v>
      </c>
      <c r="I1010" s="27">
        <v>87.79</v>
      </c>
    </row>
    <row r="1011" spans="2:9" ht="16">
      <c r="B1011" s="24" t="s">
        <v>119</v>
      </c>
      <c r="C1011" s="24" t="s">
        <v>6</v>
      </c>
      <c r="D1011" s="24" t="s">
        <v>889</v>
      </c>
      <c r="E1011" s="24" t="s">
        <v>8</v>
      </c>
      <c r="F1011" s="24" t="s">
        <v>9</v>
      </c>
      <c r="G1011" s="24" t="s">
        <v>8</v>
      </c>
      <c r="H1011" s="24" t="s">
        <v>890</v>
      </c>
      <c r="I1011" s="27">
        <v>48.46</v>
      </c>
    </row>
    <row r="1012" spans="2:9" ht="16">
      <c r="B1012" s="24" t="s">
        <v>119</v>
      </c>
      <c r="C1012" s="24" t="s">
        <v>6</v>
      </c>
      <c r="D1012" s="24" t="s">
        <v>889</v>
      </c>
      <c r="E1012" s="24" t="s">
        <v>8</v>
      </c>
      <c r="F1012" s="24" t="s">
        <v>9</v>
      </c>
      <c r="G1012" s="24" t="s">
        <v>8</v>
      </c>
      <c r="H1012" s="24" t="s">
        <v>891</v>
      </c>
      <c r="I1012" s="27">
        <v>78.12</v>
      </c>
    </row>
    <row r="1013" spans="2:9" ht="16">
      <c r="B1013" s="24" t="s">
        <v>119</v>
      </c>
      <c r="C1013" s="24" t="s">
        <v>6</v>
      </c>
      <c r="D1013" s="24" t="s">
        <v>892</v>
      </c>
      <c r="E1013" s="24" t="s">
        <v>8</v>
      </c>
      <c r="F1013" s="24" t="s">
        <v>9</v>
      </c>
      <c r="G1013" s="24" t="s">
        <v>8</v>
      </c>
      <c r="H1013" s="24" t="s">
        <v>893</v>
      </c>
      <c r="I1013" s="27">
        <v>154.34</v>
      </c>
    </row>
    <row r="1014" spans="2:9" ht="16">
      <c r="B1014" s="24" t="s">
        <v>36</v>
      </c>
      <c r="C1014" s="24" t="s">
        <v>6</v>
      </c>
      <c r="D1014" s="24" t="s">
        <v>894</v>
      </c>
      <c r="E1014" s="24" t="s">
        <v>8</v>
      </c>
      <c r="F1014" s="24" t="s">
        <v>9</v>
      </c>
      <c r="G1014" s="24" t="s">
        <v>8</v>
      </c>
      <c r="H1014" s="24" t="s">
        <v>895</v>
      </c>
      <c r="I1014" s="27">
        <v>155.76</v>
      </c>
    </row>
    <row r="1015" spans="2:9" ht="16">
      <c r="B1015" s="24" t="s">
        <v>119</v>
      </c>
      <c r="C1015" s="24" t="s">
        <v>6</v>
      </c>
      <c r="D1015" s="24" t="s">
        <v>896</v>
      </c>
      <c r="E1015" s="24" t="s">
        <v>8</v>
      </c>
      <c r="F1015" s="24" t="s">
        <v>9</v>
      </c>
      <c r="G1015" s="24" t="s">
        <v>8</v>
      </c>
      <c r="H1015" s="24" t="s">
        <v>897</v>
      </c>
      <c r="I1015" s="27">
        <v>58.0</v>
      </c>
    </row>
    <row r="1016" spans="2:9" ht="16">
      <c r="B1016" s="24" t="s">
        <v>119</v>
      </c>
      <c r="C1016" s="24" t="s">
        <v>6</v>
      </c>
      <c r="D1016" s="24" t="s">
        <v>898</v>
      </c>
      <c r="E1016" s="24" t="s">
        <v>8</v>
      </c>
      <c r="F1016" s="24" t="s">
        <v>9</v>
      </c>
      <c r="G1016" s="24" t="s">
        <v>8</v>
      </c>
      <c r="H1016" s="24" t="s">
        <v>899</v>
      </c>
      <c r="I1016" s="27">
        <v>114.31</v>
      </c>
    </row>
    <row r="1017" spans="2:9" ht="16">
      <c r="B1017" s="24" t="s">
        <v>119</v>
      </c>
      <c r="C1017" s="24" t="s">
        <v>6</v>
      </c>
      <c r="D1017" s="24" t="s">
        <v>556</v>
      </c>
      <c r="E1017" s="24" t="s">
        <v>8</v>
      </c>
      <c r="F1017" s="24" t="s">
        <v>9</v>
      </c>
      <c r="G1017" s="24" t="s">
        <v>8</v>
      </c>
      <c r="H1017" s="24" t="s">
        <v>900</v>
      </c>
      <c r="I1017" s="27">
        <v>145.14</v>
      </c>
    </row>
    <row r="1018" spans="2:9" ht="16">
      <c r="B1018" s="24" t="s">
        <v>119</v>
      </c>
      <c r="C1018" s="24" t="s">
        <v>6</v>
      </c>
      <c r="D1018" s="24" t="s">
        <v>901</v>
      </c>
      <c r="E1018" s="24" t="s">
        <v>8</v>
      </c>
      <c r="F1018" s="24" t="s">
        <v>9</v>
      </c>
      <c r="G1018" s="24" t="s">
        <v>8</v>
      </c>
      <c r="H1018" s="24" t="s">
        <v>902</v>
      </c>
      <c r="I1018" s="27">
        <v>13.14</v>
      </c>
    </row>
    <row r="1019" spans="2:9" ht="16">
      <c r="B1019" s="24" t="s">
        <v>119</v>
      </c>
      <c r="C1019" s="24" t="s">
        <v>6</v>
      </c>
      <c r="D1019" s="24" t="s">
        <v>903</v>
      </c>
      <c r="E1019" s="24" t="s">
        <v>8</v>
      </c>
      <c r="F1019" s="24" t="s">
        <v>9</v>
      </c>
      <c r="G1019" s="24" t="s">
        <v>8</v>
      </c>
      <c r="H1019" s="24" t="s">
        <v>904</v>
      </c>
      <c r="I1019" s="27">
        <v>38.98</v>
      </c>
    </row>
    <row r="1020" spans="2:9" ht="16">
      <c r="B1020" s="24" t="s">
        <v>8</v>
      </c>
      <c r="C1020" s="24" t="s">
        <v>139</v>
      </c>
      <c r="D1020" s="24" t="s">
        <v>846</v>
      </c>
      <c r="E1020" s="24" t="s">
        <v>8</v>
      </c>
      <c r="F1020" s="24" t="s">
        <v>9</v>
      </c>
      <c r="G1020" s="24" t="s">
        <v>8</v>
      </c>
      <c r="H1020" s="24" t="s">
        <v>905</v>
      </c>
      <c r="I1020" s="27">
        <v>-270.12</v>
      </c>
    </row>
    <row r="1021" spans="2:9" ht="16">
      <c r="B1021" s="24" t="s">
        <v>8</v>
      </c>
      <c r="C1021" s="24" t="s">
        <v>139</v>
      </c>
      <c r="D1021" s="24" t="s">
        <v>247</v>
      </c>
      <c r="E1021" s="24" t="s">
        <v>8</v>
      </c>
      <c r="F1021" s="24" t="s">
        <v>9</v>
      </c>
      <c r="G1021" s="24" t="s">
        <v>8</v>
      </c>
      <c r="H1021" s="24" t="s">
        <v>906</v>
      </c>
      <c r="I1021" s="27">
        <v>-142.31</v>
      </c>
    </row>
    <row r="1022" spans="2:9" ht="16">
      <c r="B1022" s="24" t="s">
        <v>8</v>
      </c>
      <c r="C1022" s="24" t="s">
        <v>6</v>
      </c>
      <c r="D1022" s="24" t="s">
        <v>907</v>
      </c>
      <c r="E1022" s="24" t="s">
        <v>8</v>
      </c>
      <c r="F1022" s="24" t="s">
        <v>9</v>
      </c>
      <c r="G1022" s="24" t="s">
        <v>8</v>
      </c>
      <c r="H1022" s="24" t="s">
        <v>513</v>
      </c>
      <c r="I1022" s="27">
        <v>1114.35</v>
      </c>
    </row>
    <row r="1023" spans="2:9" ht="16">
      <c r="B1023" s="24" t="s">
        <v>8</v>
      </c>
      <c r="C1023" s="24" t="s">
        <v>6</v>
      </c>
      <c r="D1023" s="24" t="s">
        <v>907</v>
      </c>
      <c r="E1023" s="24" t="s">
        <v>8</v>
      </c>
      <c r="F1023" s="24" t="s">
        <v>9</v>
      </c>
      <c r="G1023" s="24" t="s">
        <v>8</v>
      </c>
      <c r="H1023" s="24" t="s">
        <v>513</v>
      </c>
      <c r="I1023" s="27">
        <v>483.8</v>
      </c>
    </row>
    <row r="1024" spans="2:9" ht="16">
      <c r="B1024" s="24" t="s">
        <v>8</v>
      </c>
      <c r="C1024" s="24" t="s">
        <v>139</v>
      </c>
      <c r="D1024" s="24" t="s">
        <v>885</v>
      </c>
      <c r="E1024" s="24" t="s">
        <v>8</v>
      </c>
      <c r="F1024" s="24" t="s">
        <v>9</v>
      </c>
      <c r="G1024" s="24" t="s">
        <v>8</v>
      </c>
      <c r="H1024" s="24" t="s">
        <v>493</v>
      </c>
      <c r="I1024" s="27">
        <v>-74.8</v>
      </c>
    </row>
    <row r="1025" spans="2:9" ht="16">
      <c r="B1025" s="24" t="s">
        <v>493</v>
      </c>
      <c r="C1025" s="24" t="s">
        <v>6</v>
      </c>
      <c r="D1025" s="24" t="s">
        <v>885</v>
      </c>
      <c r="E1025" s="24" t="s">
        <v>8</v>
      </c>
      <c r="F1025" s="24" t="s">
        <v>9</v>
      </c>
      <c r="G1025" s="24" t="s">
        <v>8</v>
      </c>
      <c r="H1025" s="24" t="s">
        <v>493</v>
      </c>
      <c r="I1025" s="27">
        <v>598.8</v>
      </c>
    </row>
    <row r="1026" spans="2:9" ht="16">
      <c r="B1026" s="24" t="s">
        <v>493</v>
      </c>
      <c r="C1026" s="24" t="s">
        <v>6</v>
      </c>
      <c r="D1026" s="24" t="s">
        <v>670</v>
      </c>
      <c r="E1026" s="24" t="s">
        <v>8</v>
      </c>
      <c r="F1026" s="24" t="s">
        <v>9</v>
      </c>
      <c r="G1026" s="24" t="s">
        <v>8</v>
      </c>
      <c r="H1026" s="24" t="s">
        <v>493</v>
      </c>
      <c r="I1026" s="27">
        <v>468.96</v>
      </c>
    </row>
    <row r="1027" spans="2:9" ht="16">
      <c r="B1027" s="24" t="s">
        <v>119</v>
      </c>
      <c r="C1027" s="24" t="s">
        <v>6</v>
      </c>
      <c r="D1027" s="24" t="s">
        <v>908</v>
      </c>
      <c r="E1027" s="24" t="s">
        <v>8</v>
      </c>
      <c r="F1027" s="24" t="s">
        <v>9</v>
      </c>
      <c r="G1027" s="24" t="s">
        <v>8</v>
      </c>
      <c r="H1027" s="24" t="s">
        <v>642</v>
      </c>
      <c r="I1027" s="27">
        <v>53.1</v>
      </c>
    </row>
    <row r="1028" spans="2:9" ht="16">
      <c r="B1028" s="24" t="s">
        <v>119</v>
      </c>
      <c r="C1028" s="24" t="s">
        <v>6</v>
      </c>
      <c r="D1028" s="24" t="s">
        <v>646</v>
      </c>
      <c r="E1028" s="24" t="s">
        <v>8</v>
      </c>
      <c r="F1028" s="24" t="s">
        <v>9</v>
      </c>
      <c r="G1028" s="24" t="s">
        <v>8</v>
      </c>
      <c r="H1028" s="24" t="s">
        <v>647</v>
      </c>
      <c r="I1028" s="27">
        <v>98.48</v>
      </c>
    </row>
    <row r="1029" spans="2:9" ht="16">
      <c r="B1029" s="24" t="s">
        <v>119</v>
      </c>
      <c r="C1029" s="24" t="s">
        <v>6</v>
      </c>
      <c r="D1029" s="24" t="s">
        <v>875</v>
      </c>
      <c r="E1029" s="24" t="s">
        <v>8</v>
      </c>
      <c r="F1029" s="24" t="s">
        <v>9</v>
      </c>
      <c r="G1029" s="24" t="s">
        <v>8</v>
      </c>
      <c r="H1029" s="24" t="s">
        <v>909</v>
      </c>
      <c r="I1029" s="27">
        <v>84.55</v>
      </c>
    </row>
    <row r="1030" spans="2:9" ht="16">
      <c r="B1030" s="24" t="s">
        <v>119</v>
      </c>
      <c r="C1030" s="24" t="s">
        <v>6</v>
      </c>
      <c r="D1030" s="24" t="s">
        <v>554</v>
      </c>
      <c r="E1030" s="24" t="s">
        <v>8</v>
      </c>
      <c r="F1030" s="24" t="s">
        <v>9</v>
      </c>
      <c r="G1030" s="24" t="s">
        <v>8</v>
      </c>
      <c r="H1030" s="24" t="s">
        <v>910</v>
      </c>
      <c r="I1030" s="27">
        <v>34.88</v>
      </c>
    </row>
    <row r="1031" spans="2:9" ht="16">
      <c r="B1031" s="24" t="s">
        <v>21</v>
      </c>
      <c r="C1031" s="24" t="s">
        <v>13</v>
      </c>
      <c r="D1031" s="24" t="s">
        <v>873</v>
      </c>
      <c r="E1031" s="24" t="s">
        <v>911</v>
      </c>
      <c r="F1031" s="24" t="s">
        <v>9</v>
      </c>
      <c r="G1031" s="24" t="s">
        <v>8</v>
      </c>
      <c r="H1031" s="24" t="s">
        <v>527</v>
      </c>
      <c r="I1031" s="27">
        <v>140.29</v>
      </c>
    </row>
    <row r="1032" spans="2:9" ht="16">
      <c r="B1032" s="24" t="s">
        <v>8</v>
      </c>
      <c r="C1032" s="24" t="s">
        <v>139</v>
      </c>
      <c r="D1032" s="24" t="s">
        <v>283</v>
      </c>
      <c r="E1032" s="24" t="s">
        <v>8</v>
      </c>
      <c r="F1032" s="24" t="s">
        <v>9</v>
      </c>
      <c r="G1032" s="24" t="s">
        <v>8</v>
      </c>
      <c r="H1032" s="24" t="s">
        <v>912</v>
      </c>
      <c r="I1032" s="27">
        <v>-918.16</v>
      </c>
    </row>
    <row r="1033" spans="2:9" ht="16">
      <c r="B1033" s="24" t="s">
        <v>127</v>
      </c>
      <c r="C1033" s="24" t="s">
        <v>6</v>
      </c>
      <c r="D1033" s="24" t="s">
        <v>646</v>
      </c>
      <c r="E1033" s="24" t="s">
        <v>8</v>
      </c>
      <c r="F1033" s="24" t="s">
        <v>9</v>
      </c>
      <c r="G1033" s="24" t="s">
        <v>8</v>
      </c>
      <c r="H1033" s="24" t="s">
        <v>913</v>
      </c>
      <c r="I1033" s="27">
        <v>13.96</v>
      </c>
    </row>
    <row r="1034" spans="2:9" ht="16">
      <c r="B1034" s="24" t="s">
        <v>127</v>
      </c>
      <c r="C1034" s="24" t="s">
        <v>6</v>
      </c>
      <c r="D1034" s="24" t="s">
        <v>629</v>
      </c>
      <c r="E1034" s="24" t="s">
        <v>8</v>
      </c>
      <c r="F1034" s="24" t="s">
        <v>9</v>
      </c>
      <c r="G1034" s="24" t="s">
        <v>8</v>
      </c>
      <c r="H1034" s="24" t="s">
        <v>914</v>
      </c>
      <c r="I1034" s="27">
        <v>59.03</v>
      </c>
    </row>
    <row r="1035" spans="2:9" ht="16">
      <c r="B1035" s="24" t="s">
        <v>127</v>
      </c>
      <c r="C1035" s="24" t="s">
        <v>6</v>
      </c>
      <c r="D1035" s="24" t="s">
        <v>646</v>
      </c>
      <c r="E1035" s="24" t="s">
        <v>8</v>
      </c>
      <c r="F1035" s="24" t="s">
        <v>9</v>
      </c>
      <c r="G1035" s="24" t="s">
        <v>8</v>
      </c>
      <c r="H1035" s="24" t="s">
        <v>915</v>
      </c>
      <c r="I1035" s="27">
        <v>22.46</v>
      </c>
    </row>
    <row r="1036" spans="2:9" ht="16">
      <c r="B1036" s="24" t="s">
        <v>916</v>
      </c>
      <c r="C1036" s="24" t="s">
        <v>6</v>
      </c>
      <c r="D1036" s="24" t="s">
        <v>755</v>
      </c>
      <c r="E1036" s="24" t="s">
        <v>8</v>
      </c>
      <c r="F1036" s="24" t="s">
        <v>9</v>
      </c>
      <c r="G1036" s="24" t="s">
        <v>8</v>
      </c>
      <c r="H1036" s="24" t="s">
        <v>917</v>
      </c>
      <c r="I1036" s="27">
        <v>158.02</v>
      </c>
    </row>
    <row r="1037" spans="2:9" ht="16">
      <c r="B1037" s="24" t="s">
        <v>5</v>
      </c>
      <c r="C1037" s="24" t="s">
        <v>13</v>
      </c>
      <c r="D1037" s="24" t="s">
        <v>918</v>
      </c>
      <c r="E1037" s="24" t="s">
        <v>919</v>
      </c>
      <c r="F1037" s="24" t="s">
        <v>9</v>
      </c>
      <c r="G1037" s="24" t="s">
        <v>8</v>
      </c>
      <c r="H1037" s="24" t="s">
        <v>8</v>
      </c>
      <c r="I1037" s="27">
        <v>111.31</v>
      </c>
    </row>
    <row r="1038" spans="1:9" ht="16">
      <c r="A1038" s="35" t="s">
        <v>40</v>
      </c>
      <c r="I1038" s="28">
        <f>I937+I938+I939+I940+I941+I942+I943+I944+I945+I946+I947+I948+I949+I950+I951+I952+I953+I954+I955+I956+I957+I958+I959+I960+I961+I962+I963+I964+I965+I966+I967+I968+I969+I970+I971+I972+I973+I974+I975+I976+I977+I978+I979+I980+I981+I982+I983+I984+I985+I986+I987+I988+I989+I990+I991+I992+I993+I994+I995+I996+I997+I998+I999+I1000+I1001+I1002+I1003+I1004+I1005+I1006+I1007+I1008+I1009+I1010+I1011+I1012+I1013+I1014+I1015+I1016+I1017+I1018+I1019+I1020+I1021+I1022+I1023+I1024+I1025+I1026+I1027+I1028+I1029+I1030+I1031+I1032+I1033+I1034+I1035+I1036+I1037</f>
        <v>38547.75</v>
      </c>
    </row>
    <row r="1039" spans="1:1" ht="16">
      <c r="A1039" s="34" t="s">
        <v>783</v>
      </c>
    </row>
    <row r="1040" spans="2:9" ht="16">
      <c r="B1040" s="24" t="s">
        <v>920</v>
      </c>
      <c r="C1040" s="24" t="s">
        <v>6</v>
      </c>
      <c r="D1040" s="24" t="s">
        <v>240</v>
      </c>
      <c r="E1040" s="24" t="s">
        <v>8</v>
      </c>
      <c r="F1040" s="24" t="s">
        <v>42</v>
      </c>
      <c r="G1040" s="24" t="s">
        <v>8</v>
      </c>
      <c r="H1040" s="24" t="s">
        <v>921</v>
      </c>
      <c r="I1040" s="27">
        <v>154.36</v>
      </c>
    </row>
    <row r="1041" spans="1:9" ht="16">
      <c r="A1041" s="35" t="s">
        <v>922</v>
      </c>
      <c r="I1041" s="28">
        <f>I1039+I1040</f>
        <v>154.36</v>
      </c>
    </row>
    <row r="1042" spans="1:1" ht="16">
      <c r="A1042" s="34" t="s">
        <v>783</v>
      </c>
    </row>
    <row r="1043" spans="2:9" ht="16">
      <c r="B1043" s="24" t="s">
        <v>8</v>
      </c>
      <c r="C1043" s="24" t="s">
        <v>6</v>
      </c>
      <c r="D1043" s="24" t="s">
        <v>562</v>
      </c>
      <c r="E1043" s="24" t="s">
        <v>8</v>
      </c>
      <c r="F1043" s="24" t="s">
        <v>9</v>
      </c>
      <c r="G1043" s="24" t="s">
        <v>8</v>
      </c>
      <c r="H1043" s="24" t="s">
        <v>923</v>
      </c>
      <c r="I1043" s="27">
        <v>52.06</v>
      </c>
    </row>
    <row r="1044" spans="2:9" ht="16">
      <c r="B1044" s="24" t="s">
        <v>916</v>
      </c>
      <c r="C1044" s="24" t="s">
        <v>6</v>
      </c>
      <c r="D1044" s="24" t="s">
        <v>924</v>
      </c>
      <c r="E1044" s="24" t="s">
        <v>8</v>
      </c>
      <c r="F1044" s="24" t="s">
        <v>9</v>
      </c>
      <c r="G1044" s="24" t="s">
        <v>8</v>
      </c>
      <c r="H1044" s="24" t="s">
        <v>917</v>
      </c>
      <c r="I1044" s="27">
        <v>140.63</v>
      </c>
    </row>
    <row r="1045" spans="1:9" ht="16">
      <c r="A1045" s="35" t="s">
        <v>267</v>
      </c>
      <c r="I1045" s="28">
        <f>I1042+I1043+I1044</f>
        <v>192.69</v>
      </c>
    </row>
    <row r="1046" spans="1:1" ht="16">
      <c r="A1046" s="34" t="s">
        <v>783</v>
      </c>
    </row>
    <row r="1047" spans="2:9" ht="16">
      <c r="B1047" s="24" t="s">
        <v>159</v>
      </c>
      <c r="C1047" s="24" t="s">
        <v>13</v>
      </c>
      <c r="D1047" s="24" t="s">
        <v>525</v>
      </c>
      <c r="E1047" s="24" t="s">
        <v>925</v>
      </c>
      <c r="F1047" s="24" t="s">
        <v>9</v>
      </c>
      <c r="G1047" s="24" t="s">
        <v>8</v>
      </c>
      <c r="H1047" s="24" t="s">
        <v>926</v>
      </c>
      <c r="I1047" s="27">
        <v>3000.0</v>
      </c>
    </row>
    <row r="1048" spans="1:9" ht="16">
      <c r="A1048" s="35" t="s">
        <v>164</v>
      </c>
      <c r="I1048" s="28">
        <f>I1046+I1047</f>
        <v>3000.0</v>
      </c>
    </row>
    <row r="1049" spans="1:1" ht="16">
      <c r="A1049" s="34" t="s">
        <v>783</v>
      </c>
    </row>
    <row r="1050" spans="2:9" ht="16">
      <c r="B1050" s="24" t="s">
        <v>119</v>
      </c>
      <c r="C1050" s="24" t="s">
        <v>6</v>
      </c>
      <c r="D1050" s="24" t="s">
        <v>247</v>
      </c>
      <c r="E1050" s="24" t="s">
        <v>8</v>
      </c>
      <c r="F1050" s="24" t="s">
        <v>9</v>
      </c>
      <c r="G1050" s="24" t="s">
        <v>8</v>
      </c>
      <c r="H1050" s="24" t="s">
        <v>927</v>
      </c>
      <c r="I1050" s="27">
        <v>147.47</v>
      </c>
    </row>
    <row r="1051" spans="1:9" ht="16">
      <c r="A1051" s="35" t="s">
        <v>433</v>
      </c>
      <c r="I1051" s="28">
        <f>I1049+I1050</f>
        <v>147.47</v>
      </c>
    </row>
    <row r="1052" spans="1:1" ht="16">
      <c r="A1052" s="34" t="s">
        <v>783</v>
      </c>
    </row>
    <row r="1053" spans="2:9" ht="16">
      <c r="B1053" s="24" t="s">
        <v>45</v>
      </c>
      <c r="C1053" s="24" t="s">
        <v>6</v>
      </c>
      <c r="D1053" s="24" t="s">
        <v>928</v>
      </c>
      <c r="E1053" s="24" t="s">
        <v>8</v>
      </c>
      <c r="F1053" s="24" t="s">
        <v>9</v>
      </c>
      <c r="G1053" s="24" t="s">
        <v>8</v>
      </c>
      <c r="H1053" s="24" t="s">
        <v>47</v>
      </c>
      <c r="I1053" s="27">
        <v>66.2</v>
      </c>
    </row>
    <row r="1054" spans="2:9" ht="16">
      <c r="B1054" s="24" t="s">
        <v>8</v>
      </c>
      <c r="C1054" s="24" t="s">
        <v>6</v>
      </c>
      <c r="D1054" s="24" t="s">
        <v>549</v>
      </c>
      <c r="E1054" s="24" t="s">
        <v>8</v>
      </c>
      <c r="F1054" s="24" t="s">
        <v>9</v>
      </c>
      <c r="G1054" s="24" t="s">
        <v>8</v>
      </c>
      <c r="H1054" s="24" t="s">
        <v>47</v>
      </c>
      <c r="I1054" s="27">
        <v>41.85</v>
      </c>
    </row>
    <row r="1055" spans="2:9" ht="16">
      <c r="B1055" s="24" t="s">
        <v>8</v>
      </c>
      <c r="C1055" s="24" t="s">
        <v>6</v>
      </c>
      <c r="D1055" s="24" t="s">
        <v>549</v>
      </c>
      <c r="E1055" s="24" t="s">
        <v>8</v>
      </c>
      <c r="F1055" s="24" t="s">
        <v>9</v>
      </c>
      <c r="G1055" s="24" t="s">
        <v>8</v>
      </c>
      <c r="H1055" s="24" t="s">
        <v>47</v>
      </c>
      <c r="I1055" s="27">
        <v>153.84</v>
      </c>
    </row>
    <row r="1056" spans="2:9" ht="16">
      <c r="B1056" s="24" t="s">
        <v>45</v>
      </c>
      <c r="C1056" s="24" t="s">
        <v>6</v>
      </c>
      <c r="D1056" s="24" t="s">
        <v>523</v>
      </c>
      <c r="E1056" s="24" t="s">
        <v>8</v>
      </c>
      <c r="F1056" s="24" t="s">
        <v>9</v>
      </c>
      <c r="G1056" s="24" t="s">
        <v>8</v>
      </c>
      <c r="H1056" s="24" t="s">
        <v>47</v>
      </c>
      <c r="I1056" s="27">
        <v>3371.77</v>
      </c>
    </row>
    <row r="1057" spans="2:9" ht="16">
      <c r="B1057" s="24" t="s">
        <v>45</v>
      </c>
      <c r="C1057" s="24" t="s">
        <v>6</v>
      </c>
      <c r="D1057" s="24" t="s">
        <v>272</v>
      </c>
      <c r="E1057" s="24" t="s">
        <v>8</v>
      </c>
      <c r="F1057" s="24" t="s">
        <v>9</v>
      </c>
      <c r="G1057" s="24" t="s">
        <v>8</v>
      </c>
      <c r="H1057" s="24" t="s">
        <v>47</v>
      </c>
      <c r="I1057" s="27">
        <v>8437.95</v>
      </c>
    </row>
    <row r="1058" spans="2:9" ht="16">
      <c r="B1058" s="24" t="s">
        <v>8</v>
      </c>
      <c r="C1058" s="24" t="s">
        <v>6</v>
      </c>
      <c r="D1058" s="24" t="s">
        <v>274</v>
      </c>
      <c r="E1058" s="24" t="s">
        <v>8</v>
      </c>
      <c r="F1058" s="24" t="s">
        <v>9</v>
      </c>
      <c r="G1058" s="24" t="s">
        <v>8</v>
      </c>
      <c r="H1058" s="24" t="s">
        <v>47</v>
      </c>
      <c r="I1058" s="27">
        <v>12896.32</v>
      </c>
    </row>
    <row r="1059" spans="2:9" ht="16">
      <c r="B1059" s="24" t="s">
        <v>8</v>
      </c>
      <c r="C1059" s="24" t="s">
        <v>6</v>
      </c>
      <c r="D1059" s="24" t="s">
        <v>549</v>
      </c>
      <c r="E1059" s="24" t="s">
        <v>8</v>
      </c>
      <c r="F1059" s="24" t="s">
        <v>9</v>
      </c>
      <c r="G1059" s="24" t="s">
        <v>8</v>
      </c>
      <c r="H1059" s="24" t="s">
        <v>47</v>
      </c>
      <c r="I1059" s="27">
        <v>76.89</v>
      </c>
    </row>
    <row r="1060" spans="2:9" ht="16">
      <c r="B1060" s="24" t="s">
        <v>8</v>
      </c>
      <c r="C1060" s="24" t="s">
        <v>6</v>
      </c>
      <c r="D1060" s="24" t="s">
        <v>549</v>
      </c>
      <c r="E1060" s="24" t="s">
        <v>8</v>
      </c>
      <c r="F1060" s="24" t="s">
        <v>9</v>
      </c>
      <c r="G1060" s="24" t="s">
        <v>8</v>
      </c>
      <c r="H1060" s="24" t="s">
        <v>47</v>
      </c>
      <c r="I1060" s="27">
        <v>205.04</v>
      </c>
    </row>
    <row r="1061" spans="2:9" ht="16">
      <c r="B1061" s="24" t="s">
        <v>45</v>
      </c>
      <c r="C1061" s="24" t="s">
        <v>6</v>
      </c>
      <c r="D1061" s="24" t="s">
        <v>451</v>
      </c>
      <c r="E1061" s="24" t="s">
        <v>8</v>
      </c>
      <c r="F1061" s="24" t="s">
        <v>9</v>
      </c>
      <c r="G1061" s="24" t="s">
        <v>8</v>
      </c>
      <c r="H1061" s="24" t="s">
        <v>47</v>
      </c>
      <c r="I1061" s="27">
        <v>999.57</v>
      </c>
    </row>
    <row r="1062" spans="2:9" ht="16">
      <c r="B1062" s="24" t="s">
        <v>45</v>
      </c>
      <c r="C1062" s="24" t="s">
        <v>6</v>
      </c>
      <c r="D1062" s="24" t="s">
        <v>671</v>
      </c>
      <c r="E1062" s="24" t="s">
        <v>8</v>
      </c>
      <c r="F1062" s="24" t="s">
        <v>9</v>
      </c>
      <c r="G1062" s="24" t="s">
        <v>8</v>
      </c>
      <c r="H1062" s="24" t="s">
        <v>47</v>
      </c>
      <c r="I1062" s="27">
        <v>5347.47</v>
      </c>
    </row>
    <row r="1063" spans="2:9" ht="16">
      <c r="B1063" s="24" t="s">
        <v>8</v>
      </c>
      <c r="C1063" s="24" t="s">
        <v>6</v>
      </c>
      <c r="D1063" s="24" t="s">
        <v>549</v>
      </c>
      <c r="E1063" s="24" t="s">
        <v>8</v>
      </c>
      <c r="F1063" s="24" t="s">
        <v>9</v>
      </c>
      <c r="G1063" s="24" t="s">
        <v>8</v>
      </c>
      <c r="H1063" s="24" t="s">
        <v>47</v>
      </c>
      <c r="I1063" s="27">
        <v>76.89</v>
      </c>
    </row>
    <row r="1064" spans="1:9" ht="16">
      <c r="A1064" s="35" t="s">
        <v>50</v>
      </c>
      <c r="I1064" s="28">
        <f>I1052+I1053+I1054+I1055+I1056+I1057+I1058+I1059+I1060+I1061+I1062+I1063</f>
        <v>31673.79</v>
      </c>
    </row>
    <row r="1065" spans="1:1" ht="16">
      <c r="A1065" s="34" t="s">
        <v>783</v>
      </c>
    </row>
    <row r="1066" spans="2:9" ht="16">
      <c r="B1066" s="24" t="s">
        <v>51</v>
      </c>
      <c r="C1066" s="24" t="s">
        <v>6</v>
      </c>
      <c r="D1066" s="24" t="s">
        <v>929</v>
      </c>
      <c r="E1066" s="24" t="s">
        <v>8</v>
      </c>
      <c r="F1066" s="24" t="s">
        <v>9</v>
      </c>
      <c r="G1066" s="24" t="s">
        <v>8</v>
      </c>
      <c r="H1066" s="24" t="s">
        <v>930</v>
      </c>
      <c r="I1066" s="27">
        <v>2104.08</v>
      </c>
    </row>
    <row r="1067" spans="2:9" ht="16">
      <c r="B1067" s="24" t="s">
        <v>51</v>
      </c>
      <c r="C1067" s="24" t="s">
        <v>6</v>
      </c>
      <c r="D1067" s="24" t="s">
        <v>931</v>
      </c>
      <c r="E1067" s="24" t="s">
        <v>8</v>
      </c>
      <c r="F1067" s="24" t="s">
        <v>9</v>
      </c>
      <c r="G1067" s="24" t="s">
        <v>8</v>
      </c>
      <c r="H1067" s="24" t="s">
        <v>53</v>
      </c>
      <c r="I1067" s="27">
        <v>130.09</v>
      </c>
    </row>
    <row r="1068" spans="2:9" ht="16">
      <c r="B1068" s="24" t="s">
        <v>51</v>
      </c>
      <c r="C1068" s="24" t="s">
        <v>6</v>
      </c>
      <c r="D1068" s="24" t="s">
        <v>280</v>
      </c>
      <c r="E1068" s="24" t="s">
        <v>8</v>
      </c>
      <c r="F1068" s="24" t="s">
        <v>9</v>
      </c>
      <c r="G1068" s="24" t="s">
        <v>8</v>
      </c>
      <c r="H1068" s="24" t="s">
        <v>53</v>
      </c>
      <c r="I1068" s="27">
        <v>7098.3</v>
      </c>
    </row>
    <row r="1069" spans="2:9" ht="16">
      <c r="B1069" s="24" t="s">
        <v>8</v>
      </c>
      <c r="C1069" s="24" t="s">
        <v>6</v>
      </c>
      <c r="D1069" s="24" t="s">
        <v>562</v>
      </c>
      <c r="E1069" s="24" t="s">
        <v>8</v>
      </c>
      <c r="F1069" s="24" t="s">
        <v>9</v>
      </c>
      <c r="G1069" s="24" t="s">
        <v>8</v>
      </c>
      <c r="H1069" s="24" t="s">
        <v>53</v>
      </c>
      <c r="I1069" s="27">
        <v>243.01</v>
      </c>
    </row>
    <row r="1070" spans="2:9" ht="16">
      <c r="B1070" s="24" t="s">
        <v>51</v>
      </c>
      <c r="C1070" s="24" t="s">
        <v>6</v>
      </c>
      <c r="D1070" s="24" t="s">
        <v>284</v>
      </c>
      <c r="E1070" s="24" t="s">
        <v>8</v>
      </c>
      <c r="F1070" s="24" t="s">
        <v>9</v>
      </c>
      <c r="G1070" s="24" t="s">
        <v>8</v>
      </c>
      <c r="H1070" s="24" t="s">
        <v>53</v>
      </c>
      <c r="I1070" s="27">
        <v>4623.12</v>
      </c>
    </row>
    <row r="1071" spans="2:9" ht="16">
      <c r="B1071" s="24" t="s">
        <v>51</v>
      </c>
      <c r="C1071" s="24" t="s">
        <v>6</v>
      </c>
      <c r="D1071" s="24" t="s">
        <v>460</v>
      </c>
      <c r="E1071" s="24" t="s">
        <v>8</v>
      </c>
      <c r="F1071" s="24" t="s">
        <v>9</v>
      </c>
      <c r="G1071" s="24" t="s">
        <v>8</v>
      </c>
      <c r="H1071" s="24" t="s">
        <v>53</v>
      </c>
      <c r="I1071" s="27">
        <v>405.88</v>
      </c>
    </row>
    <row r="1072" spans="2:9" ht="16">
      <c r="B1072" s="24" t="s">
        <v>51</v>
      </c>
      <c r="C1072" s="24" t="s">
        <v>6</v>
      </c>
      <c r="D1072" s="24" t="s">
        <v>501</v>
      </c>
      <c r="E1072" s="24" t="s">
        <v>8</v>
      </c>
      <c r="F1072" s="24" t="s">
        <v>9</v>
      </c>
      <c r="G1072" s="24" t="s">
        <v>8</v>
      </c>
      <c r="H1072" s="24" t="s">
        <v>53</v>
      </c>
      <c r="I1072" s="27">
        <v>3366.88</v>
      </c>
    </row>
    <row r="1073" spans="2:9" ht="16">
      <c r="B1073" s="24" t="s">
        <v>51</v>
      </c>
      <c r="C1073" s="24" t="s">
        <v>6</v>
      </c>
      <c r="D1073" s="24" t="s">
        <v>553</v>
      </c>
      <c r="E1073" s="24" t="s">
        <v>8</v>
      </c>
      <c r="F1073" s="24" t="s">
        <v>9</v>
      </c>
      <c r="G1073" s="24" t="s">
        <v>8</v>
      </c>
      <c r="H1073" s="24" t="s">
        <v>53</v>
      </c>
      <c r="I1073" s="27">
        <v>77.82</v>
      </c>
    </row>
    <row r="1074" spans="2:9" ht="16">
      <c r="B1074" s="24" t="s">
        <v>51</v>
      </c>
      <c r="C1074" s="24" t="s">
        <v>6</v>
      </c>
      <c r="D1074" s="24" t="s">
        <v>894</v>
      </c>
      <c r="E1074" s="24" t="s">
        <v>8</v>
      </c>
      <c r="F1074" s="24" t="s">
        <v>9</v>
      </c>
      <c r="G1074" s="24" t="s">
        <v>8</v>
      </c>
      <c r="H1074" s="24" t="s">
        <v>53</v>
      </c>
      <c r="I1074" s="27">
        <v>4337.32</v>
      </c>
    </row>
    <row r="1075" spans="2:9" ht="16">
      <c r="B1075" s="24" t="s">
        <v>51</v>
      </c>
      <c r="C1075" s="24" t="s">
        <v>6</v>
      </c>
      <c r="D1075" s="24" t="s">
        <v>552</v>
      </c>
      <c r="E1075" s="24" t="s">
        <v>8</v>
      </c>
      <c r="F1075" s="24" t="s">
        <v>9</v>
      </c>
      <c r="G1075" s="24" t="s">
        <v>8</v>
      </c>
      <c r="H1075" s="24" t="s">
        <v>53</v>
      </c>
      <c r="I1075" s="27">
        <v>898.87</v>
      </c>
    </row>
    <row r="1076" spans="2:9" ht="16">
      <c r="B1076" s="24" t="s">
        <v>51</v>
      </c>
      <c r="C1076" s="24" t="s">
        <v>6</v>
      </c>
      <c r="D1076" s="24" t="s">
        <v>286</v>
      </c>
      <c r="E1076" s="24" t="s">
        <v>8</v>
      </c>
      <c r="F1076" s="24" t="s">
        <v>9</v>
      </c>
      <c r="G1076" s="24" t="s">
        <v>8</v>
      </c>
      <c r="H1076" s="24" t="s">
        <v>53</v>
      </c>
      <c r="I1076" s="27">
        <v>7961.72</v>
      </c>
    </row>
    <row r="1077" spans="2:9" ht="16">
      <c r="B1077" s="24" t="s">
        <v>51</v>
      </c>
      <c r="C1077" s="24" t="s">
        <v>6</v>
      </c>
      <c r="D1077" s="24" t="s">
        <v>670</v>
      </c>
      <c r="E1077" s="24" t="s">
        <v>8</v>
      </c>
      <c r="F1077" s="24" t="s">
        <v>9</v>
      </c>
      <c r="G1077" s="24" t="s">
        <v>8</v>
      </c>
      <c r="H1077" s="24" t="s">
        <v>53</v>
      </c>
      <c r="I1077" s="27">
        <v>2479.62</v>
      </c>
    </row>
    <row r="1078" spans="2:9" ht="16">
      <c r="B1078" s="24" t="s">
        <v>51</v>
      </c>
      <c r="C1078" s="24" t="s">
        <v>6</v>
      </c>
      <c r="D1078" s="24" t="s">
        <v>738</v>
      </c>
      <c r="E1078" s="24" t="s">
        <v>8</v>
      </c>
      <c r="F1078" s="24" t="s">
        <v>9</v>
      </c>
      <c r="G1078" s="24" t="s">
        <v>8</v>
      </c>
      <c r="H1078" s="24" t="s">
        <v>53</v>
      </c>
      <c r="I1078" s="27">
        <v>4175.85</v>
      </c>
    </row>
    <row r="1079" spans="2:9" ht="16">
      <c r="B1079" s="24" t="s">
        <v>51</v>
      </c>
      <c r="C1079" s="24" t="s">
        <v>6</v>
      </c>
      <c r="D1079" s="24" t="s">
        <v>557</v>
      </c>
      <c r="E1079" s="24" t="s">
        <v>8</v>
      </c>
      <c r="F1079" s="24" t="s">
        <v>9</v>
      </c>
      <c r="G1079" s="24" t="s">
        <v>8</v>
      </c>
      <c r="H1079" s="24" t="s">
        <v>53</v>
      </c>
      <c r="I1079" s="27">
        <v>790.25</v>
      </c>
    </row>
    <row r="1080" spans="2:9" ht="16">
      <c r="B1080" s="24" t="s">
        <v>51</v>
      </c>
      <c r="C1080" s="24" t="s">
        <v>6</v>
      </c>
      <c r="D1080" s="24" t="s">
        <v>932</v>
      </c>
      <c r="E1080" s="24" t="s">
        <v>8</v>
      </c>
      <c r="F1080" s="24" t="s">
        <v>9</v>
      </c>
      <c r="G1080" s="24" t="s">
        <v>8</v>
      </c>
      <c r="H1080" s="24" t="s">
        <v>53</v>
      </c>
      <c r="I1080" s="27">
        <v>4131.91</v>
      </c>
    </row>
    <row r="1081" spans="2:9" ht="16">
      <c r="B1081" s="24" t="s">
        <v>51</v>
      </c>
      <c r="C1081" s="24" t="s">
        <v>6</v>
      </c>
      <c r="D1081" s="24" t="s">
        <v>555</v>
      </c>
      <c r="E1081" s="24" t="s">
        <v>8</v>
      </c>
      <c r="F1081" s="24" t="s">
        <v>9</v>
      </c>
      <c r="G1081" s="24" t="s">
        <v>8</v>
      </c>
      <c r="H1081" s="24" t="s">
        <v>53</v>
      </c>
      <c r="I1081" s="27">
        <v>608.83</v>
      </c>
    </row>
    <row r="1082" spans="2:9" ht="16">
      <c r="B1082" s="24" t="s">
        <v>51</v>
      </c>
      <c r="C1082" s="24" t="s">
        <v>6</v>
      </c>
      <c r="D1082" s="24" t="s">
        <v>240</v>
      </c>
      <c r="E1082" s="24" t="s">
        <v>8</v>
      </c>
      <c r="F1082" s="24" t="s">
        <v>9</v>
      </c>
      <c r="G1082" s="24" t="s">
        <v>8</v>
      </c>
      <c r="H1082" s="24" t="s">
        <v>53</v>
      </c>
      <c r="I1082" s="27">
        <v>6428.85</v>
      </c>
    </row>
    <row r="1083" spans="2:9" ht="16">
      <c r="B1083" s="24" t="s">
        <v>51</v>
      </c>
      <c r="C1083" s="24" t="s">
        <v>6</v>
      </c>
      <c r="D1083" s="24" t="s">
        <v>933</v>
      </c>
      <c r="E1083" s="24" t="s">
        <v>8</v>
      </c>
      <c r="F1083" s="24" t="s">
        <v>9</v>
      </c>
      <c r="G1083" s="24" t="s">
        <v>8</v>
      </c>
      <c r="H1083" s="24" t="s">
        <v>53</v>
      </c>
      <c r="I1083" s="27">
        <v>608.33</v>
      </c>
    </row>
    <row r="1084" spans="2:9" ht="16">
      <c r="B1084" s="24" t="s">
        <v>51</v>
      </c>
      <c r="C1084" s="24" t="s">
        <v>6</v>
      </c>
      <c r="D1084" s="24" t="s">
        <v>561</v>
      </c>
      <c r="E1084" s="24" t="s">
        <v>8</v>
      </c>
      <c r="F1084" s="24" t="s">
        <v>9</v>
      </c>
      <c r="G1084" s="24" t="s">
        <v>8</v>
      </c>
      <c r="H1084" s="24" t="s">
        <v>53</v>
      </c>
      <c r="I1084" s="27">
        <v>533.03</v>
      </c>
    </row>
    <row r="1085" spans="2:9" ht="16">
      <c r="B1085" s="24" t="s">
        <v>51</v>
      </c>
      <c r="C1085" s="24" t="s">
        <v>6</v>
      </c>
      <c r="D1085" s="24" t="s">
        <v>282</v>
      </c>
      <c r="E1085" s="24" t="s">
        <v>8</v>
      </c>
      <c r="F1085" s="24" t="s">
        <v>9</v>
      </c>
      <c r="G1085" s="24" t="s">
        <v>8</v>
      </c>
      <c r="H1085" s="24" t="s">
        <v>53</v>
      </c>
      <c r="I1085" s="27">
        <v>550.03</v>
      </c>
    </row>
    <row r="1086" spans="2:9" ht="16">
      <c r="B1086" s="24" t="s">
        <v>51</v>
      </c>
      <c r="C1086" s="24" t="s">
        <v>6</v>
      </c>
      <c r="D1086" s="24" t="s">
        <v>254</v>
      </c>
      <c r="E1086" s="24" t="s">
        <v>8</v>
      </c>
      <c r="F1086" s="24" t="s">
        <v>9</v>
      </c>
      <c r="G1086" s="24" t="s">
        <v>8</v>
      </c>
      <c r="H1086" s="24" t="s">
        <v>53</v>
      </c>
      <c r="I1086" s="27">
        <v>6598.33</v>
      </c>
    </row>
    <row r="1087" spans="2:9" ht="16">
      <c r="B1087" s="24" t="s">
        <v>51</v>
      </c>
      <c r="C1087" s="24" t="s">
        <v>6</v>
      </c>
      <c r="D1087" s="24" t="s">
        <v>556</v>
      </c>
      <c r="E1087" s="24" t="s">
        <v>8</v>
      </c>
      <c r="F1087" s="24" t="s">
        <v>9</v>
      </c>
      <c r="G1087" s="24" t="s">
        <v>8</v>
      </c>
      <c r="H1087" s="24" t="s">
        <v>53</v>
      </c>
      <c r="I1087" s="27">
        <v>558.09</v>
      </c>
    </row>
    <row r="1088" spans="2:9" ht="16">
      <c r="B1088" s="24" t="s">
        <v>51</v>
      </c>
      <c r="C1088" s="24" t="s">
        <v>6</v>
      </c>
      <c r="D1088" s="24" t="s">
        <v>740</v>
      </c>
      <c r="E1088" s="24" t="s">
        <v>8</v>
      </c>
      <c r="F1088" s="24" t="s">
        <v>9</v>
      </c>
      <c r="G1088" s="24" t="s">
        <v>8</v>
      </c>
      <c r="H1088" s="24" t="s">
        <v>53</v>
      </c>
      <c r="I1088" s="27">
        <v>4258.23</v>
      </c>
    </row>
    <row r="1089" spans="2:9" ht="16">
      <c r="B1089" s="24" t="s">
        <v>51</v>
      </c>
      <c r="C1089" s="24" t="s">
        <v>6</v>
      </c>
      <c r="D1089" s="24" t="s">
        <v>512</v>
      </c>
      <c r="E1089" s="24" t="s">
        <v>8</v>
      </c>
      <c r="F1089" s="24" t="s">
        <v>9</v>
      </c>
      <c r="G1089" s="24" t="s">
        <v>8</v>
      </c>
      <c r="H1089" s="24" t="s">
        <v>53</v>
      </c>
      <c r="I1089" s="27">
        <v>2521.38</v>
      </c>
    </row>
    <row r="1090" spans="2:9" ht="16">
      <c r="B1090" s="24" t="s">
        <v>934</v>
      </c>
      <c r="C1090" s="24" t="s">
        <v>6</v>
      </c>
      <c r="D1090" s="24" t="s">
        <v>629</v>
      </c>
      <c r="E1090" s="24" t="s">
        <v>8</v>
      </c>
      <c r="F1090" s="24" t="s">
        <v>9</v>
      </c>
      <c r="G1090" s="24" t="s">
        <v>8</v>
      </c>
      <c r="H1090" s="24" t="s">
        <v>935</v>
      </c>
      <c r="I1090" s="27">
        <v>258.24</v>
      </c>
    </row>
    <row r="1091" spans="2:9" ht="16">
      <c r="B1091" s="24" t="s">
        <v>8</v>
      </c>
      <c r="C1091" s="24" t="s">
        <v>6</v>
      </c>
      <c r="D1091" s="24" t="s">
        <v>456</v>
      </c>
      <c r="E1091" s="24" t="s">
        <v>8</v>
      </c>
      <c r="F1091" s="24" t="s">
        <v>9</v>
      </c>
      <c r="G1091" s="24" t="s">
        <v>8</v>
      </c>
      <c r="H1091" s="24" t="s">
        <v>936</v>
      </c>
      <c r="I1091" s="27">
        <v>998.86</v>
      </c>
    </row>
    <row r="1092" spans="2:9" ht="16">
      <c r="B1092" s="24" t="s">
        <v>51</v>
      </c>
      <c r="C1092" s="24" t="s">
        <v>6</v>
      </c>
      <c r="D1092" s="24" t="s">
        <v>254</v>
      </c>
      <c r="E1092" s="24" t="s">
        <v>8</v>
      </c>
      <c r="F1092" s="24" t="s">
        <v>9</v>
      </c>
      <c r="G1092" s="24" t="s">
        <v>8</v>
      </c>
      <c r="H1092" s="24" t="s">
        <v>937</v>
      </c>
      <c r="I1092" s="27">
        <v>-998.86</v>
      </c>
    </row>
    <row r="1093" spans="1:9" ht="16">
      <c r="A1093" s="35" t="s">
        <v>67</v>
      </c>
      <c r="I1093" s="28">
        <f>I1065+I1066+I1067+I1068+I1069+I1070+I1071+I1072+I1073+I1074+I1075+I1076+I1077+I1078+I1079+I1080+I1081+I1082+I1083+I1084+I1085+I1086+I1087+I1088+I1089+I1090+I1091+I1092</f>
        <v>65748.06</v>
      </c>
    </row>
    <row r="1094" spans="1:9" ht="16">
      <c r="A1094" s="36" t="s">
        <v>938</v>
      </c>
      <c r="I1094" s="28">
        <f>I933+I936+I1038+I1041+I1045+I1048+I1051+I1064+I1093</f>
        <v>143076.75</v>
      </c>
    </row>
    <row r="1095" spans="1:1" ht="16">
      <c r="A1095" s="33" t="s">
        <v>383</v>
      </c>
    </row>
    <row r="1096" spans="1:1" ht="16">
      <c r="A1096" s="34" t="s">
        <v>939</v>
      </c>
    </row>
    <row r="1097" spans="2:9" ht="16">
      <c r="B1097" s="24" t="s">
        <v>8</v>
      </c>
      <c r="C1097" s="24" t="s">
        <v>6</v>
      </c>
      <c r="D1097" s="24" t="s">
        <v>274</v>
      </c>
      <c r="E1097" s="24" t="s">
        <v>8</v>
      </c>
      <c r="F1097" s="24" t="s">
        <v>9</v>
      </c>
      <c r="G1097" s="24" t="s">
        <v>8</v>
      </c>
      <c r="H1097" s="24" t="s">
        <v>47</v>
      </c>
      <c r="I1097" s="27">
        <v>179.41</v>
      </c>
    </row>
    <row r="1098" spans="1:9" ht="16">
      <c r="A1098" s="35" t="s">
        <v>50</v>
      </c>
      <c r="I1098" s="28">
        <f>I1096+I1097</f>
        <v>179.41</v>
      </c>
    </row>
    <row r="1099" spans="1:1" ht="16">
      <c r="A1099" s="34" t="s">
        <v>939</v>
      </c>
    </row>
    <row r="1100" spans="2:9" ht="16">
      <c r="B1100" s="24" t="s">
        <v>51</v>
      </c>
      <c r="C1100" s="24" t="s">
        <v>6</v>
      </c>
      <c r="D1100" s="24" t="s">
        <v>286</v>
      </c>
      <c r="E1100" s="24" t="s">
        <v>8</v>
      </c>
      <c r="F1100" s="24" t="s">
        <v>9</v>
      </c>
      <c r="G1100" s="24" t="s">
        <v>8</v>
      </c>
      <c r="H1100" s="24" t="s">
        <v>53</v>
      </c>
      <c r="I1100" s="27">
        <v>336.31</v>
      </c>
    </row>
    <row r="1101" spans="1:9" ht="16">
      <c r="A1101" s="35" t="s">
        <v>67</v>
      </c>
      <c r="I1101" s="28">
        <f>I1099+I1100</f>
        <v>336.31</v>
      </c>
    </row>
    <row r="1102" spans="1:9" ht="16">
      <c r="A1102" s="36" t="s">
        <v>940</v>
      </c>
      <c r="I1102" s="28">
        <f>I1098+I1101</f>
        <v>515.72</v>
      </c>
    </row>
    <row r="1103" spans="1:1" ht="16">
      <c r="A1103" s="33" t="s">
        <v>324</v>
      </c>
    </row>
    <row r="1104" spans="1:1" ht="16">
      <c r="A1104" s="34" t="s">
        <v>941</v>
      </c>
    </row>
    <row r="1105" spans="2:9" ht="16">
      <c r="B1105" s="24" t="s">
        <v>5</v>
      </c>
      <c r="C1105" s="24" t="s">
        <v>13</v>
      </c>
      <c r="D1105" s="24" t="s">
        <v>282</v>
      </c>
      <c r="E1105" s="24" t="s">
        <v>942</v>
      </c>
      <c r="F1105" s="24" t="s">
        <v>9</v>
      </c>
      <c r="G1105" s="24" t="s">
        <v>8</v>
      </c>
      <c r="H1105" s="24" t="s">
        <v>638</v>
      </c>
      <c r="I1105" s="27">
        <v>217.93</v>
      </c>
    </row>
    <row r="1106" spans="2:9" ht="16">
      <c r="B1106" s="24" t="s">
        <v>5</v>
      </c>
      <c r="C1106" s="24" t="s">
        <v>13</v>
      </c>
      <c r="D1106" s="24" t="s">
        <v>846</v>
      </c>
      <c r="E1106" s="24" t="s">
        <v>943</v>
      </c>
      <c r="F1106" s="24" t="s">
        <v>9</v>
      </c>
      <c r="G1106" s="24" t="s">
        <v>8</v>
      </c>
      <c r="H1106" s="24" t="s">
        <v>638</v>
      </c>
      <c r="I1106" s="27">
        <v>32.12</v>
      </c>
    </row>
    <row r="1107" spans="2:9" ht="16">
      <c r="B1107" s="24" t="s">
        <v>811</v>
      </c>
      <c r="C1107" s="24" t="s">
        <v>6</v>
      </c>
      <c r="D1107" s="24" t="s">
        <v>755</v>
      </c>
      <c r="E1107" s="24" t="s">
        <v>8</v>
      </c>
      <c r="F1107" s="24" t="s">
        <v>9</v>
      </c>
      <c r="G1107" s="24" t="s">
        <v>8</v>
      </c>
      <c r="H1107" s="24" t="s">
        <v>944</v>
      </c>
      <c r="I1107" s="27">
        <v>176.74</v>
      </c>
    </row>
    <row r="1108" spans="1:9" ht="16">
      <c r="A1108" s="35" t="s">
        <v>40</v>
      </c>
      <c r="I1108" s="28">
        <f>I1104+I1105+I1106+I1107</f>
        <v>426.79</v>
      </c>
    </row>
    <row r="1109" spans="1:1" ht="16">
      <c r="A1109" s="34" t="s">
        <v>941</v>
      </c>
    </row>
    <row r="1110" spans="2:9" ht="16">
      <c r="B1110" s="24" t="s">
        <v>159</v>
      </c>
      <c r="C1110" s="24" t="s">
        <v>13</v>
      </c>
      <c r="D1110" s="24" t="s">
        <v>194</v>
      </c>
      <c r="E1110" s="24" t="s">
        <v>945</v>
      </c>
      <c r="F1110" s="24" t="s">
        <v>9</v>
      </c>
      <c r="G1110" s="24" t="s">
        <v>8</v>
      </c>
      <c r="H1110" s="24" t="s">
        <v>159</v>
      </c>
      <c r="I1110" s="27">
        <v>510.0</v>
      </c>
    </row>
    <row r="1111" spans="1:9" ht="16">
      <c r="A1111" s="35" t="s">
        <v>164</v>
      </c>
      <c r="I1111" s="28">
        <f>I1109+I1110</f>
        <v>510.0</v>
      </c>
    </row>
    <row r="1112" spans="1:1" ht="16">
      <c r="A1112" s="34" t="s">
        <v>941</v>
      </c>
    </row>
    <row r="1113" spans="2:9" ht="16">
      <c r="B1113" s="24" t="s">
        <v>8</v>
      </c>
      <c r="C1113" s="24" t="s">
        <v>6</v>
      </c>
      <c r="D1113" s="24" t="s">
        <v>274</v>
      </c>
      <c r="E1113" s="24" t="s">
        <v>8</v>
      </c>
      <c r="F1113" s="24" t="s">
        <v>9</v>
      </c>
      <c r="G1113" s="24" t="s">
        <v>8</v>
      </c>
      <c r="H1113" s="24" t="s">
        <v>47</v>
      </c>
      <c r="I1113" s="27">
        <v>429.85</v>
      </c>
    </row>
    <row r="1114" spans="1:9" ht="16">
      <c r="A1114" s="35" t="s">
        <v>50</v>
      </c>
      <c r="I1114" s="28">
        <f>I1112+I1113</f>
        <v>429.85</v>
      </c>
    </row>
    <row r="1115" spans="1:1" ht="16">
      <c r="A1115" s="34" t="s">
        <v>941</v>
      </c>
    </row>
    <row r="1116" spans="2:9" ht="16">
      <c r="B1116" s="24" t="s">
        <v>51</v>
      </c>
      <c r="C1116" s="24" t="s">
        <v>6</v>
      </c>
      <c r="D1116" s="24" t="s">
        <v>286</v>
      </c>
      <c r="E1116" s="24" t="s">
        <v>8</v>
      </c>
      <c r="F1116" s="24" t="s">
        <v>9</v>
      </c>
      <c r="G1116" s="24" t="s">
        <v>8</v>
      </c>
      <c r="H1116" s="24" t="s">
        <v>53</v>
      </c>
      <c r="I1116" s="27">
        <v>177.26</v>
      </c>
    </row>
    <row r="1117" spans="2:9" ht="16">
      <c r="B1117" s="24" t="s">
        <v>51</v>
      </c>
      <c r="C1117" s="24" t="s">
        <v>6</v>
      </c>
      <c r="D1117" s="24" t="s">
        <v>240</v>
      </c>
      <c r="E1117" s="24" t="s">
        <v>8</v>
      </c>
      <c r="F1117" s="24" t="s">
        <v>9</v>
      </c>
      <c r="G1117" s="24" t="s">
        <v>8</v>
      </c>
      <c r="H1117" s="24" t="s">
        <v>53</v>
      </c>
      <c r="I1117" s="27">
        <v>622.61</v>
      </c>
    </row>
    <row r="1118" spans="1:9" ht="16">
      <c r="A1118" s="35" t="s">
        <v>67</v>
      </c>
      <c r="I1118" s="28">
        <f>I1115+I1116+I1117</f>
        <v>799.87</v>
      </c>
    </row>
    <row r="1119" spans="1:9" ht="16">
      <c r="A1119" s="36" t="s">
        <v>946</v>
      </c>
      <c r="I1119" s="28">
        <f>I1108+I1111+I1114+I1118</f>
        <v>2166.5099999999998</v>
      </c>
    </row>
    <row r="1120" spans="1:1" ht="16">
      <c r="A1120" s="33" t="s">
        <v>947</v>
      </c>
    </row>
    <row r="1121" spans="1:1" ht="16">
      <c r="A1121" s="34" t="s">
        <v>948</v>
      </c>
    </row>
    <row r="1122" spans="2:9" ht="16">
      <c r="B1122" s="24" t="s">
        <v>949</v>
      </c>
      <c r="C1122" s="24" t="s">
        <v>13</v>
      </c>
      <c r="D1122" s="24" t="s">
        <v>556</v>
      </c>
      <c r="E1122" s="24" t="s">
        <v>950</v>
      </c>
      <c r="F1122" s="24" t="s">
        <v>42</v>
      </c>
      <c r="G1122" s="24" t="s">
        <v>8</v>
      </c>
      <c r="H1122" s="24" t="s">
        <v>951</v>
      </c>
      <c r="I1122" s="27">
        <v>275.64</v>
      </c>
    </row>
    <row r="1123" spans="2:9" ht="16">
      <c r="B1123" s="24" t="s">
        <v>949</v>
      </c>
      <c r="C1123" s="24" t="s">
        <v>13</v>
      </c>
      <c r="D1123" s="24" t="s">
        <v>556</v>
      </c>
      <c r="E1123" s="24" t="s">
        <v>952</v>
      </c>
      <c r="F1123" s="24" t="s">
        <v>42</v>
      </c>
      <c r="G1123" s="24" t="s">
        <v>8</v>
      </c>
      <c r="H1123" s="24" t="s">
        <v>953</v>
      </c>
      <c r="I1123" s="27">
        <v>341.19</v>
      </c>
    </row>
    <row r="1124" spans="2:9" ht="16">
      <c r="B1124" s="24" t="s">
        <v>949</v>
      </c>
      <c r="C1124" s="24" t="s">
        <v>13</v>
      </c>
      <c r="D1124" s="24" t="s">
        <v>556</v>
      </c>
      <c r="E1124" s="24" t="s">
        <v>954</v>
      </c>
      <c r="F1124" s="24" t="s">
        <v>42</v>
      </c>
      <c r="G1124" s="24" t="s">
        <v>8</v>
      </c>
      <c r="H1124" s="24" t="s">
        <v>955</v>
      </c>
      <c r="I1124" s="27">
        <v>301.02</v>
      </c>
    </row>
    <row r="1125" spans="1:9" ht="16">
      <c r="A1125" s="35" t="s">
        <v>956</v>
      </c>
      <c r="I1125" s="28">
        <f>I1121+I1122+I1123+I1124</f>
        <v>917.8499999999999</v>
      </c>
    </row>
    <row r="1126" spans="1:1" ht="16">
      <c r="A1126" s="34" t="s">
        <v>948</v>
      </c>
    </row>
    <row r="1127" spans="2:9" ht="16">
      <c r="B1127" s="24" t="s">
        <v>957</v>
      </c>
      <c r="C1127" s="24" t="s">
        <v>6</v>
      </c>
      <c r="D1127" s="24" t="s">
        <v>784</v>
      </c>
      <c r="E1127" s="24" t="s">
        <v>8</v>
      </c>
      <c r="F1127" s="24" t="s">
        <v>9</v>
      </c>
      <c r="G1127" s="24" t="s">
        <v>8</v>
      </c>
      <c r="H1127" s="24" t="s">
        <v>958</v>
      </c>
      <c r="I1127" s="27">
        <v>385.0</v>
      </c>
    </row>
    <row r="1128" spans="2:9" ht="16">
      <c r="B1128" s="24" t="s">
        <v>957</v>
      </c>
      <c r="C1128" s="24" t="s">
        <v>6</v>
      </c>
      <c r="D1128" s="24" t="s">
        <v>654</v>
      </c>
      <c r="E1128" s="24" t="s">
        <v>8</v>
      </c>
      <c r="F1128" s="24" t="s">
        <v>9</v>
      </c>
      <c r="G1128" s="24" t="s">
        <v>8</v>
      </c>
      <c r="H1128" s="24" t="s">
        <v>958</v>
      </c>
      <c r="I1128" s="27">
        <v>385.0</v>
      </c>
    </row>
    <row r="1129" spans="2:9" ht="16">
      <c r="B1129" s="24" t="s">
        <v>957</v>
      </c>
      <c r="C1129" s="24" t="s">
        <v>6</v>
      </c>
      <c r="D1129" s="24" t="s">
        <v>456</v>
      </c>
      <c r="E1129" s="24" t="s">
        <v>8</v>
      </c>
      <c r="F1129" s="24" t="s">
        <v>9</v>
      </c>
      <c r="G1129" s="24" t="s">
        <v>8</v>
      </c>
      <c r="H1129" s="24" t="s">
        <v>959</v>
      </c>
      <c r="I1129" s="27">
        <v>385.0</v>
      </c>
    </row>
    <row r="1130" spans="2:9" ht="16">
      <c r="B1130" s="24" t="s">
        <v>957</v>
      </c>
      <c r="C1130" s="24" t="s">
        <v>6</v>
      </c>
      <c r="D1130" s="24" t="s">
        <v>501</v>
      </c>
      <c r="E1130" s="24" t="s">
        <v>8</v>
      </c>
      <c r="F1130" s="24" t="s">
        <v>9</v>
      </c>
      <c r="G1130" s="24" t="s">
        <v>8</v>
      </c>
      <c r="H1130" s="24" t="s">
        <v>960</v>
      </c>
      <c r="I1130" s="27">
        <v>385.0</v>
      </c>
    </row>
    <row r="1131" spans="1:9" ht="16">
      <c r="A1131" s="35" t="s">
        <v>81</v>
      </c>
      <c r="I1131" s="28">
        <f>I1126+I1127+I1128+I1129+I1130</f>
        <v>1540.0</v>
      </c>
    </row>
    <row r="1132" spans="1:1" ht="16">
      <c r="A1132" s="34" t="s">
        <v>948</v>
      </c>
    </row>
    <row r="1133" spans="2:9" ht="16">
      <c r="B1133" s="24" t="s">
        <v>961</v>
      </c>
      <c r="C1133" s="24" t="s">
        <v>6</v>
      </c>
      <c r="D1133" s="24" t="s">
        <v>962</v>
      </c>
      <c r="E1133" s="24" t="s">
        <v>8</v>
      </c>
      <c r="F1133" s="24" t="s">
        <v>9</v>
      </c>
      <c r="G1133" s="24" t="s">
        <v>8</v>
      </c>
      <c r="H1133" s="24" t="s">
        <v>963</v>
      </c>
      <c r="I1133" s="27">
        <v>2108.32</v>
      </c>
    </row>
    <row r="1134" spans="1:9" ht="16">
      <c r="A1134" s="35" t="s">
        <v>964</v>
      </c>
      <c r="I1134" s="28">
        <f>I1132+I1133</f>
        <v>2108.32</v>
      </c>
    </row>
    <row r="1135" spans="1:1" ht="16">
      <c r="A1135" s="34" t="s">
        <v>948</v>
      </c>
    </row>
    <row r="1136" spans="2:9" ht="16">
      <c r="B1136" s="24" t="s">
        <v>965</v>
      </c>
      <c r="C1136" s="24" t="s">
        <v>6</v>
      </c>
      <c r="D1136" s="24" t="s">
        <v>875</v>
      </c>
      <c r="E1136" s="24" t="s">
        <v>8</v>
      </c>
      <c r="F1136" s="24" t="s">
        <v>9</v>
      </c>
      <c r="G1136" s="24" t="s">
        <v>8</v>
      </c>
      <c r="H1136" s="24" t="s">
        <v>966</v>
      </c>
      <c r="I1136" s="27">
        <v>18.83</v>
      </c>
    </row>
    <row r="1137" spans="2:9" ht="16">
      <c r="B1137" s="24" t="s">
        <v>965</v>
      </c>
      <c r="C1137" s="24" t="s">
        <v>6</v>
      </c>
      <c r="D1137" s="24" t="s">
        <v>875</v>
      </c>
      <c r="E1137" s="24" t="s">
        <v>8</v>
      </c>
      <c r="F1137" s="24" t="s">
        <v>9</v>
      </c>
      <c r="G1137" s="24" t="s">
        <v>8</v>
      </c>
      <c r="H1137" s="24" t="s">
        <v>967</v>
      </c>
      <c r="I1137" s="27">
        <v>234.28</v>
      </c>
    </row>
    <row r="1138" spans="2:9" ht="16">
      <c r="B1138" s="24" t="s">
        <v>119</v>
      </c>
      <c r="C1138" s="24" t="s">
        <v>6</v>
      </c>
      <c r="D1138" s="24" t="s">
        <v>968</v>
      </c>
      <c r="E1138" s="24" t="s">
        <v>8</v>
      </c>
      <c r="F1138" s="24" t="s">
        <v>9</v>
      </c>
      <c r="G1138" s="24" t="s">
        <v>8</v>
      </c>
      <c r="H1138" s="24" t="s">
        <v>969</v>
      </c>
      <c r="I1138" s="27">
        <v>47.05</v>
      </c>
    </row>
    <row r="1139" spans="2:9" ht="16">
      <c r="B1139" s="24" t="s">
        <v>12</v>
      </c>
      <c r="C1139" s="24" t="s">
        <v>13</v>
      </c>
      <c r="D1139" s="24" t="s">
        <v>885</v>
      </c>
      <c r="E1139" s="24" t="s">
        <v>970</v>
      </c>
      <c r="F1139" s="24" t="s">
        <v>9</v>
      </c>
      <c r="G1139" s="24" t="s">
        <v>8</v>
      </c>
      <c r="H1139" s="24" t="s">
        <v>16</v>
      </c>
      <c r="I1139" s="27">
        <v>69.93</v>
      </c>
    </row>
    <row r="1140" spans="2:9" ht="16">
      <c r="B1140" s="24" t="s">
        <v>589</v>
      </c>
      <c r="C1140" s="24" t="s">
        <v>6</v>
      </c>
      <c r="D1140" s="24" t="s">
        <v>971</v>
      </c>
      <c r="E1140" s="24" t="s">
        <v>8</v>
      </c>
      <c r="F1140" s="24" t="s">
        <v>9</v>
      </c>
      <c r="G1140" s="24" t="s">
        <v>8</v>
      </c>
      <c r="H1140" s="24" t="s">
        <v>972</v>
      </c>
      <c r="I1140" s="27">
        <v>-32.73</v>
      </c>
    </row>
    <row r="1141" spans="2:9" ht="16">
      <c r="B1141" s="24" t="s">
        <v>589</v>
      </c>
      <c r="C1141" s="24" t="s">
        <v>6</v>
      </c>
      <c r="D1141" s="24" t="s">
        <v>971</v>
      </c>
      <c r="E1141" s="24" t="s">
        <v>8</v>
      </c>
      <c r="F1141" s="24" t="s">
        <v>9</v>
      </c>
      <c r="G1141" s="24" t="s">
        <v>8</v>
      </c>
      <c r="H1141" s="24" t="s">
        <v>972</v>
      </c>
      <c r="I1141" s="27">
        <v>32.73</v>
      </c>
    </row>
    <row r="1142" spans="2:9" ht="16">
      <c r="B1142" s="24" t="s">
        <v>589</v>
      </c>
      <c r="C1142" s="24" t="s">
        <v>6</v>
      </c>
      <c r="D1142" s="24" t="s">
        <v>971</v>
      </c>
      <c r="E1142" s="24" t="s">
        <v>8</v>
      </c>
      <c r="F1142" s="24" t="s">
        <v>9</v>
      </c>
      <c r="G1142" s="24" t="s">
        <v>8</v>
      </c>
      <c r="H1142" s="24" t="s">
        <v>973</v>
      </c>
      <c r="I1142" s="27">
        <v>-64.56</v>
      </c>
    </row>
    <row r="1143" spans="2:9" ht="16">
      <c r="B1143" s="24" t="s">
        <v>589</v>
      </c>
      <c r="C1143" s="24" t="s">
        <v>6</v>
      </c>
      <c r="D1143" s="24" t="s">
        <v>971</v>
      </c>
      <c r="E1143" s="24" t="s">
        <v>8</v>
      </c>
      <c r="F1143" s="24" t="s">
        <v>9</v>
      </c>
      <c r="G1143" s="24" t="s">
        <v>8</v>
      </c>
      <c r="H1143" s="24" t="s">
        <v>973</v>
      </c>
      <c r="I1143" s="27">
        <v>64.56</v>
      </c>
    </row>
    <row r="1144" spans="2:9" ht="16">
      <c r="B1144" s="24" t="s">
        <v>589</v>
      </c>
      <c r="C1144" s="24" t="s">
        <v>6</v>
      </c>
      <c r="D1144" s="24" t="s">
        <v>974</v>
      </c>
      <c r="E1144" s="24" t="s">
        <v>8</v>
      </c>
      <c r="F1144" s="24" t="s">
        <v>9</v>
      </c>
      <c r="G1144" s="24" t="s">
        <v>8</v>
      </c>
      <c r="H1144" s="24" t="s">
        <v>975</v>
      </c>
      <c r="I1144" s="27">
        <v>43.62</v>
      </c>
    </row>
    <row r="1145" spans="2:9" ht="16">
      <c r="B1145" s="24" t="s">
        <v>589</v>
      </c>
      <c r="C1145" s="24" t="s">
        <v>6</v>
      </c>
      <c r="D1145" s="24" t="s">
        <v>974</v>
      </c>
      <c r="E1145" s="24" t="s">
        <v>8</v>
      </c>
      <c r="F1145" s="24" t="s">
        <v>9</v>
      </c>
      <c r="G1145" s="24" t="s">
        <v>8</v>
      </c>
      <c r="H1145" s="24" t="s">
        <v>975</v>
      </c>
      <c r="I1145" s="27">
        <v>-43.62</v>
      </c>
    </row>
    <row r="1146" spans="2:9" ht="16">
      <c r="B1146" s="24" t="s">
        <v>589</v>
      </c>
      <c r="C1146" s="24" t="s">
        <v>6</v>
      </c>
      <c r="D1146" s="24" t="s">
        <v>562</v>
      </c>
      <c r="E1146" s="24" t="s">
        <v>8</v>
      </c>
      <c r="F1146" s="24" t="s">
        <v>9</v>
      </c>
      <c r="G1146" s="24" t="s">
        <v>8</v>
      </c>
      <c r="H1146" s="24" t="s">
        <v>976</v>
      </c>
      <c r="I1146" s="27">
        <v>14.18</v>
      </c>
    </row>
    <row r="1147" spans="2:9" ht="16">
      <c r="B1147" s="24" t="s">
        <v>589</v>
      </c>
      <c r="C1147" s="24" t="s">
        <v>6</v>
      </c>
      <c r="D1147" s="24" t="s">
        <v>562</v>
      </c>
      <c r="E1147" s="24" t="s">
        <v>8</v>
      </c>
      <c r="F1147" s="24" t="s">
        <v>9</v>
      </c>
      <c r="G1147" s="24" t="s">
        <v>8</v>
      </c>
      <c r="H1147" s="24" t="s">
        <v>976</v>
      </c>
      <c r="I1147" s="27">
        <v>-14.18</v>
      </c>
    </row>
    <row r="1148" spans="2:9" ht="16">
      <c r="B1148" s="24" t="s">
        <v>589</v>
      </c>
      <c r="C1148" s="24" t="s">
        <v>6</v>
      </c>
      <c r="D1148" s="24" t="s">
        <v>907</v>
      </c>
      <c r="E1148" s="24" t="s">
        <v>8</v>
      </c>
      <c r="F1148" s="24" t="s">
        <v>9</v>
      </c>
      <c r="G1148" s="24" t="s">
        <v>8</v>
      </c>
      <c r="H1148" s="24" t="s">
        <v>977</v>
      </c>
      <c r="I1148" s="27">
        <v>-46.99</v>
      </c>
    </row>
    <row r="1149" spans="2:9" ht="16">
      <c r="B1149" s="24" t="s">
        <v>589</v>
      </c>
      <c r="C1149" s="24" t="s">
        <v>6</v>
      </c>
      <c r="D1149" s="24" t="s">
        <v>907</v>
      </c>
      <c r="E1149" s="24" t="s">
        <v>8</v>
      </c>
      <c r="F1149" s="24" t="s">
        <v>9</v>
      </c>
      <c r="G1149" s="24" t="s">
        <v>8</v>
      </c>
      <c r="H1149" s="24" t="s">
        <v>977</v>
      </c>
      <c r="I1149" s="27">
        <v>46.99</v>
      </c>
    </row>
    <row r="1150" spans="2:9" ht="16">
      <c r="B1150" s="24" t="s">
        <v>119</v>
      </c>
      <c r="C1150" s="24" t="s">
        <v>139</v>
      </c>
      <c r="D1150" s="24" t="s">
        <v>978</v>
      </c>
      <c r="E1150" s="24" t="s">
        <v>8</v>
      </c>
      <c r="F1150" s="24" t="s">
        <v>9</v>
      </c>
      <c r="G1150" s="24" t="s">
        <v>8</v>
      </c>
      <c r="H1150" s="24" t="s">
        <v>979</v>
      </c>
      <c r="I1150" s="27">
        <v>-1946.7</v>
      </c>
    </row>
    <row r="1151" spans="2:9" ht="16">
      <c r="B1151" s="24" t="s">
        <v>119</v>
      </c>
      <c r="C1151" s="24" t="s">
        <v>139</v>
      </c>
      <c r="D1151" s="24" t="s">
        <v>980</v>
      </c>
      <c r="E1151" s="24" t="s">
        <v>8</v>
      </c>
      <c r="F1151" s="24" t="s">
        <v>9</v>
      </c>
      <c r="G1151" s="24" t="s">
        <v>8</v>
      </c>
      <c r="H1151" s="24" t="s">
        <v>981</v>
      </c>
      <c r="I1151" s="27">
        <v>-1069.4</v>
      </c>
    </row>
    <row r="1152" spans="2:9" ht="16">
      <c r="B1152" s="24" t="s">
        <v>119</v>
      </c>
      <c r="C1152" s="24" t="s">
        <v>6</v>
      </c>
      <c r="D1152" s="24" t="s">
        <v>592</v>
      </c>
      <c r="E1152" s="24" t="s">
        <v>8</v>
      </c>
      <c r="F1152" s="24" t="s">
        <v>9</v>
      </c>
      <c r="G1152" s="24" t="s">
        <v>8</v>
      </c>
      <c r="H1152" s="24" t="s">
        <v>982</v>
      </c>
      <c r="I1152" s="27">
        <v>2059.32</v>
      </c>
    </row>
    <row r="1153" spans="2:9" ht="16">
      <c r="B1153" s="24" t="s">
        <v>119</v>
      </c>
      <c r="C1153" s="24" t="s">
        <v>6</v>
      </c>
      <c r="D1153" s="24" t="s">
        <v>592</v>
      </c>
      <c r="E1153" s="24" t="s">
        <v>8</v>
      </c>
      <c r="F1153" s="24" t="s">
        <v>9</v>
      </c>
      <c r="G1153" s="24" t="s">
        <v>8</v>
      </c>
      <c r="H1153" s="24" t="s">
        <v>982</v>
      </c>
      <c r="I1153" s="27">
        <v>7033.3</v>
      </c>
    </row>
    <row r="1154" spans="2:9" ht="16">
      <c r="B1154" s="24" t="s">
        <v>119</v>
      </c>
      <c r="C1154" s="24" t="s">
        <v>6</v>
      </c>
      <c r="D1154" s="24" t="s">
        <v>978</v>
      </c>
      <c r="E1154" s="24" t="s">
        <v>8</v>
      </c>
      <c r="F1154" s="24" t="s">
        <v>9</v>
      </c>
      <c r="G1154" s="24" t="s">
        <v>8</v>
      </c>
      <c r="H1154" s="24" t="s">
        <v>982</v>
      </c>
      <c r="I1154" s="27">
        <v>890.64</v>
      </c>
    </row>
    <row r="1155" spans="2:9" ht="16">
      <c r="B1155" s="24" t="s">
        <v>119</v>
      </c>
      <c r="C1155" s="24" t="s">
        <v>6</v>
      </c>
      <c r="D1155" s="24" t="s">
        <v>978</v>
      </c>
      <c r="E1155" s="24" t="s">
        <v>8</v>
      </c>
      <c r="F1155" s="24" t="s">
        <v>9</v>
      </c>
      <c r="G1155" s="24" t="s">
        <v>8</v>
      </c>
      <c r="H1155" s="24" t="s">
        <v>982</v>
      </c>
      <c r="I1155" s="27">
        <v>2829.87</v>
      </c>
    </row>
    <row r="1156" spans="2:9" ht="16">
      <c r="B1156" s="24" t="s">
        <v>949</v>
      </c>
      <c r="C1156" s="24" t="s">
        <v>13</v>
      </c>
      <c r="D1156" s="24" t="s">
        <v>556</v>
      </c>
      <c r="E1156" s="24" t="s">
        <v>954</v>
      </c>
      <c r="F1156" s="24" t="s">
        <v>9</v>
      </c>
      <c r="G1156" s="24" t="s">
        <v>8</v>
      </c>
      <c r="H1156" s="24" t="s">
        <v>983</v>
      </c>
      <c r="I1156" s="27">
        <v>10034.14</v>
      </c>
    </row>
    <row r="1157" spans="2:9" ht="16">
      <c r="B1157" s="24" t="s">
        <v>949</v>
      </c>
      <c r="C1157" s="24" t="s">
        <v>13</v>
      </c>
      <c r="D1157" s="24" t="s">
        <v>556</v>
      </c>
      <c r="E1157" s="24" t="s">
        <v>952</v>
      </c>
      <c r="F1157" s="24" t="s">
        <v>9</v>
      </c>
      <c r="G1157" s="24" t="s">
        <v>8</v>
      </c>
      <c r="H1157" s="24" t="s">
        <v>983</v>
      </c>
      <c r="I1157" s="27">
        <v>11373.09</v>
      </c>
    </row>
    <row r="1158" spans="2:9" ht="16">
      <c r="B1158" s="24" t="s">
        <v>949</v>
      </c>
      <c r="C1158" s="24" t="s">
        <v>13</v>
      </c>
      <c r="D1158" s="24" t="s">
        <v>556</v>
      </c>
      <c r="E1158" s="24" t="s">
        <v>950</v>
      </c>
      <c r="F1158" s="24" t="s">
        <v>9</v>
      </c>
      <c r="G1158" s="24" t="s">
        <v>8</v>
      </c>
      <c r="H1158" s="24" t="s">
        <v>983</v>
      </c>
      <c r="I1158" s="27">
        <v>9187.93</v>
      </c>
    </row>
    <row r="1159" spans="2:9" ht="16">
      <c r="B1159" s="24" t="s">
        <v>949</v>
      </c>
      <c r="C1159" s="24" t="s">
        <v>13</v>
      </c>
      <c r="D1159" s="24" t="s">
        <v>984</v>
      </c>
      <c r="E1159" s="24" t="s">
        <v>985</v>
      </c>
      <c r="F1159" s="24" t="s">
        <v>9</v>
      </c>
      <c r="G1159" s="24" t="s">
        <v>8</v>
      </c>
      <c r="H1159" s="24" t="s">
        <v>986</v>
      </c>
      <c r="I1159" s="27">
        <v>3953.06</v>
      </c>
    </row>
    <row r="1160" spans="2:9" ht="16">
      <c r="B1160" s="24" t="s">
        <v>949</v>
      </c>
      <c r="C1160" s="24" t="s">
        <v>13</v>
      </c>
      <c r="D1160" s="24" t="s">
        <v>974</v>
      </c>
      <c r="E1160" s="24" t="s">
        <v>987</v>
      </c>
      <c r="F1160" s="24" t="s">
        <v>9</v>
      </c>
      <c r="G1160" s="24" t="s">
        <v>8</v>
      </c>
      <c r="H1160" s="24" t="s">
        <v>986</v>
      </c>
      <c r="I1160" s="27">
        <v>5871.69</v>
      </c>
    </row>
    <row r="1161" spans="2:9" ht="16">
      <c r="B1161" s="24" t="s">
        <v>949</v>
      </c>
      <c r="C1161" s="24" t="s">
        <v>13</v>
      </c>
      <c r="D1161" s="24" t="s">
        <v>988</v>
      </c>
      <c r="E1161" s="24" t="s">
        <v>989</v>
      </c>
      <c r="F1161" s="24" t="s">
        <v>9</v>
      </c>
      <c r="G1161" s="24" t="s">
        <v>8</v>
      </c>
      <c r="H1161" s="24" t="s">
        <v>986</v>
      </c>
      <c r="I1161" s="27">
        <v>2702.9</v>
      </c>
    </row>
    <row r="1162" spans="2:9" ht="16">
      <c r="B1162" s="24" t="s">
        <v>949</v>
      </c>
      <c r="C1162" s="24" t="s">
        <v>13</v>
      </c>
      <c r="D1162" s="24" t="s">
        <v>984</v>
      </c>
      <c r="E1162" s="24" t="s">
        <v>990</v>
      </c>
      <c r="F1162" s="24" t="s">
        <v>9</v>
      </c>
      <c r="G1162" s="24" t="s">
        <v>8</v>
      </c>
      <c r="H1162" s="24" t="s">
        <v>991</v>
      </c>
      <c r="I1162" s="27">
        <v>544.0</v>
      </c>
    </row>
    <row r="1163" spans="2:9" ht="16">
      <c r="B1163" s="24" t="s">
        <v>992</v>
      </c>
      <c r="C1163" s="24" t="s">
        <v>6</v>
      </c>
      <c r="D1163" s="24" t="s">
        <v>451</v>
      </c>
      <c r="E1163" s="24" t="s">
        <v>8</v>
      </c>
      <c r="F1163" s="24" t="s">
        <v>9</v>
      </c>
      <c r="G1163" s="24" t="s">
        <v>8</v>
      </c>
      <c r="H1163" s="24" t="s">
        <v>993</v>
      </c>
      <c r="I1163" s="27">
        <v>5.47</v>
      </c>
    </row>
    <row r="1164" spans="2:9" ht="16">
      <c r="B1164" s="24" t="s">
        <v>589</v>
      </c>
      <c r="C1164" s="24" t="s">
        <v>6</v>
      </c>
      <c r="D1164" s="24" t="s">
        <v>994</v>
      </c>
      <c r="E1164" s="24" t="s">
        <v>8</v>
      </c>
      <c r="F1164" s="24" t="s">
        <v>9</v>
      </c>
      <c r="G1164" s="24" t="s">
        <v>8</v>
      </c>
      <c r="H1164" s="24" t="s">
        <v>995</v>
      </c>
      <c r="I1164" s="27">
        <v>49.14</v>
      </c>
    </row>
    <row r="1165" spans="2:9" ht="16">
      <c r="B1165" s="24" t="s">
        <v>186</v>
      </c>
      <c r="C1165" s="24" t="s">
        <v>6</v>
      </c>
      <c r="D1165" s="24" t="s">
        <v>996</v>
      </c>
      <c r="E1165" s="24" t="s">
        <v>8</v>
      </c>
      <c r="F1165" s="24" t="s">
        <v>9</v>
      </c>
      <c r="G1165" s="24" t="s">
        <v>8</v>
      </c>
      <c r="H1165" s="24" t="s">
        <v>997</v>
      </c>
      <c r="I1165" s="27">
        <v>558.77</v>
      </c>
    </row>
    <row r="1166" spans="2:9" ht="16">
      <c r="B1166" s="24" t="s">
        <v>119</v>
      </c>
      <c r="C1166" s="24" t="s">
        <v>6</v>
      </c>
      <c r="D1166" s="24" t="s">
        <v>998</v>
      </c>
      <c r="E1166" s="24" t="s">
        <v>8</v>
      </c>
      <c r="F1166" s="24" t="s">
        <v>9</v>
      </c>
      <c r="G1166" s="24" t="s">
        <v>8</v>
      </c>
      <c r="H1166" s="24" t="s">
        <v>999</v>
      </c>
      <c r="I1166" s="27">
        <v>53.56</v>
      </c>
    </row>
    <row r="1167" spans="2:9" ht="16">
      <c r="B1167" s="24" t="s">
        <v>186</v>
      </c>
      <c r="C1167" s="24" t="s">
        <v>6</v>
      </c>
      <c r="D1167" s="24" t="s">
        <v>996</v>
      </c>
      <c r="E1167" s="24" t="s">
        <v>8</v>
      </c>
      <c r="F1167" s="24" t="s">
        <v>9</v>
      </c>
      <c r="G1167" s="24" t="s">
        <v>8</v>
      </c>
      <c r="H1167" s="24" t="s">
        <v>1000</v>
      </c>
      <c r="I1167" s="27">
        <v>713.79</v>
      </c>
    </row>
    <row r="1168" spans="2:9" ht="16">
      <c r="B1168" s="24" t="s">
        <v>119</v>
      </c>
      <c r="C1168" s="24" t="s">
        <v>6</v>
      </c>
      <c r="D1168" s="24" t="s">
        <v>601</v>
      </c>
      <c r="E1168" s="24" t="s">
        <v>8</v>
      </c>
      <c r="F1168" s="24" t="s">
        <v>9</v>
      </c>
      <c r="G1168" s="24" t="s">
        <v>8</v>
      </c>
      <c r="H1168" s="24" t="s">
        <v>1001</v>
      </c>
      <c r="I1168" s="27">
        <v>47.06</v>
      </c>
    </row>
    <row r="1169" spans="2:9" ht="16">
      <c r="B1169" s="24" t="s">
        <v>119</v>
      </c>
      <c r="C1169" s="24" t="s">
        <v>6</v>
      </c>
      <c r="D1169" s="24" t="s">
        <v>980</v>
      </c>
      <c r="E1169" s="24" t="s">
        <v>8</v>
      </c>
      <c r="F1169" s="24" t="s">
        <v>9</v>
      </c>
      <c r="G1169" s="24" t="s">
        <v>8</v>
      </c>
      <c r="H1169" s="24" t="s">
        <v>1001</v>
      </c>
      <c r="I1169" s="27">
        <v>248.22</v>
      </c>
    </row>
    <row r="1170" spans="2:9" ht="16">
      <c r="B1170" s="24" t="s">
        <v>119</v>
      </c>
      <c r="C1170" s="24" t="s">
        <v>6</v>
      </c>
      <c r="D1170" s="24" t="s">
        <v>974</v>
      </c>
      <c r="E1170" s="24" t="s">
        <v>8</v>
      </c>
      <c r="F1170" s="24" t="s">
        <v>9</v>
      </c>
      <c r="G1170" s="24" t="s">
        <v>8</v>
      </c>
      <c r="H1170" s="24" t="s">
        <v>1001</v>
      </c>
      <c r="I1170" s="27">
        <v>161.45</v>
      </c>
    </row>
    <row r="1171" spans="2:9" ht="16">
      <c r="B1171" s="24" t="s">
        <v>21</v>
      </c>
      <c r="C1171" s="24" t="s">
        <v>13</v>
      </c>
      <c r="D1171" s="24" t="s">
        <v>552</v>
      </c>
      <c r="E1171" s="24" t="s">
        <v>1002</v>
      </c>
      <c r="F1171" s="24" t="s">
        <v>9</v>
      </c>
      <c r="G1171" s="24" t="s">
        <v>8</v>
      </c>
      <c r="H1171" s="24" t="s">
        <v>1003</v>
      </c>
      <c r="I1171" s="27">
        <v>3982.43</v>
      </c>
    </row>
    <row r="1172" spans="2:9" ht="16">
      <c r="B1172" s="24" t="s">
        <v>949</v>
      </c>
      <c r="C1172" s="24" t="s">
        <v>13</v>
      </c>
      <c r="D1172" s="24" t="s">
        <v>540</v>
      </c>
      <c r="E1172" s="24" t="s">
        <v>1004</v>
      </c>
      <c r="F1172" s="24" t="s">
        <v>9</v>
      </c>
      <c r="G1172" s="24" t="s">
        <v>8</v>
      </c>
      <c r="H1172" s="24" t="s">
        <v>1005</v>
      </c>
      <c r="I1172" s="27">
        <v>203.48</v>
      </c>
    </row>
    <row r="1173" spans="2:9" ht="16">
      <c r="B1173" s="24" t="s">
        <v>119</v>
      </c>
      <c r="C1173" s="24" t="s">
        <v>6</v>
      </c>
      <c r="D1173" s="24" t="s">
        <v>1006</v>
      </c>
      <c r="E1173" s="24" t="s">
        <v>8</v>
      </c>
      <c r="F1173" s="24" t="s">
        <v>9</v>
      </c>
      <c r="G1173" s="24" t="s">
        <v>8</v>
      </c>
      <c r="H1173" s="24" t="s">
        <v>1007</v>
      </c>
      <c r="I1173" s="27">
        <v>109.57</v>
      </c>
    </row>
    <row r="1174" spans="2:9" ht="16">
      <c r="B1174" s="24" t="s">
        <v>36</v>
      </c>
      <c r="C1174" s="24" t="s">
        <v>6</v>
      </c>
      <c r="D1174" s="24" t="s">
        <v>1008</v>
      </c>
      <c r="E1174" s="24" t="s">
        <v>8</v>
      </c>
      <c r="F1174" s="24" t="s">
        <v>9</v>
      </c>
      <c r="G1174" s="24" t="s">
        <v>8</v>
      </c>
      <c r="H1174" s="24" t="s">
        <v>615</v>
      </c>
      <c r="I1174" s="27">
        <v>55.88</v>
      </c>
    </row>
    <row r="1175" spans="2:9" ht="16">
      <c r="B1175" s="24" t="s">
        <v>21</v>
      </c>
      <c r="C1175" s="24" t="s">
        <v>13</v>
      </c>
      <c r="D1175" s="24" t="s">
        <v>537</v>
      </c>
      <c r="E1175" s="24" t="s">
        <v>1009</v>
      </c>
      <c r="F1175" s="24" t="s">
        <v>9</v>
      </c>
      <c r="G1175" s="24" t="s">
        <v>8</v>
      </c>
      <c r="H1175" s="24" t="s">
        <v>24</v>
      </c>
      <c r="I1175" s="27">
        <v>179.47</v>
      </c>
    </row>
    <row r="1176" spans="2:9" ht="16">
      <c r="B1176" s="24" t="s">
        <v>21</v>
      </c>
      <c r="C1176" s="24" t="s">
        <v>13</v>
      </c>
      <c r="D1176" s="24" t="s">
        <v>821</v>
      </c>
      <c r="E1176" s="24" t="s">
        <v>1010</v>
      </c>
      <c r="F1176" s="24" t="s">
        <v>9</v>
      </c>
      <c r="G1176" s="24" t="s">
        <v>8</v>
      </c>
      <c r="H1176" s="24" t="s">
        <v>24</v>
      </c>
      <c r="I1176" s="27">
        <v>9779.12</v>
      </c>
    </row>
    <row r="1177" spans="2:9" ht="16">
      <c r="B1177" s="24" t="s">
        <v>21</v>
      </c>
      <c r="C1177" s="24" t="s">
        <v>13</v>
      </c>
      <c r="D1177" s="24" t="s">
        <v>736</v>
      </c>
      <c r="E1177" s="24" t="s">
        <v>1011</v>
      </c>
      <c r="F1177" s="24" t="s">
        <v>9</v>
      </c>
      <c r="G1177" s="24" t="s">
        <v>8</v>
      </c>
      <c r="H1177" s="24" t="s">
        <v>24</v>
      </c>
      <c r="I1177" s="27">
        <v>4091.62</v>
      </c>
    </row>
    <row r="1178" spans="2:9" ht="16">
      <c r="B1178" s="24" t="s">
        <v>21</v>
      </c>
      <c r="C1178" s="24" t="s">
        <v>13</v>
      </c>
      <c r="D1178" s="24" t="s">
        <v>821</v>
      </c>
      <c r="E1178" s="24" t="s">
        <v>1012</v>
      </c>
      <c r="F1178" s="24" t="s">
        <v>9</v>
      </c>
      <c r="G1178" s="24" t="s">
        <v>8</v>
      </c>
      <c r="H1178" s="24" t="s">
        <v>24</v>
      </c>
      <c r="I1178" s="27">
        <v>157.03</v>
      </c>
    </row>
    <row r="1179" spans="2:9" ht="16">
      <c r="B1179" s="24" t="s">
        <v>21</v>
      </c>
      <c r="C1179" s="24" t="s">
        <v>13</v>
      </c>
      <c r="D1179" s="24" t="s">
        <v>736</v>
      </c>
      <c r="E1179" s="24" t="s">
        <v>1013</v>
      </c>
      <c r="F1179" s="24" t="s">
        <v>9</v>
      </c>
      <c r="G1179" s="24" t="s">
        <v>8</v>
      </c>
      <c r="H1179" s="24" t="s">
        <v>24</v>
      </c>
      <c r="I1179" s="27">
        <v>49.61</v>
      </c>
    </row>
    <row r="1180" spans="2:9" ht="16">
      <c r="B1180" s="24" t="s">
        <v>12</v>
      </c>
      <c r="C1180" s="24" t="s">
        <v>13</v>
      </c>
      <c r="D1180" s="24" t="s">
        <v>1014</v>
      </c>
      <c r="E1180" s="24" t="s">
        <v>1015</v>
      </c>
      <c r="F1180" s="24" t="s">
        <v>9</v>
      </c>
      <c r="G1180" s="24" t="s">
        <v>8</v>
      </c>
      <c r="H1180" s="24" t="s">
        <v>837</v>
      </c>
      <c r="I1180" s="27">
        <v>420.78</v>
      </c>
    </row>
    <row r="1181" spans="2:9" ht="16">
      <c r="B1181" s="24" t="s">
        <v>21</v>
      </c>
      <c r="C1181" s="24" t="s">
        <v>13</v>
      </c>
      <c r="D1181" s="24" t="s">
        <v>1016</v>
      </c>
      <c r="E1181" s="24" t="s">
        <v>1017</v>
      </c>
      <c r="F1181" s="24" t="s">
        <v>9</v>
      </c>
      <c r="G1181" s="24" t="s">
        <v>8</v>
      </c>
      <c r="H1181" s="24" t="s">
        <v>837</v>
      </c>
      <c r="I1181" s="27">
        <v>1016.99</v>
      </c>
    </row>
    <row r="1182" spans="2:9" ht="16">
      <c r="B1182" s="24" t="s">
        <v>1018</v>
      </c>
      <c r="C1182" s="24" t="s">
        <v>13</v>
      </c>
      <c r="D1182" s="24" t="s">
        <v>1019</v>
      </c>
      <c r="E1182" s="24" t="s">
        <v>1020</v>
      </c>
      <c r="F1182" s="24" t="s">
        <v>9</v>
      </c>
      <c r="G1182" s="24" t="s">
        <v>8</v>
      </c>
      <c r="H1182" s="24" t="s">
        <v>837</v>
      </c>
      <c r="I1182" s="27">
        <v>3240.88</v>
      </c>
    </row>
    <row r="1183" spans="2:9" ht="16">
      <c r="B1183" s="24" t="s">
        <v>21</v>
      </c>
      <c r="C1183" s="24" t="s">
        <v>13</v>
      </c>
      <c r="D1183" s="24" t="s">
        <v>932</v>
      </c>
      <c r="E1183" s="24" t="s">
        <v>1021</v>
      </c>
      <c r="F1183" s="24" t="s">
        <v>9</v>
      </c>
      <c r="G1183" s="24" t="s">
        <v>8</v>
      </c>
      <c r="H1183" s="24" t="s">
        <v>837</v>
      </c>
      <c r="I1183" s="27">
        <v>306.03</v>
      </c>
    </row>
    <row r="1184" spans="2:9" ht="16">
      <c r="B1184" s="24" t="s">
        <v>21</v>
      </c>
      <c r="C1184" s="24" t="s">
        <v>13</v>
      </c>
      <c r="D1184" s="24" t="s">
        <v>1022</v>
      </c>
      <c r="E1184" s="24" t="s">
        <v>1023</v>
      </c>
      <c r="F1184" s="24" t="s">
        <v>9</v>
      </c>
      <c r="G1184" s="24" t="s">
        <v>8</v>
      </c>
      <c r="H1184" s="24" t="s">
        <v>837</v>
      </c>
      <c r="I1184" s="27">
        <v>274.5</v>
      </c>
    </row>
    <row r="1185" spans="2:9" ht="16">
      <c r="B1185" s="24" t="s">
        <v>1024</v>
      </c>
      <c r="C1185" s="24" t="s">
        <v>6</v>
      </c>
      <c r="D1185" s="24" t="s">
        <v>968</v>
      </c>
      <c r="E1185" s="24" t="s">
        <v>8</v>
      </c>
      <c r="F1185" s="24" t="s">
        <v>9</v>
      </c>
      <c r="G1185" s="24" t="s">
        <v>8</v>
      </c>
      <c r="H1185" s="24" t="s">
        <v>1025</v>
      </c>
      <c r="I1185" s="27">
        <v>341.08</v>
      </c>
    </row>
    <row r="1186" spans="2:9" ht="16">
      <c r="B1186" s="24" t="s">
        <v>239</v>
      </c>
      <c r="C1186" s="24" t="s">
        <v>139</v>
      </c>
      <c r="D1186" s="24" t="s">
        <v>1026</v>
      </c>
      <c r="E1186" s="24" t="s">
        <v>8</v>
      </c>
      <c r="F1186" s="24" t="s">
        <v>9</v>
      </c>
      <c r="G1186" s="24" t="s">
        <v>8</v>
      </c>
      <c r="H1186" s="24" t="s">
        <v>1027</v>
      </c>
      <c r="I1186" s="27">
        <v>-367.33</v>
      </c>
    </row>
    <row r="1187" spans="2:9" ht="16">
      <c r="B1187" s="24" t="s">
        <v>239</v>
      </c>
      <c r="C1187" s="24" t="s">
        <v>6</v>
      </c>
      <c r="D1187" s="24" t="s">
        <v>1026</v>
      </c>
      <c r="E1187" s="24" t="s">
        <v>8</v>
      </c>
      <c r="F1187" s="24" t="s">
        <v>9</v>
      </c>
      <c r="G1187" s="24" t="s">
        <v>8</v>
      </c>
      <c r="H1187" s="24" t="s">
        <v>1027</v>
      </c>
      <c r="I1187" s="27">
        <v>438.42</v>
      </c>
    </row>
    <row r="1188" spans="2:9" ht="16">
      <c r="B1188" s="24" t="s">
        <v>239</v>
      </c>
      <c r="C1188" s="24" t="s">
        <v>6</v>
      </c>
      <c r="D1188" s="24" t="s">
        <v>525</v>
      </c>
      <c r="E1188" s="24" t="s">
        <v>8</v>
      </c>
      <c r="F1188" s="24" t="s">
        <v>9</v>
      </c>
      <c r="G1188" s="24" t="s">
        <v>8</v>
      </c>
      <c r="H1188" s="24" t="s">
        <v>576</v>
      </c>
      <c r="I1188" s="27">
        <v>34.14</v>
      </c>
    </row>
    <row r="1189" spans="2:9" ht="16">
      <c r="B1189" s="24" t="s">
        <v>239</v>
      </c>
      <c r="C1189" s="24" t="s">
        <v>6</v>
      </c>
      <c r="D1189" s="24" t="s">
        <v>1028</v>
      </c>
      <c r="E1189" s="24" t="s">
        <v>8</v>
      </c>
      <c r="F1189" s="24" t="s">
        <v>9</v>
      </c>
      <c r="G1189" s="24" t="s">
        <v>8</v>
      </c>
      <c r="H1189" s="24" t="s">
        <v>1029</v>
      </c>
      <c r="I1189" s="27">
        <v>133.7</v>
      </c>
    </row>
    <row r="1190" spans="2:9" ht="16">
      <c r="B1190" s="24" t="s">
        <v>119</v>
      </c>
      <c r="C1190" s="24" t="s">
        <v>6</v>
      </c>
      <c r="D1190" s="24" t="s">
        <v>540</v>
      </c>
      <c r="E1190" s="24" t="s">
        <v>8</v>
      </c>
      <c r="F1190" s="24" t="s">
        <v>9</v>
      </c>
      <c r="G1190" s="24" t="s">
        <v>8</v>
      </c>
      <c r="H1190" s="24" t="s">
        <v>1030</v>
      </c>
      <c r="I1190" s="27">
        <v>224.17</v>
      </c>
    </row>
    <row r="1191" spans="2:9" ht="16">
      <c r="B1191" s="24" t="s">
        <v>119</v>
      </c>
      <c r="C1191" s="24" t="s">
        <v>6</v>
      </c>
      <c r="D1191" s="24" t="s">
        <v>540</v>
      </c>
      <c r="E1191" s="24" t="s">
        <v>8</v>
      </c>
      <c r="F1191" s="24" t="s">
        <v>9</v>
      </c>
      <c r="G1191" s="24" t="s">
        <v>8</v>
      </c>
      <c r="H1191" s="24" t="s">
        <v>1031</v>
      </c>
      <c r="I1191" s="27">
        <v>169.37</v>
      </c>
    </row>
    <row r="1192" spans="2:9" ht="16">
      <c r="B1192" s="24" t="s">
        <v>119</v>
      </c>
      <c r="C1192" s="24" t="s">
        <v>6</v>
      </c>
      <c r="D1192" s="24" t="s">
        <v>896</v>
      </c>
      <c r="E1192" s="24" t="s">
        <v>8</v>
      </c>
      <c r="F1192" s="24" t="s">
        <v>9</v>
      </c>
      <c r="G1192" s="24" t="s">
        <v>8</v>
      </c>
      <c r="H1192" s="24" t="s">
        <v>1032</v>
      </c>
      <c r="I1192" s="27">
        <v>249.96</v>
      </c>
    </row>
    <row r="1193" spans="2:9" ht="16">
      <c r="B1193" s="24" t="s">
        <v>155</v>
      </c>
      <c r="C1193" s="24" t="s">
        <v>6</v>
      </c>
      <c r="D1193" s="24" t="s">
        <v>885</v>
      </c>
      <c r="E1193" s="24" t="s">
        <v>8</v>
      </c>
      <c r="F1193" s="24" t="s">
        <v>9</v>
      </c>
      <c r="G1193" s="24" t="s">
        <v>8</v>
      </c>
      <c r="H1193" s="24" t="s">
        <v>1033</v>
      </c>
      <c r="I1193" s="27">
        <v>93.11</v>
      </c>
    </row>
    <row r="1194" spans="2:9" ht="16">
      <c r="B1194" s="24" t="s">
        <v>811</v>
      </c>
      <c r="C1194" s="24" t="s">
        <v>6</v>
      </c>
      <c r="D1194" s="24" t="s">
        <v>818</v>
      </c>
      <c r="E1194" s="24" t="s">
        <v>8</v>
      </c>
      <c r="F1194" s="24" t="s">
        <v>9</v>
      </c>
      <c r="G1194" s="24" t="s">
        <v>8</v>
      </c>
      <c r="H1194" s="24" t="s">
        <v>1034</v>
      </c>
      <c r="I1194" s="27">
        <v>97.05</v>
      </c>
    </row>
    <row r="1195" spans="2:9" ht="16">
      <c r="B1195" s="24" t="s">
        <v>1035</v>
      </c>
      <c r="C1195" s="24" t="s">
        <v>6</v>
      </c>
      <c r="D1195" s="24" t="s">
        <v>280</v>
      </c>
      <c r="E1195" s="24" t="s">
        <v>8</v>
      </c>
      <c r="F1195" s="24" t="s">
        <v>9</v>
      </c>
      <c r="G1195" s="24" t="s">
        <v>8</v>
      </c>
      <c r="H1195" s="24" t="s">
        <v>1036</v>
      </c>
      <c r="I1195" s="27">
        <v>109.59</v>
      </c>
    </row>
    <row r="1196" spans="2:9" ht="16">
      <c r="B1196" s="24" t="s">
        <v>119</v>
      </c>
      <c r="C1196" s="24" t="s">
        <v>6</v>
      </c>
      <c r="D1196" s="24" t="s">
        <v>194</v>
      </c>
      <c r="E1196" s="24" t="s">
        <v>8</v>
      </c>
      <c r="F1196" s="24" t="s">
        <v>9</v>
      </c>
      <c r="G1196" s="24" t="s">
        <v>8</v>
      </c>
      <c r="H1196" s="24" t="s">
        <v>1037</v>
      </c>
      <c r="I1196" s="27">
        <v>141.73</v>
      </c>
    </row>
    <row r="1197" spans="2:9" ht="16">
      <c r="B1197" s="24" t="s">
        <v>119</v>
      </c>
      <c r="C1197" s="24" t="s">
        <v>6</v>
      </c>
      <c r="D1197" s="24" t="s">
        <v>802</v>
      </c>
      <c r="E1197" s="24" t="s">
        <v>8</v>
      </c>
      <c r="F1197" s="24" t="s">
        <v>9</v>
      </c>
      <c r="G1197" s="24" t="s">
        <v>8</v>
      </c>
      <c r="H1197" s="24" t="s">
        <v>1038</v>
      </c>
      <c r="I1197" s="27">
        <v>70.43</v>
      </c>
    </row>
    <row r="1198" spans="2:9" ht="16">
      <c r="B1198" s="24" t="s">
        <v>36</v>
      </c>
      <c r="C1198" s="24" t="s">
        <v>6</v>
      </c>
      <c r="D1198" s="24" t="s">
        <v>721</v>
      </c>
      <c r="E1198" s="24" t="s">
        <v>8</v>
      </c>
      <c r="F1198" s="24" t="s">
        <v>9</v>
      </c>
      <c r="G1198" s="24" t="s">
        <v>8</v>
      </c>
      <c r="H1198" s="24" t="s">
        <v>1039</v>
      </c>
      <c r="I1198" s="27">
        <v>405.79</v>
      </c>
    </row>
    <row r="1199" spans="2:9" ht="16">
      <c r="B1199" s="24" t="s">
        <v>186</v>
      </c>
      <c r="C1199" s="24" t="s">
        <v>6</v>
      </c>
      <c r="D1199" s="24" t="s">
        <v>738</v>
      </c>
      <c r="E1199" s="24" t="s">
        <v>8</v>
      </c>
      <c r="F1199" s="24" t="s">
        <v>9</v>
      </c>
      <c r="G1199" s="24" t="s">
        <v>8</v>
      </c>
      <c r="H1199" s="24" t="s">
        <v>1040</v>
      </c>
      <c r="I1199" s="27">
        <v>611.65</v>
      </c>
    </row>
    <row r="1200" spans="2:9" ht="16">
      <c r="B1200" s="24" t="s">
        <v>1041</v>
      </c>
      <c r="C1200" s="24" t="s">
        <v>6</v>
      </c>
      <c r="D1200" s="24" t="s">
        <v>465</v>
      </c>
      <c r="E1200" s="24" t="s">
        <v>8</v>
      </c>
      <c r="F1200" s="24" t="s">
        <v>9</v>
      </c>
      <c r="G1200" s="24" t="s">
        <v>8</v>
      </c>
      <c r="H1200" s="24" t="s">
        <v>1042</v>
      </c>
      <c r="I1200" s="27">
        <v>74.23</v>
      </c>
    </row>
    <row r="1201" spans="2:9" ht="16">
      <c r="B1201" s="24" t="s">
        <v>1043</v>
      </c>
      <c r="C1201" s="24" t="s">
        <v>6</v>
      </c>
      <c r="D1201" s="24" t="s">
        <v>465</v>
      </c>
      <c r="E1201" s="24" t="s">
        <v>8</v>
      </c>
      <c r="F1201" s="24" t="s">
        <v>9</v>
      </c>
      <c r="G1201" s="24" t="s">
        <v>8</v>
      </c>
      <c r="H1201" s="24" t="s">
        <v>1044</v>
      </c>
      <c r="I1201" s="27">
        <v>1185.69</v>
      </c>
    </row>
    <row r="1202" spans="2:9" ht="16">
      <c r="B1202" s="24" t="s">
        <v>119</v>
      </c>
      <c r="C1202" s="24" t="s">
        <v>6</v>
      </c>
      <c r="D1202" s="24" t="s">
        <v>626</v>
      </c>
      <c r="E1202" s="24" t="s">
        <v>8</v>
      </c>
      <c r="F1202" s="24" t="s">
        <v>9</v>
      </c>
      <c r="G1202" s="24" t="s">
        <v>8</v>
      </c>
      <c r="H1202" s="24" t="s">
        <v>871</v>
      </c>
      <c r="I1202" s="27">
        <v>83.53</v>
      </c>
    </row>
    <row r="1203" spans="2:9" ht="16">
      <c r="B1203" s="24" t="s">
        <v>127</v>
      </c>
      <c r="C1203" s="24" t="s">
        <v>6</v>
      </c>
      <c r="D1203" s="24" t="s">
        <v>1045</v>
      </c>
      <c r="E1203" s="24" t="s">
        <v>8</v>
      </c>
      <c r="F1203" s="24" t="s">
        <v>9</v>
      </c>
      <c r="G1203" s="24" t="s">
        <v>8</v>
      </c>
      <c r="H1203" s="24" t="s">
        <v>1046</v>
      </c>
      <c r="I1203" s="27">
        <v>24.0</v>
      </c>
    </row>
    <row r="1204" spans="2:9" ht="16">
      <c r="B1204" s="24" t="s">
        <v>119</v>
      </c>
      <c r="C1204" s="24" t="s">
        <v>6</v>
      </c>
      <c r="D1204" s="24" t="s">
        <v>670</v>
      </c>
      <c r="E1204" s="24" t="s">
        <v>8</v>
      </c>
      <c r="F1204" s="24" t="s">
        <v>9</v>
      </c>
      <c r="G1204" s="24" t="s">
        <v>8</v>
      </c>
      <c r="H1204" s="24" t="s">
        <v>1047</v>
      </c>
      <c r="I1204" s="27">
        <v>193.5</v>
      </c>
    </row>
    <row r="1205" spans="2:9" ht="16">
      <c r="B1205" s="24" t="s">
        <v>119</v>
      </c>
      <c r="C1205" s="24" t="s">
        <v>6</v>
      </c>
      <c r="D1205" s="24" t="s">
        <v>626</v>
      </c>
      <c r="E1205" s="24" t="s">
        <v>8</v>
      </c>
      <c r="F1205" s="24" t="s">
        <v>9</v>
      </c>
      <c r="G1205" s="24" t="s">
        <v>8</v>
      </c>
      <c r="H1205" s="24" t="s">
        <v>1048</v>
      </c>
      <c r="I1205" s="27">
        <v>93.54</v>
      </c>
    </row>
    <row r="1206" spans="2:9" ht="16">
      <c r="B1206" s="24" t="s">
        <v>21</v>
      </c>
      <c r="C1206" s="24" t="s">
        <v>13</v>
      </c>
      <c r="D1206" s="24" t="s">
        <v>873</v>
      </c>
      <c r="E1206" s="24" t="s">
        <v>1049</v>
      </c>
      <c r="F1206" s="24" t="s">
        <v>9</v>
      </c>
      <c r="G1206" s="24" t="s">
        <v>8</v>
      </c>
      <c r="H1206" s="24" t="s">
        <v>1050</v>
      </c>
      <c r="I1206" s="27">
        <v>564.61</v>
      </c>
    </row>
    <row r="1207" spans="2:9" ht="16">
      <c r="B1207" s="24" t="s">
        <v>21</v>
      </c>
      <c r="C1207" s="24" t="s">
        <v>13</v>
      </c>
      <c r="D1207" s="24" t="s">
        <v>629</v>
      </c>
      <c r="E1207" s="24" t="s">
        <v>1051</v>
      </c>
      <c r="F1207" s="24" t="s">
        <v>9</v>
      </c>
      <c r="G1207" s="24" t="s">
        <v>8</v>
      </c>
      <c r="H1207" s="24" t="s">
        <v>1052</v>
      </c>
      <c r="I1207" s="27">
        <v>381.54</v>
      </c>
    </row>
    <row r="1208" spans="2:9" ht="16">
      <c r="B1208" s="24" t="s">
        <v>119</v>
      </c>
      <c r="C1208" s="24" t="s">
        <v>6</v>
      </c>
      <c r="D1208" s="24" t="s">
        <v>832</v>
      </c>
      <c r="E1208" s="24" t="s">
        <v>8</v>
      </c>
      <c r="F1208" s="24" t="s">
        <v>9</v>
      </c>
      <c r="G1208" s="24" t="s">
        <v>8</v>
      </c>
      <c r="H1208" s="24" t="s">
        <v>1053</v>
      </c>
      <c r="I1208" s="27">
        <v>17.49</v>
      </c>
    </row>
    <row r="1209" spans="2:9" ht="16">
      <c r="B1209" s="24" t="s">
        <v>119</v>
      </c>
      <c r="C1209" s="24" t="s">
        <v>6</v>
      </c>
      <c r="D1209" s="24" t="s">
        <v>1054</v>
      </c>
      <c r="E1209" s="24" t="s">
        <v>8</v>
      </c>
      <c r="F1209" s="24" t="s">
        <v>9</v>
      </c>
      <c r="G1209" s="24" t="s">
        <v>8</v>
      </c>
      <c r="H1209" s="24" t="s">
        <v>1055</v>
      </c>
      <c r="I1209" s="27">
        <v>115.49</v>
      </c>
    </row>
    <row r="1210" spans="2:9" ht="16">
      <c r="B1210" s="24" t="s">
        <v>186</v>
      </c>
      <c r="C1210" s="24" t="s">
        <v>6</v>
      </c>
      <c r="D1210" s="24" t="s">
        <v>553</v>
      </c>
      <c r="E1210" s="24" t="s">
        <v>8</v>
      </c>
      <c r="F1210" s="24" t="s">
        <v>9</v>
      </c>
      <c r="G1210" s="24" t="s">
        <v>8</v>
      </c>
      <c r="H1210" s="24" t="s">
        <v>1056</v>
      </c>
      <c r="I1210" s="27">
        <v>561.97</v>
      </c>
    </row>
    <row r="1211" spans="2:9" ht="16">
      <c r="B1211" s="24" t="s">
        <v>36</v>
      </c>
      <c r="C1211" s="24" t="s">
        <v>6</v>
      </c>
      <c r="D1211" s="24" t="s">
        <v>1016</v>
      </c>
      <c r="E1211" s="24" t="s">
        <v>8</v>
      </c>
      <c r="F1211" s="24" t="s">
        <v>9</v>
      </c>
      <c r="G1211" s="24" t="s">
        <v>8</v>
      </c>
      <c r="H1211" s="24" t="s">
        <v>1057</v>
      </c>
      <c r="I1211" s="27">
        <v>219.28</v>
      </c>
    </row>
    <row r="1212" spans="2:9" ht="16">
      <c r="B1212" s="24" t="s">
        <v>239</v>
      </c>
      <c r="C1212" s="24" t="s">
        <v>6</v>
      </c>
      <c r="D1212" s="24" t="s">
        <v>1058</v>
      </c>
      <c r="E1212" s="24" t="s">
        <v>8</v>
      </c>
      <c r="F1212" s="24" t="s">
        <v>9</v>
      </c>
      <c r="G1212" s="24" t="s">
        <v>8</v>
      </c>
      <c r="H1212" s="24" t="s">
        <v>1059</v>
      </c>
      <c r="I1212" s="27">
        <v>4790.48</v>
      </c>
    </row>
    <row r="1213" spans="2:9" ht="16">
      <c r="B1213" s="24" t="s">
        <v>119</v>
      </c>
      <c r="C1213" s="24" t="s">
        <v>6</v>
      </c>
      <c r="D1213" s="24" t="s">
        <v>555</v>
      </c>
      <c r="E1213" s="24" t="s">
        <v>8</v>
      </c>
      <c r="F1213" s="24" t="s">
        <v>9</v>
      </c>
      <c r="G1213" s="24" t="s">
        <v>8</v>
      </c>
      <c r="H1213" s="24" t="s">
        <v>1060</v>
      </c>
      <c r="I1213" s="27">
        <v>622.15</v>
      </c>
    </row>
    <row r="1214" spans="2:9" ht="16">
      <c r="B1214" s="24" t="s">
        <v>239</v>
      </c>
      <c r="C1214" s="24" t="s">
        <v>6</v>
      </c>
      <c r="D1214" s="24" t="s">
        <v>648</v>
      </c>
      <c r="E1214" s="24" t="s">
        <v>8</v>
      </c>
      <c r="F1214" s="24" t="s">
        <v>9</v>
      </c>
      <c r="G1214" s="24" t="s">
        <v>8</v>
      </c>
      <c r="H1214" s="24" t="s">
        <v>1061</v>
      </c>
      <c r="I1214" s="27">
        <v>506.14</v>
      </c>
    </row>
    <row r="1215" spans="2:9" ht="16">
      <c r="B1215" s="24" t="s">
        <v>127</v>
      </c>
      <c r="C1215" s="24" t="s">
        <v>6</v>
      </c>
      <c r="D1215" s="24" t="s">
        <v>1062</v>
      </c>
      <c r="E1215" s="24" t="s">
        <v>8</v>
      </c>
      <c r="F1215" s="24" t="s">
        <v>9</v>
      </c>
      <c r="G1215" s="24" t="s">
        <v>8</v>
      </c>
      <c r="H1215" s="24" t="s">
        <v>1063</v>
      </c>
      <c r="I1215" s="27">
        <v>14.07</v>
      </c>
    </row>
    <row r="1216" spans="2:9" ht="16">
      <c r="B1216" s="24" t="s">
        <v>119</v>
      </c>
      <c r="C1216" s="24" t="s">
        <v>6</v>
      </c>
      <c r="D1216" s="24" t="s">
        <v>1062</v>
      </c>
      <c r="E1216" s="24" t="s">
        <v>8</v>
      </c>
      <c r="F1216" s="24" t="s">
        <v>9</v>
      </c>
      <c r="G1216" s="24" t="s">
        <v>8</v>
      </c>
      <c r="H1216" s="24" t="s">
        <v>1064</v>
      </c>
      <c r="I1216" s="27">
        <v>251.35</v>
      </c>
    </row>
    <row r="1217" spans="2:9" ht="16">
      <c r="B1217" s="24" t="s">
        <v>119</v>
      </c>
      <c r="C1217" s="24" t="s">
        <v>6</v>
      </c>
      <c r="D1217" s="24" t="s">
        <v>901</v>
      </c>
      <c r="E1217" s="24" t="s">
        <v>8</v>
      </c>
      <c r="F1217" s="24" t="s">
        <v>9</v>
      </c>
      <c r="G1217" s="24" t="s">
        <v>8</v>
      </c>
      <c r="H1217" s="24" t="s">
        <v>1065</v>
      </c>
      <c r="I1217" s="27">
        <v>119.31</v>
      </c>
    </row>
    <row r="1218" spans="2:9" ht="16">
      <c r="B1218" s="24" t="s">
        <v>1066</v>
      </c>
      <c r="C1218" s="24" t="s">
        <v>6</v>
      </c>
      <c r="D1218" s="24" t="s">
        <v>1067</v>
      </c>
      <c r="E1218" s="24" t="s">
        <v>8</v>
      </c>
      <c r="F1218" s="24" t="s">
        <v>9</v>
      </c>
      <c r="G1218" s="24" t="s">
        <v>8</v>
      </c>
      <c r="H1218" s="24" t="s">
        <v>1068</v>
      </c>
      <c r="I1218" s="27">
        <v>54.66</v>
      </c>
    </row>
    <row r="1219" spans="2:9" ht="16">
      <c r="B1219" s="24" t="s">
        <v>119</v>
      </c>
      <c r="C1219" s="24" t="s">
        <v>6</v>
      </c>
      <c r="D1219" s="24" t="s">
        <v>503</v>
      </c>
      <c r="E1219" s="24" t="s">
        <v>8</v>
      </c>
      <c r="F1219" s="24" t="s">
        <v>9</v>
      </c>
      <c r="G1219" s="24" t="s">
        <v>8</v>
      </c>
      <c r="H1219" s="24" t="s">
        <v>1069</v>
      </c>
      <c r="I1219" s="27">
        <v>105.01</v>
      </c>
    </row>
    <row r="1220" spans="2:9" ht="16">
      <c r="B1220" s="24" t="s">
        <v>127</v>
      </c>
      <c r="C1220" s="24" t="s">
        <v>6</v>
      </c>
      <c r="D1220" s="24" t="s">
        <v>503</v>
      </c>
      <c r="E1220" s="24" t="s">
        <v>8</v>
      </c>
      <c r="F1220" s="24" t="s">
        <v>9</v>
      </c>
      <c r="G1220" s="24" t="s">
        <v>8</v>
      </c>
      <c r="H1220" s="24" t="s">
        <v>1070</v>
      </c>
      <c r="I1220" s="27">
        <v>78.66</v>
      </c>
    </row>
    <row r="1221" spans="2:9" ht="16">
      <c r="B1221" s="24" t="s">
        <v>119</v>
      </c>
      <c r="C1221" s="24" t="s">
        <v>6</v>
      </c>
      <c r="D1221" s="24" t="s">
        <v>503</v>
      </c>
      <c r="E1221" s="24" t="s">
        <v>8</v>
      </c>
      <c r="F1221" s="24" t="s">
        <v>9</v>
      </c>
      <c r="G1221" s="24" t="s">
        <v>8</v>
      </c>
      <c r="H1221" s="24" t="s">
        <v>1071</v>
      </c>
      <c r="I1221" s="27">
        <v>107.32</v>
      </c>
    </row>
    <row r="1222" spans="2:9" ht="16">
      <c r="B1222" s="24" t="s">
        <v>1072</v>
      </c>
      <c r="C1222" s="24" t="s">
        <v>6</v>
      </c>
      <c r="D1222" s="24" t="s">
        <v>525</v>
      </c>
      <c r="E1222" s="24" t="s">
        <v>8</v>
      </c>
      <c r="F1222" s="24" t="s">
        <v>9</v>
      </c>
      <c r="G1222" s="24" t="s">
        <v>8</v>
      </c>
      <c r="H1222" s="24" t="s">
        <v>1073</v>
      </c>
      <c r="I1222" s="27">
        <v>64.2</v>
      </c>
    </row>
    <row r="1223" spans="2:9" ht="16">
      <c r="B1223" s="24" t="s">
        <v>127</v>
      </c>
      <c r="C1223" s="24" t="s">
        <v>6</v>
      </c>
      <c r="D1223" s="24" t="s">
        <v>551</v>
      </c>
      <c r="E1223" s="24" t="s">
        <v>8</v>
      </c>
      <c r="F1223" s="24" t="s">
        <v>9</v>
      </c>
      <c r="G1223" s="24" t="s">
        <v>8</v>
      </c>
      <c r="H1223" s="24" t="s">
        <v>1074</v>
      </c>
      <c r="I1223" s="27">
        <v>3.0</v>
      </c>
    </row>
    <row r="1224" spans="2:9" ht="16">
      <c r="B1224" s="24" t="s">
        <v>119</v>
      </c>
      <c r="C1224" s="24" t="s">
        <v>6</v>
      </c>
      <c r="D1224" s="24" t="s">
        <v>1075</v>
      </c>
      <c r="E1224" s="24" t="s">
        <v>8</v>
      </c>
      <c r="F1224" s="24" t="s">
        <v>9</v>
      </c>
      <c r="G1224" s="24" t="s">
        <v>8</v>
      </c>
      <c r="H1224" s="24" t="s">
        <v>1076</v>
      </c>
      <c r="I1224" s="27">
        <v>71.35</v>
      </c>
    </row>
    <row r="1225" spans="2:9" ht="16">
      <c r="B1225" s="24" t="s">
        <v>589</v>
      </c>
      <c r="C1225" s="24" t="s">
        <v>6</v>
      </c>
      <c r="D1225" s="24" t="s">
        <v>971</v>
      </c>
      <c r="E1225" s="24" t="s">
        <v>8</v>
      </c>
      <c r="F1225" s="24" t="s">
        <v>9</v>
      </c>
      <c r="G1225" s="24" t="s">
        <v>8</v>
      </c>
      <c r="H1225" s="24" t="s">
        <v>1077</v>
      </c>
      <c r="I1225" s="27">
        <v>751.48</v>
      </c>
    </row>
    <row r="1226" spans="2:9" ht="16">
      <c r="B1226" s="24" t="s">
        <v>589</v>
      </c>
      <c r="C1226" s="24" t="s">
        <v>6</v>
      </c>
      <c r="D1226" s="24" t="s">
        <v>971</v>
      </c>
      <c r="E1226" s="24" t="s">
        <v>8</v>
      </c>
      <c r="F1226" s="24" t="s">
        <v>9</v>
      </c>
      <c r="G1226" s="24" t="s">
        <v>8</v>
      </c>
      <c r="H1226" s="24" t="s">
        <v>1077</v>
      </c>
      <c r="I1226" s="27">
        <v>-751.48</v>
      </c>
    </row>
    <row r="1227" spans="2:9" ht="16">
      <c r="B1227" s="24" t="s">
        <v>119</v>
      </c>
      <c r="C1227" s="24" t="s">
        <v>6</v>
      </c>
      <c r="D1227" s="24" t="s">
        <v>974</v>
      </c>
      <c r="E1227" s="24" t="s">
        <v>8</v>
      </c>
      <c r="F1227" s="24" t="s">
        <v>9</v>
      </c>
      <c r="G1227" s="24" t="s">
        <v>8</v>
      </c>
      <c r="H1227" s="24" t="s">
        <v>1078</v>
      </c>
      <c r="I1227" s="27">
        <v>19.44</v>
      </c>
    </row>
    <row r="1228" spans="2:9" ht="16">
      <c r="B1228" s="24" t="s">
        <v>119</v>
      </c>
      <c r="C1228" s="24" t="s">
        <v>6</v>
      </c>
      <c r="D1228" s="24" t="s">
        <v>460</v>
      </c>
      <c r="E1228" s="24" t="s">
        <v>8</v>
      </c>
      <c r="F1228" s="24" t="s">
        <v>9</v>
      </c>
      <c r="G1228" s="24" t="s">
        <v>8</v>
      </c>
      <c r="H1228" s="24" t="s">
        <v>1079</v>
      </c>
      <c r="I1228" s="27">
        <v>352.87</v>
      </c>
    </row>
    <row r="1229" spans="2:9" ht="16">
      <c r="B1229" s="24" t="s">
        <v>119</v>
      </c>
      <c r="C1229" s="24" t="s">
        <v>6</v>
      </c>
      <c r="D1229" s="24" t="s">
        <v>460</v>
      </c>
      <c r="E1229" s="24" t="s">
        <v>8</v>
      </c>
      <c r="F1229" s="24" t="s">
        <v>9</v>
      </c>
      <c r="G1229" s="24" t="s">
        <v>8</v>
      </c>
      <c r="H1229" s="24" t="s">
        <v>1080</v>
      </c>
      <c r="I1229" s="27">
        <v>234.84</v>
      </c>
    </row>
    <row r="1230" spans="2:9" ht="16">
      <c r="B1230" s="24" t="s">
        <v>1066</v>
      </c>
      <c r="C1230" s="24" t="s">
        <v>6</v>
      </c>
      <c r="D1230" s="24" t="s">
        <v>1028</v>
      </c>
      <c r="E1230" s="24" t="s">
        <v>8</v>
      </c>
      <c r="F1230" s="24" t="s">
        <v>9</v>
      </c>
      <c r="G1230" s="24" t="s">
        <v>8</v>
      </c>
      <c r="H1230" s="24" t="s">
        <v>1081</v>
      </c>
      <c r="I1230" s="27">
        <v>31.67</v>
      </c>
    </row>
    <row r="1231" spans="2:9" ht="16">
      <c r="B1231" s="24" t="s">
        <v>119</v>
      </c>
      <c r="C1231" s="24" t="s">
        <v>6</v>
      </c>
      <c r="D1231" s="24" t="s">
        <v>1028</v>
      </c>
      <c r="E1231" s="24" t="s">
        <v>8</v>
      </c>
      <c r="F1231" s="24" t="s">
        <v>9</v>
      </c>
      <c r="G1231" s="24" t="s">
        <v>8</v>
      </c>
      <c r="H1231" s="24" t="s">
        <v>1082</v>
      </c>
      <c r="I1231" s="27">
        <v>59.31</v>
      </c>
    </row>
    <row r="1232" spans="2:9" ht="16">
      <c r="B1232" s="24" t="s">
        <v>36</v>
      </c>
      <c r="C1232" s="24" t="s">
        <v>6</v>
      </c>
      <c r="D1232" s="24" t="s">
        <v>1083</v>
      </c>
      <c r="E1232" s="24" t="s">
        <v>8</v>
      </c>
      <c r="F1232" s="24" t="s">
        <v>9</v>
      </c>
      <c r="G1232" s="24" t="s">
        <v>8</v>
      </c>
      <c r="H1232" s="24" t="s">
        <v>1084</v>
      </c>
      <c r="I1232" s="27">
        <v>124.13</v>
      </c>
    </row>
    <row r="1233" spans="2:9" ht="16">
      <c r="B1233" s="24" t="s">
        <v>119</v>
      </c>
      <c r="C1233" s="24" t="s">
        <v>6</v>
      </c>
      <c r="D1233" s="24" t="s">
        <v>1083</v>
      </c>
      <c r="E1233" s="24" t="s">
        <v>8</v>
      </c>
      <c r="F1233" s="24" t="s">
        <v>9</v>
      </c>
      <c r="G1233" s="24" t="s">
        <v>8</v>
      </c>
      <c r="H1233" s="24" t="s">
        <v>1085</v>
      </c>
      <c r="I1233" s="27">
        <v>36.45</v>
      </c>
    </row>
    <row r="1234" spans="2:9" ht="16">
      <c r="B1234" s="24" t="s">
        <v>119</v>
      </c>
      <c r="C1234" s="24" t="s">
        <v>6</v>
      </c>
      <c r="D1234" s="24" t="s">
        <v>1086</v>
      </c>
      <c r="E1234" s="24" t="s">
        <v>8</v>
      </c>
      <c r="F1234" s="24" t="s">
        <v>9</v>
      </c>
      <c r="G1234" s="24" t="s">
        <v>8</v>
      </c>
      <c r="H1234" s="24" t="s">
        <v>1087</v>
      </c>
      <c r="I1234" s="27">
        <v>17.49</v>
      </c>
    </row>
    <row r="1235" spans="2:9" ht="16">
      <c r="B1235" s="24" t="s">
        <v>119</v>
      </c>
      <c r="C1235" s="24" t="s">
        <v>6</v>
      </c>
      <c r="D1235" s="24" t="s">
        <v>552</v>
      </c>
      <c r="E1235" s="24" t="s">
        <v>8</v>
      </c>
      <c r="F1235" s="24" t="s">
        <v>9</v>
      </c>
      <c r="G1235" s="24" t="s">
        <v>8</v>
      </c>
      <c r="H1235" s="24" t="s">
        <v>1088</v>
      </c>
      <c r="I1235" s="27">
        <v>134.01</v>
      </c>
    </row>
    <row r="1236" spans="2:9" ht="16">
      <c r="B1236" s="24" t="s">
        <v>1043</v>
      </c>
      <c r="C1236" s="24" t="s">
        <v>139</v>
      </c>
      <c r="D1236" s="24" t="s">
        <v>898</v>
      </c>
      <c r="E1236" s="24" t="s">
        <v>8</v>
      </c>
      <c r="F1236" s="24" t="s">
        <v>9</v>
      </c>
      <c r="G1236" s="24" t="s">
        <v>8</v>
      </c>
      <c r="H1236" s="24" t="s">
        <v>1089</v>
      </c>
      <c r="I1236" s="27">
        <v>-100.2</v>
      </c>
    </row>
    <row r="1237" spans="2:9" ht="16">
      <c r="B1237" s="24" t="s">
        <v>119</v>
      </c>
      <c r="C1237" s="24" t="s">
        <v>139</v>
      </c>
      <c r="D1237" s="24" t="s">
        <v>1090</v>
      </c>
      <c r="E1237" s="24" t="s">
        <v>8</v>
      </c>
      <c r="F1237" s="24" t="s">
        <v>9</v>
      </c>
      <c r="G1237" s="24" t="s">
        <v>8</v>
      </c>
      <c r="H1237" s="24" t="s">
        <v>1091</v>
      </c>
      <c r="I1237" s="27">
        <v>-1357.99</v>
      </c>
    </row>
    <row r="1238" spans="2:9" ht="16">
      <c r="B1238" s="24" t="s">
        <v>589</v>
      </c>
      <c r="C1238" s="24" t="s">
        <v>139</v>
      </c>
      <c r="D1238" s="24" t="s">
        <v>593</v>
      </c>
      <c r="E1238" s="24" t="s">
        <v>8</v>
      </c>
      <c r="F1238" s="24" t="s">
        <v>9</v>
      </c>
      <c r="G1238" s="24" t="s">
        <v>8</v>
      </c>
      <c r="H1238" s="24" t="s">
        <v>1092</v>
      </c>
      <c r="I1238" s="27">
        <v>94.65</v>
      </c>
    </row>
    <row r="1239" spans="2:9" ht="16">
      <c r="B1239" s="24" t="s">
        <v>589</v>
      </c>
      <c r="C1239" s="24" t="s">
        <v>139</v>
      </c>
      <c r="D1239" s="24" t="s">
        <v>593</v>
      </c>
      <c r="E1239" s="24" t="s">
        <v>8</v>
      </c>
      <c r="F1239" s="24" t="s">
        <v>9</v>
      </c>
      <c r="G1239" s="24" t="s">
        <v>8</v>
      </c>
      <c r="H1239" s="24" t="s">
        <v>1092</v>
      </c>
      <c r="I1239" s="27">
        <v>-94.65</v>
      </c>
    </row>
    <row r="1240" spans="2:9" ht="16">
      <c r="B1240" s="24" t="s">
        <v>589</v>
      </c>
      <c r="C1240" s="24" t="s">
        <v>139</v>
      </c>
      <c r="D1240" s="24" t="s">
        <v>593</v>
      </c>
      <c r="E1240" s="24" t="s">
        <v>8</v>
      </c>
      <c r="F1240" s="24" t="s">
        <v>9</v>
      </c>
      <c r="G1240" s="24" t="s">
        <v>8</v>
      </c>
      <c r="H1240" s="24" t="s">
        <v>1092</v>
      </c>
      <c r="I1240" s="27">
        <v>-94.65</v>
      </c>
    </row>
    <row r="1241" spans="2:9" ht="16">
      <c r="B1241" s="24" t="s">
        <v>1093</v>
      </c>
      <c r="C1241" s="24" t="s">
        <v>6</v>
      </c>
      <c r="D1241" s="24" t="s">
        <v>540</v>
      </c>
      <c r="E1241" s="24" t="s">
        <v>8</v>
      </c>
      <c r="F1241" s="24" t="s">
        <v>9</v>
      </c>
      <c r="G1241" s="24" t="s">
        <v>8</v>
      </c>
      <c r="H1241" s="24" t="s">
        <v>1094</v>
      </c>
      <c r="I1241" s="27">
        <v>643.98</v>
      </c>
    </row>
    <row r="1242" spans="2:9" ht="16">
      <c r="B1242" s="24" t="s">
        <v>1093</v>
      </c>
      <c r="C1242" s="24" t="s">
        <v>139</v>
      </c>
      <c r="D1242" s="24" t="s">
        <v>988</v>
      </c>
      <c r="E1242" s="24" t="s">
        <v>8</v>
      </c>
      <c r="F1242" s="24" t="s">
        <v>9</v>
      </c>
      <c r="G1242" s="24" t="s">
        <v>8</v>
      </c>
      <c r="H1242" s="24" t="s">
        <v>1095</v>
      </c>
      <c r="I1242" s="27">
        <v>-643.98</v>
      </c>
    </row>
    <row r="1243" spans="2:9" ht="16">
      <c r="B1243" s="24" t="s">
        <v>1096</v>
      </c>
      <c r="C1243" s="24" t="s">
        <v>6</v>
      </c>
      <c r="D1243" s="24" t="s">
        <v>1097</v>
      </c>
      <c r="E1243" s="24" t="s">
        <v>8</v>
      </c>
      <c r="F1243" s="24" t="s">
        <v>9</v>
      </c>
      <c r="G1243" s="24" t="s">
        <v>8</v>
      </c>
      <c r="H1243" s="24" t="s">
        <v>1098</v>
      </c>
      <c r="I1243" s="27">
        <v>3.27</v>
      </c>
    </row>
    <row r="1244" spans="2:9" ht="16">
      <c r="B1244" s="24" t="s">
        <v>1096</v>
      </c>
      <c r="C1244" s="24" t="s">
        <v>6</v>
      </c>
      <c r="D1244" s="24" t="s">
        <v>974</v>
      </c>
      <c r="E1244" s="24" t="s">
        <v>8</v>
      </c>
      <c r="F1244" s="24" t="s">
        <v>9</v>
      </c>
      <c r="G1244" s="24" t="s">
        <v>8</v>
      </c>
      <c r="H1244" s="24" t="s">
        <v>1099</v>
      </c>
      <c r="I1244" s="27">
        <v>3.27</v>
      </c>
    </row>
    <row r="1245" spans="2:9" ht="16">
      <c r="B1245" s="24" t="s">
        <v>119</v>
      </c>
      <c r="C1245" s="24" t="s">
        <v>6</v>
      </c>
      <c r="D1245" s="24" t="s">
        <v>561</v>
      </c>
      <c r="E1245" s="24" t="s">
        <v>8</v>
      </c>
      <c r="F1245" s="24" t="s">
        <v>9</v>
      </c>
      <c r="G1245" s="24" t="s">
        <v>8</v>
      </c>
      <c r="H1245" s="24" t="s">
        <v>1100</v>
      </c>
      <c r="I1245" s="27">
        <v>306.12</v>
      </c>
    </row>
    <row r="1246" spans="2:9" ht="16">
      <c r="B1246" s="24" t="s">
        <v>119</v>
      </c>
      <c r="C1246" s="24" t="s">
        <v>6</v>
      </c>
      <c r="D1246" s="24" t="s">
        <v>974</v>
      </c>
      <c r="E1246" s="24" t="s">
        <v>8</v>
      </c>
      <c r="F1246" s="24" t="s">
        <v>9</v>
      </c>
      <c r="G1246" s="24" t="s">
        <v>8</v>
      </c>
      <c r="H1246" s="24" t="s">
        <v>642</v>
      </c>
      <c r="I1246" s="27">
        <v>127.71</v>
      </c>
    </row>
    <row r="1247" spans="2:9" ht="16">
      <c r="B1247" s="24" t="s">
        <v>119</v>
      </c>
      <c r="C1247" s="24" t="s">
        <v>6</v>
      </c>
      <c r="D1247" s="24" t="s">
        <v>1101</v>
      </c>
      <c r="E1247" s="24" t="s">
        <v>8</v>
      </c>
      <c r="F1247" s="24" t="s">
        <v>9</v>
      </c>
      <c r="G1247" s="24" t="s">
        <v>8</v>
      </c>
      <c r="H1247" s="24" t="s">
        <v>642</v>
      </c>
      <c r="I1247" s="27">
        <v>33.48</v>
      </c>
    </row>
    <row r="1248" spans="2:9" ht="16">
      <c r="B1248" s="24" t="s">
        <v>119</v>
      </c>
      <c r="C1248" s="24" t="s">
        <v>6</v>
      </c>
      <c r="D1248" s="24" t="s">
        <v>616</v>
      </c>
      <c r="E1248" s="24" t="s">
        <v>8</v>
      </c>
      <c r="F1248" s="24" t="s">
        <v>9</v>
      </c>
      <c r="G1248" s="24" t="s">
        <v>8</v>
      </c>
      <c r="H1248" s="24" t="s">
        <v>644</v>
      </c>
      <c r="I1248" s="27">
        <v>177.22</v>
      </c>
    </row>
    <row r="1249" spans="2:9" ht="16">
      <c r="B1249" s="24" t="s">
        <v>119</v>
      </c>
      <c r="C1249" s="24" t="s">
        <v>6</v>
      </c>
      <c r="D1249" s="24" t="s">
        <v>1102</v>
      </c>
      <c r="E1249" s="24" t="s">
        <v>8</v>
      </c>
      <c r="F1249" s="24" t="s">
        <v>9</v>
      </c>
      <c r="G1249" s="24" t="s">
        <v>8</v>
      </c>
      <c r="H1249" s="24" t="s">
        <v>1103</v>
      </c>
      <c r="I1249" s="27">
        <v>159.69</v>
      </c>
    </row>
    <row r="1250" spans="2:9" ht="16">
      <c r="B1250" s="24" t="s">
        <v>119</v>
      </c>
      <c r="C1250" s="24" t="s">
        <v>6</v>
      </c>
      <c r="D1250" s="24" t="s">
        <v>551</v>
      </c>
      <c r="E1250" s="24" t="s">
        <v>8</v>
      </c>
      <c r="F1250" s="24" t="s">
        <v>9</v>
      </c>
      <c r="G1250" s="24" t="s">
        <v>8</v>
      </c>
      <c r="H1250" s="24" t="s">
        <v>1104</v>
      </c>
      <c r="I1250" s="27">
        <v>273.21</v>
      </c>
    </row>
    <row r="1251" spans="2:9" ht="16">
      <c r="B1251" s="24" t="s">
        <v>119</v>
      </c>
      <c r="C1251" s="24" t="s">
        <v>6</v>
      </c>
      <c r="D1251" s="24" t="s">
        <v>1105</v>
      </c>
      <c r="E1251" s="24" t="s">
        <v>8</v>
      </c>
      <c r="F1251" s="24" t="s">
        <v>9</v>
      </c>
      <c r="G1251" s="24" t="s">
        <v>8</v>
      </c>
      <c r="H1251" s="24" t="s">
        <v>649</v>
      </c>
      <c r="I1251" s="27">
        <v>29.5</v>
      </c>
    </row>
    <row r="1252" spans="2:9" ht="16">
      <c r="B1252" s="24" t="s">
        <v>119</v>
      </c>
      <c r="C1252" s="24" t="s">
        <v>6</v>
      </c>
      <c r="D1252" s="24" t="s">
        <v>559</v>
      </c>
      <c r="E1252" s="24" t="s">
        <v>8</v>
      </c>
      <c r="F1252" s="24" t="s">
        <v>9</v>
      </c>
      <c r="G1252" s="24" t="s">
        <v>8</v>
      </c>
      <c r="H1252" s="24" t="s">
        <v>910</v>
      </c>
      <c r="I1252" s="27">
        <v>22.4</v>
      </c>
    </row>
    <row r="1253" spans="2:9" ht="16">
      <c r="B1253" s="24" t="s">
        <v>119</v>
      </c>
      <c r="C1253" s="24" t="s">
        <v>6</v>
      </c>
      <c r="D1253" s="24" t="s">
        <v>1105</v>
      </c>
      <c r="E1253" s="24" t="s">
        <v>8</v>
      </c>
      <c r="F1253" s="24" t="s">
        <v>9</v>
      </c>
      <c r="G1253" s="24" t="s">
        <v>8</v>
      </c>
      <c r="H1253" s="24" t="s">
        <v>524</v>
      </c>
      <c r="I1253" s="27">
        <v>26.28</v>
      </c>
    </row>
    <row r="1254" spans="2:9" ht="16">
      <c r="B1254" s="24" t="s">
        <v>119</v>
      </c>
      <c r="C1254" s="24" t="s">
        <v>139</v>
      </c>
      <c r="D1254" s="24" t="s">
        <v>1106</v>
      </c>
      <c r="E1254" s="24" t="s">
        <v>8</v>
      </c>
      <c r="F1254" s="24" t="s">
        <v>9</v>
      </c>
      <c r="G1254" s="24" t="s">
        <v>8</v>
      </c>
      <c r="H1254" s="24" t="s">
        <v>1107</v>
      </c>
      <c r="I1254" s="27">
        <v>-44.86</v>
      </c>
    </row>
    <row r="1255" spans="2:9" ht="16">
      <c r="B1255" s="24" t="s">
        <v>119</v>
      </c>
      <c r="C1255" s="24" t="s">
        <v>6</v>
      </c>
      <c r="D1255" s="24" t="s">
        <v>557</v>
      </c>
      <c r="E1255" s="24" t="s">
        <v>8</v>
      </c>
      <c r="F1255" s="24" t="s">
        <v>9</v>
      </c>
      <c r="G1255" s="24" t="s">
        <v>8</v>
      </c>
      <c r="H1255" s="24" t="s">
        <v>1108</v>
      </c>
      <c r="I1255" s="27">
        <v>85.42</v>
      </c>
    </row>
    <row r="1256" spans="2:9" ht="16">
      <c r="B1256" s="24" t="s">
        <v>127</v>
      </c>
      <c r="C1256" s="24" t="s">
        <v>6</v>
      </c>
      <c r="D1256" s="24" t="s">
        <v>968</v>
      </c>
      <c r="E1256" s="24" t="s">
        <v>8</v>
      </c>
      <c r="F1256" s="24" t="s">
        <v>9</v>
      </c>
      <c r="G1256" s="24" t="s">
        <v>8</v>
      </c>
      <c r="H1256" s="24" t="s">
        <v>1109</v>
      </c>
      <c r="I1256" s="27">
        <v>75.0</v>
      </c>
    </row>
    <row r="1257" spans="2:9" ht="16">
      <c r="B1257" s="24" t="s">
        <v>12</v>
      </c>
      <c r="C1257" s="24" t="s">
        <v>13</v>
      </c>
      <c r="D1257" s="24" t="s">
        <v>670</v>
      </c>
      <c r="E1257" s="24" t="s">
        <v>1110</v>
      </c>
      <c r="F1257" s="24" t="s">
        <v>9</v>
      </c>
      <c r="G1257" s="24" t="s">
        <v>8</v>
      </c>
      <c r="H1257" s="24" t="s">
        <v>527</v>
      </c>
      <c r="I1257" s="27">
        <v>279.25</v>
      </c>
    </row>
    <row r="1258" spans="2:9" ht="16">
      <c r="B1258" s="24" t="s">
        <v>21</v>
      </c>
      <c r="C1258" s="24" t="s">
        <v>13</v>
      </c>
      <c r="D1258" s="24" t="s">
        <v>1014</v>
      </c>
      <c r="E1258" s="24" t="s">
        <v>1111</v>
      </c>
      <c r="F1258" s="24" t="s">
        <v>9</v>
      </c>
      <c r="G1258" s="24" t="s">
        <v>8</v>
      </c>
      <c r="H1258" s="24" t="s">
        <v>527</v>
      </c>
      <c r="I1258" s="27">
        <v>182.56</v>
      </c>
    </row>
    <row r="1259" spans="2:9" ht="16">
      <c r="B1259" s="24" t="s">
        <v>127</v>
      </c>
      <c r="C1259" s="24" t="s">
        <v>6</v>
      </c>
      <c r="D1259" s="24" t="s">
        <v>1102</v>
      </c>
      <c r="E1259" s="24" t="s">
        <v>8</v>
      </c>
      <c r="F1259" s="24" t="s">
        <v>9</v>
      </c>
      <c r="G1259" s="24" t="s">
        <v>8</v>
      </c>
      <c r="H1259" s="24" t="s">
        <v>1112</v>
      </c>
      <c r="I1259" s="27">
        <v>8.3</v>
      </c>
    </row>
    <row r="1260" spans="2:9" ht="16">
      <c r="B1260" s="24" t="s">
        <v>127</v>
      </c>
      <c r="C1260" s="24" t="s">
        <v>6</v>
      </c>
      <c r="D1260" s="24" t="s">
        <v>1113</v>
      </c>
      <c r="E1260" s="24" t="s">
        <v>8</v>
      </c>
      <c r="F1260" s="24" t="s">
        <v>9</v>
      </c>
      <c r="G1260" s="24" t="s">
        <v>8</v>
      </c>
      <c r="H1260" s="24" t="s">
        <v>1114</v>
      </c>
      <c r="I1260" s="27">
        <v>11.54</v>
      </c>
    </row>
    <row r="1261" spans="2:9" ht="16">
      <c r="B1261" s="24" t="s">
        <v>127</v>
      </c>
      <c r="C1261" s="24" t="s">
        <v>6</v>
      </c>
      <c r="D1261" s="24" t="s">
        <v>557</v>
      </c>
      <c r="E1261" s="24" t="s">
        <v>8</v>
      </c>
      <c r="F1261" s="24" t="s">
        <v>9</v>
      </c>
      <c r="G1261" s="24" t="s">
        <v>8</v>
      </c>
      <c r="H1261" s="24" t="s">
        <v>1115</v>
      </c>
      <c r="I1261" s="27">
        <v>60.69</v>
      </c>
    </row>
    <row r="1262" spans="2:9" ht="16">
      <c r="B1262" s="24" t="s">
        <v>127</v>
      </c>
      <c r="C1262" s="24" t="s">
        <v>6</v>
      </c>
      <c r="D1262" s="24" t="s">
        <v>1116</v>
      </c>
      <c r="E1262" s="24" t="s">
        <v>8</v>
      </c>
      <c r="F1262" s="24" t="s">
        <v>9</v>
      </c>
      <c r="G1262" s="24" t="s">
        <v>8</v>
      </c>
      <c r="H1262" s="24" t="s">
        <v>1115</v>
      </c>
      <c r="I1262" s="27">
        <v>48.82</v>
      </c>
    </row>
    <row r="1263" spans="2:9" ht="16">
      <c r="B1263" s="24" t="s">
        <v>21</v>
      </c>
      <c r="C1263" s="24" t="s">
        <v>13</v>
      </c>
      <c r="D1263" s="24" t="s">
        <v>525</v>
      </c>
      <c r="E1263" s="24" t="s">
        <v>1117</v>
      </c>
      <c r="F1263" s="24" t="s">
        <v>9</v>
      </c>
      <c r="G1263" s="24" t="s">
        <v>8</v>
      </c>
      <c r="H1263" s="24" t="s">
        <v>8</v>
      </c>
      <c r="I1263" s="27">
        <v>339.78</v>
      </c>
    </row>
    <row r="1264" spans="2:9" ht="16">
      <c r="B1264" s="24" t="s">
        <v>119</v>
      </c>
      <c r="C1264" s="24" t="s">
        <v>6</v>
      </c>
      <c r="D1264" s="24" t="s">
        <v>592</v>
      </c>
      <c r="E1264" s="24" t="s">
        <v>8</v>
      </c>
      <c r="F1264" s="24" t="s">
        <v>9</v>
      </c>
      <c r="G1264" s="24" t="s">
        <v>8</v>
      </c>
      <c r="H1264" s="24" t="s">
        <v>8</v>
      </c>
      <c r="I1264" s="27">
        <v>203.46</v>
      </c>
    </row>
    <row r="1265" spans="2:9" ht="16">
      <c r="B1265" s="24" t="s">
        <v>21</v>
      </c>
      <c r="C1265" s="24" t="s">
        <v>13</v>
      </c>
      <c r="D1265" s="24" t="s">
        <v>552</v>
      </c>
      <c r="E1265" s="24" t="s">
        <v>1118</v>
      </c>
      <c r="F1265" s="24" t="s">
        <v>9</v>
      </c>
      <c r="G1265" s="24" t="s">
        <v>8</v>
      </c>
      <c r="H1265" s="24" t="s">
        <v>8</v>
      </c>
      <c r="I1265" s="27">
        <v>98.96</v>
      </c>
    </row>
    <row r="1266" spans="2:9" ht="16">
      <c r="B1266" s="24" t="s">
        <v>119</v>
      </c>
      <c r="C1266" s="24" t="s">
        <v>6</v>
      </c>
      <c r="D1266" s="24" t="s">
        <v>1119</v>
      </c>
      <c r="E1266" s="24" t="s">
        <v>8</v>
      </c>
      <c r="F1266" s="24" t="s">
        <v>9</v>
      </c>
      <c r="G1266" s="24" t="s">
        <v>8</v>
      </c>
      <c r="H1266" s="24" t="s">
        <v>8</v>
      </c>
      <c r="I1266" s="27">
        <v>61.24</v>
      </c>
    </row>
    <row r="1267" spans="1:9" ht="16">
      <c r="A1267" s="35" t="s">
        <v>40</v>
      </c>
      <c r="I1267" s="28">
        <f>I1135+I1136+I1137+I1138+I1139+I1140+I1141+I1142+I1143+I1144+I1145+I1146+I1147+I1148+I1149+I1150+I1151+I1152+I1153+I1154+I1155+I1156+I1157+I1158+I1159+I1160+I1161+I1162+I1163+I1164+I1165+I1166+I1167+I1168+I1169+I1170+I1171+I1172+I1173+I1174+I1175+I1176+I1177+I1178+I1179+I1180+I1181+I1182+I1183+I1184+I1185+I1186+I1187+I1188+I1189+I1190+I1191+I1192+I1193+I1194+I1195+I1196+I1197+I1198+I1199+I1200+I1201+I1202+I1203+I1204+I1205+I1206+I1207+I1208+I1209+I1210+I1211+I1212+I1213+I1214+I1215+I1216+I1217+I1218+I1219+I1220+I1221+I1222+I1223+I1224+I1225+I1226+I1227+I1228+I1229+I1230+I1231+I1232+I1233+I1234+I1235+I1236+I1237+I1238+I1239+I1240+I1241+I1242+I1243+I1244+I1245+I1246+I1247+I1248+I1249+I1250+I1251+I1252+I1253+I1254+I1255+I1256+I1257+I1258+I1259+I1260+I1261+I1262+I1263+I1264+I1265+I1266</f>
        <v>94623.89</v>
      </c>
    </row>
    <row r="1268" spans="1:1" ht="16">
      <c r="A1268" s="34" t="s">
        <v>948</v>
      </c>
    </row>
    <row r="1269" spans="2:9" ht="16">
      <c r="B1269" s="24" t="s">
        <v>1120</v>
      </c>
      <c r="C1269" s="24" t="s">
        <v>6</v>
      </c>
      <c r="D1269" s="24" t="s">
        <v>1105</v>
      </c>
      <c r="E1269" s="24" t="s">
        <v>8</v>
      </c>
      <c r="F1269" s="24" t="s">
        <v>42</v>
      </c>
      <c r="G1269" s="24" t="s">
        <v>8</v>
      </c>
      <c r="H1269" s="24" t="s">
        <v>1121</v>
      </c>
      <c r="I1269" s="27">
        <v>58.01</v>
      </c>
    </row>
    <row r="1270" spans="1:9" ht="16">
      <c r="A1270" s="35" t="s">
        <v>922</v>
      </c>
      <c r="I1270" s="28">
        <f>I1268+I1269</f>
        <v>58.01</v>
      </c>
    </row>
    <row r="1271" spans="1:1" ht="16">
      <c r="A1271" s="34" t="s">
        <v>948</v>
      </c>
    </row>
    <row r="1272" spans="2:9" ht="16">
      <c r="B1272" s="24" t="s">
        <v>1122</v>
      </c>
      <c r="C1272" s="24" t="s">
        <v>6</v>
      </c>
      <c r="D1272" s="24" t="s">
        <v>818</v>
      </c>
      <c r="E1272" s="24" t="s">
        <v>8</v>
      </c>
      <c r="F1272" s="24" t="s">
        <v>42</v>
      </c>
      <c r="G1272" s="24" t="s">
        <v>8</v>
      </c>
      <c r="H1272" s="24" t="s">
        <v>1123</v>
      </c>
      <c r="I1272" s="27">
        <v>37.06</v>
      </c>
    </row>
    <row r="1273" spans="1:9" ht="16">
      <c r="A1273" s="35" t="s">
        <v>149</v>
      </c>
      <c r="I1273" s="28">
        <f>I1271+I1272</f>
        <v>37.06</v>
      </c>
    </row>
    <row r="1274" spans="1:1" ht="16">
      <c r="A1274" s="34" t="s">
        <v>948</v>
      </c>
    </row>
    <row r="1275" spans="2:9" ht="16">
      <c r="B1275" s="24" t="s">
        <v>1124</v>
      </c>
      <c r="C1275" s="24" t="s">
        <v>6</v>
      </c>
      <c r="D1275" s="24" t="s">
        <v>747</v>
      </c>
      <c r="E1275" s="24" t="s">
        <v>8</v>
      </c>
      <c r="F1275" s="24" t="s">
        <v>9</v>
      </c>
      <c r="G1275" s="24" t="s">
        <v>8</v>
      </c>
      <c r="H1275" s="24" t="s">
        <v>1125</v>
      </c>
      <c r="I1275" s="27">
        <v>2880.0</v>
      </c>
    </row>
    <row r="1276" spans="2:9" ht="16">
      <c r="B1276" s="24" t="s">
        <v>1124</v>
      </c>
      <c r="C1276" s="24" t="s">
        <v>6</v>
      </c>
      <c r="D1276" s="24" t="s">
        <v>984</v>
      </c>
      <c r="E1276" s="24" t="s">
        <v>8</v>
      </c>
      <c r="F1276" s="24" t="s">
        <v>9</v>
      </c>
      <c r="G1276" s="24" t="s">
        <v>8</v>
      </c>
      <c r="H1276" s="24" t="s">
        <v>1126</v>
      </c>
      <c r="I1276" s="27">
        <v>100.0</v>
      </c>
    </row>
    <row r="1277" spans="1:9" ht="16">
      <c r="A1277" s="35" t="s">
        <v>1127</v>
      </c>
      <c r="I1277" s="28">
        <f>I1274+I1275+I1276</f>
        <v>2980.0</v>
      </c>
    </row>
    <row r="1278" spans="1:1" ht="16">
      <c r="A1278" s="34" t="s">
        <v>948</v>
      </c>
    </row>
    <row r="1279" spans="2:9" ht="16">
      <c r="B1279" s="24" t="s">
        <v>119</v>
      </c>
      <c r="C1279" s="24" t="s">
        <v>6</v>
      </c>
      <c r="D1279" s="24" t="s">
        <v>474</v>
      </c>
      <c r="E1279" s="24" t="s">
        <v>8</v>
      </c>
      <c r="F1279" s="24" t="s">
        <v>9</v>
      </c>
      <c r="G1279" s="24" t="s">
        <v>8</v>
      </c>
      <c r="H1279" s="24" t="s">
        <v>1128</v>
      </c>
      <c r="I1279" s="27">
        <v>12.89</v>
      </c>
    </row>
    <row r="1280" spans="2:9" ht="16">
      <c r="B1280" s="24" t="s">
        <v>589</v>
      </c>
      <c r="C1280" s="24" t="s">
        <v>6</v>
      </c>
      <c r="D1280" s="24" t="s">
        <v>736</v>
      </c>
      <c r="E1280" s="24" t="s">
        <v>8</v>
      </c>
      <c r="F1280" s="24" t="s">
        <v>9</v>
      </c>
      <c r="G1280" s="24" t="s">
        <v>8</v>
      </c>
      <c r="H1280" s="24" t="s">
        <v>1129</v>
      </c>
      <c r="I1280" s="27">
        <v>64.82</v>
      </c>
    </row>
    <row r="1281" spans="2:9" ht="16">
      <c r="B1281" s="24" t="s">
        <v>589</v>
      </c>
      <c r="C1281" s="24" t="s">
        <v>6</v>
      </c>
      <c r="D1281" s="24" t="s">
        <v>736</v>
      </c>
      <c r="E1281" s="24" t="s">
        <v>8</v>
      </c>
      <c r="F1281" s="24" t="s">
        <v>9</v>
      </c>
      <c r="G1281" s="24" t="s">
        <v>8</v>
      </c>
      <c r="H1281" s="24" t="s">
        <v>1129</v>
      </c>
      <c r="I1281" s="27">
        <v>-64.82</v>
      </c>
    </row>
    <row r="1282" spans="1:9" ht="16">
      <c r="A1282" s="35" t="s">
        <v>267</v>
      </c>
      <c r="I1282" s="28">
        <f>I1278+I1279+I1280+I1281</f>
        <v>12.89</v>
      </c>
    </row>
    <row r="1283" spans="1:1" ht="16">
      <c r="A1283" s="34" t="s">
        <v>948</v>
      </c>
    </row>
    <row r="1284" spans="2:9" ht="16">
      <c r="B1284" s="24" t="s">
        <v>1130</v>
      </c>
      <c r="C1284" s="24" t="s">
        <v>13</v>
      </c>
      <c r="D1284" s="24" t="s">
        <v>1131</v>
      </c>
      <c r="E1284" s="24" t="s">
        <v>1132</v>
      </c>
      <c r="F1284" s="24" t="s">
        <v>9</v>
      </c>
      <c r="G1284" s="24" t="s">
        <v>8</v>
      </c>
      <c r="H1284" s="24" t="s">
        <v>1133</v>
      </c>
      <c r="I1284" s="27">
        <v>2472.2</v>
      </c>
    </row>
    <row r="1285" spans="2:9" ht="16">
      <c r="B1285" s="24" t="s">
        <v>1134</v>
      </c>
      <c r="C1285" s="24" t="s">
        <v>13</v>
      </c>
      <c r="D1285" s="24" t="s">
        <v>1135</v>
      </c>
      <c r="E1285" s="24" t="s">
        <v>1136</v>
      </c>
      <c r="F1285" s="24" t="s">
        <v>9</v>
      </c>
      <c r="G1285" s="24" t="s">
        <v>8</v>
      </c>
      <c r="H1285" s="24" t="s">
        <v>1137</v>
      </c>
      <c r="I1285" s="27">
        <v>1994.7</v>
      </c>
    </row>
    <row r="1286" spans="2:9" ht="16">
      <c r="B1286" s="24" t="s">
        <v>159</v>
      </c>
      <c r="C1286" s="24" t="s">
        <v>13</v>
      </c>
      <c r="D1286" s="24" t="s">
        <v>968</v>
      </c>
      <c r="E1286" s="24" t="s">
        <v>1138</v>
      </c>
      <c r="F1286" s="24" t="s">
        <v>9</v>
      </c>
      <c r="G1286" s="24" t="s">
        <v>8</v>
      </c>
      <c r="H1286" s="24" t="s">
        <v>1139</v>
      </c>
      <c r="I1286" s="27">
        <v>13750.0</v>
      </c>
    </row>
    <row r="1287" spans="2:9" ht="16">
      <c r="B1287" s="24" t="s">
        <v>1140</v>
      </c>
      <c r="C1287" s="24" t="s">
        <v>13</v>
      </c>
      <c r="D1287" s="24" t="s">
        <v>1141</v>
      </c>
      <c r="E1287" s="24" t="s">
        <v>1142</v>
      </c>
      <c r="F1287" s="24" t="s">
        <v>9</v>
      </c>
      <c r="G1287" s="24" t="s">
        <v>8</v>
      </c>
      <c r="H1287" s="24" t="s">
        <v>1143</v>
      </c>
      <c r="I1287" s="27">
        <v>15742.0</v>
      </c>
    </row>
    <row r="1288" spans="2:9" ht="16">
      <c r="B1288" s="24" t="s">
        <v>1140</v>
      </c>
      <c r="C1288" s="24" t="s">
        <v>13</v>
      </c>
      <c r="D1288" s="24" t="s">
        <v>613</v>
      </c>
      <c r="E1288" s="24" t="s">
        <v>8</v>
      </c>
      <c r="F1288" s="24" t="s">
        <v>9</v>
      </c>
      <c r="G1288" s="24" t="s">
        <v>8</v>
      </c>
      <c r="H1288" s="24" t="s">
        <v>1144</v>
      </c>
      <c r="I1288" s="27">
        <v>1285.0</v>
      </c>
    </row>
    <row r="1289" spans="2:9" ht="16">
      <c r="B1289" s="24" t="s">
        <v>1145</v>
      </c>
      <c r="C1289" s="24" t="s">
        <v>13</v>
      </c>
      <c r="D1289" s="24" t="s">
        <v>1019</v>
      </c>
      <c r="E1289" s="24" t="s">
        <v>1146</v>
      </c>
      <c r="F1289" s="24" t="s">
        <v>9</v>
      </c>
      <c r="G1289" s="24" t="s">
        <v>8</v>
      </c>
      <c r="H1289" s="24" t="s">
        <v>1147</v>
      </c>
      <c r="I1289" s="27">
        <v>3540.0</v>
      </c>
    </row>
    <row r="1290" spans="2:9" ht="16">
      <c r="B1290" s="24" t="s">
        <v>1018</v>
      </c>
      <c r="C1290" s="24" t="s">
        <v>13</v>
      </c>
      <c r="D1290" s="24" t="s">
        <v>1019</v>
      </c>
      <c r="E1290" s="24" t="s">
        <v>1020</v>
      </c>
      <c r="F1290" s="24" t="s">
        <v>9</v>
      </c>
      <c r="G1290" s="24" t="s">
        <v>8</v>
      </c>
      <c r="H1290" s="24" t="s">
        <v>1148</v>
      </c>
      <c r="I1290" s="27">
        <v>7509.4</v>
      </c>
    </row>
    <row r="1291" spans="2:9" ht="16">
      <c r="B1291" s="24" t="s">
        <v>1134</v>
      </c>
      <c r="C1291" s="24" t="s">
        <v>13</v>
      </c>
      <c r="D1291" s="24" t="s">
        <v>1028</v>
      </c>
      <c r="E1291" s="24" t="s">
        <v>8</v>
      </c>
      <c r="F1291" s="24" t="s">
        <v>9</v>
      </c>
      <c r="G1291" s="24" t="s">
        <v>8</v>
      </c>
      <c r="H1291" s="24" t="s">
        <v>1149</v>
      </c>
      <c r="I1291" s="27">
        <v>16200.0</v>
      </c>
    </row>
    <row r="1292" spans="2:9" ht="16">
      <c r="B1292" s="24" t="s">
        <v>1140</v>
      </c>
      <c r="C1292" s="24" t="s">
        <v>13</v>
      </c>
      <c r="D1292" s="24" t="s">
        <v>1119</v>
      </c>
      <c r="E1292" s="24" t="s">
        <v>66</v>
      </c>
      <c r="F1292" s="24" t="s">
        <v>9</v>
      </c>
      <c r="G1292" s="24" t="s">
        <v>8</v>
      </c>
      <c r="H1292" s="24" t="s">
        <v>1150</v>
      </c>
      <c r="I1292" s="27">
        <v>23323.5</v>
      </c>
    </row>
    <row r="1293" spans="2:9" ht="16">
      <c r="B1293" s="24" t="s">
        <v>1151</v>
      </c>
      <c r="C1293" s="24" t="s">
        <v>13</v>
      </c>
      <c r="D1293" s="24" t="s">
        <v>1106</v>
      </c>
      <c r="E1293" s="24" t="s">
        <v>1152</v>
      </c>
      <c r="F1293" s="24" t="s">
        <v>9</v>
      </c>
      <c r="G1293" s="24" t="s">
        <v>8</v>
      </c>
      <c r="H1293" s="24" t="s">
        <v>1153</v>
      </c>
      <c r="I1293" s="27">
        <v>1195.0</v>
      </c>
    </row>
    <row r="1294" spans="2:9" ht="16">
      <c r="B1294" s="24" t="s">
        <v>159</v>
      </c>
      <c r="C1294" s="24" t="s">
        <v>13</v>
      </c>
      <c r="D1294" s="24" t="s">
        <v>1154</v>
      </c>
      <c r="E1294" s="24" t="s">
        <v>1155</v>
      </c>
      <c r="F1294" s="24" t="s">
        <v>9</v>
      </c>
      <c r="G1294" s="24" t="s">
        <v>8</v>
      </c>
      <c r="H1294" s="24" t="s">
        <v>1156</v>
      </c>
      <c r="I1294" s="27">
        <v>2000.0</v>
      </c>
    </row>
    <row r="1295" spans="2:9" ht="16">
      <c r="B1295" s="24" t="s">
        <v>1157</v>
      </c>
      <c r="C1295" s="24" t="s">
        <v>13</v>
      </c>
      <c r="D1295" s="24" t="s">
        <v>1158</v>
      </c>
      <c r="E1295" s="24" t="s">
        <v>1159</v>
      </c>
      <c r="F1295" s="24" t="s">
        <v>9</v>
      </c>
      <c r="G1295" s="24" t="s">
        <v>8</v>
      </c>
      <c r="H1295" s="24" t="s">
        <v>1160</v>
      </c>
      <c r="I1295" s="27">
        <v>1928.0</v>
      </c>
    </row>
    <row r="1296" spans="2:9" ht="16">
      <c r="B1296" s="24" t="s">
        <v>1161</v>
      </c>
      <c r="C1296" s="24" t="s">
        <v>13</v>
      </c>
      <c r="D1296" s="24" t="s">
        <v>1019</v>
      </c>
      <c r="E1296" s="24" t="s">
        <v>1162</v>
      </c>
      <c r="F1296" s="24" t="s">
        <v>9</v>
      </c>
      <c r="G1296" s="24" t="s">
        <v>8</v>
      </c>
      <c r="H1296" s="24" t="s">
        <v>1163</v>
      </c>
      <c r="I1296" s="27">
        <v>6320.08</v>
      </c>
    </row>
    <row r="1297" spans="2:9" ht="16">
      <c r="B1297" s="24" t="s">
        <v>1164</v>
      </c>
      <c r="C1297" s="24" t="s">
        <v>13</v>
      </c>
      <c r="D1297" s="24" t="s">
        <v>1141</v>
      </c>
      <c r="E1297" s="24" t="s">
        <v>1165</v>
      </c>
      <c r="F1297" s="24" t="s">
        <v>9</v>
      </c>
      <c r="G1297" s="24" t="s">
        <v>8</v>
      </c>
      <c r="H1297" s="24" t="s">
        <v>1166</v>
      </c>
      <c r="I1297" s="27">
        <v>2294.0</v>
      </c>
    </row>
    <row r="1298" spans="2:9" ht="16">
      <c r="B1298" s="24" t="s">
        <v>1167</v>
      </c>
      <c r="C1298" s="24" t="s">
        <v>13</v>
      </c>
      <c r="D1298" s="24" t="s">
        <v>1102</v>
      </c>
      <c r="E1298" s="24" t="s">
        <v>1168</v>
      </c>
      <c r="F1298" s="24" t="s">
        <v>9</v>
      </c>
      <c r="G1298" s="24" t="s">
        <v>8</v>
      </c>
      <c r="H1298" s="24" t="s">
        <v>1169</v>
      </c>
      <c r="I1298" s="27">
        <v>917.94</v>
      </c>
    </row>
    <row r="1299" spans="2:9" ht="16">
      <c r="B1299" s="24" t="s">
        <v>1167</v>
      </c>
      <c r="C1299" s="24" t="s">
        <v>13</v>
      </c>
      <c r="D1299" s="24" t="s">
        <v>1102</v>
      </c>
      <c r="E1299" s="24" t="s">
        <v>1170</v>
      </c>
      <c r="F1299" s="24" t="s">
        <v>9</v>
      </c>
      <c r="G1299" s="24" t="s">
        <v>8</v>
      </c>
      <c r="H1299" s="24" t="s">
        <v>1171</v>
      </c>
      <c r="I1299" s="27">
        <v>1835.88</v>
      </c>
    </row>
    <row r="1300" spans="2:9" ht="16">
      <c r="B1300" s="24" t="s">
        <v>1167</v>
      </c>
      <c r="C1300" s="24" t="s">
        <v>13</v>
      </c>
      <c r="D1300" s="24" t="s">
        <v>1102</v>
      </c>
      <c r="E1300" s="24" t="s">
        <v>1172</v>
      </c>
      <c r="F1300" s="24" t="s">
        <v>9</v>
      </c>
      <c r="G1300" s="24" t="s">
        <v>8</v>
      </c>
      <c r="H1300" s="24" t="s">
        <v>1171</v>
      </c>
      <c r="I1300" s="27">
        <v>1835.88</v>
      </c>
    </row>
    <row r="1301" spans="2:9" ht="16">
      <c r="B1301" s="24" t="s">
        <v>1157</v>
      </c>
      <c r="C1301" s="24" t="s">
        <v>13</v>
      </c>
      <c r="D1301" s="24" t="s">
        <v>1173</v>
      </c>
      <c r="E1301" s="24" t="s">
        <v>1174</v>
      </c>
      <c r="F1301" s="24" t="s">
        <v>9</v>
      </c>
      <c r="G1301" s="24" t="s">
        <v>8</v>
      </c>
      <c r="H1301" s="24" t="s">
        <v>1175</v>
      </c>
      <c r="I1301" s="27">
        <v>17352.0</v>
      </c>
    </row>
    <row r="1302" spans="2:9" ht="16">
      <c r="B1302" s="24" t="s">
        <v>1176</v>
      </c>
      <c r="C1302" s="24" t="s">
        <v>150</v>
      </c>
      <c r="D1302" s="24" t="s">
        <v>477</v>
      </c>
      <c r="E1302" s="24" t="s">
        <v>1177</v>
      </c>
      <c r="F1302" s="24" t="s">
        <v>9</v>
      </c>
      <c r="G1302" s="24" t="s">
        <v>8</v>
      </c>
      <c r="H1302" s="24" t="s">
        <v>1178</v>
      </c>
      <c r="I1302" s="27">
        <v>545.0</v>
      </c>
    </row>
    <row r="1303" spans="2:9" ht="16">
      <c r="B1303" s="24" t="s">
        <v>1134</v>
      </c>
      <c r="C1303" s="24" t="s">
        <v>13</v>
      </c>
      <c r="D1303" s="24" t="s">
        <v>1179</v>
      </c>
      <c r="E1303" s="24" t="s">
        <v>8</v>
      </c>
      <c r="F1303" s="24" t="s">
        <v>9</v>
      </c>
      <c r="G1303" s="24" t="s">
        <v>8</v>
      </c>
      <c r="H1303" s="24" t="s">
        <v>1180</v>
      </c>
      <c r="I1303" s="27">
        <v>1752.3</v>
      </c>
    </row>
    <row r="1304" spans="2:9" ht="16">
      <c r="B1304" s="24" t="s">
        <v>1140</v>
      </c>
      <c r="C1304" s="24" t="s">
        <v>13</v>
      </c>
      <c r="D1304" s="24" t="s">
        <v>736</v>
      </c>
      <c r="E1304" s="24" t="s">
        <v>8</v>
      </c>
      <c r="F1304" s="24" t="s">
        <v>9</v>
      </c>
      <c r="G1304" s="24" t="s">
        <v>8</v>
      </c>
      <c r="H1304" s="24" t="s">
        <v>1181</v>
      </c>
      <c r="I1304" s="27">
        <v>30150.0</v>
      </c>
    </row>
    <row r="1305" spans="2:9" ht="16">
      <c r="B1305" s="24" t="s">
        <v>1182</v>
      </c>
      <c r="C1305" s="24" t="s">
        <v>13</v>
      </c>
      <c r="D1305" s="24" t="s">
        <v>736</v>
      </c>
      <c r="E1305" s="24" t="s">
        <v>8</v>
      </c>
      <c r="F1305" s="24" t="s">
        <v>9</v>
      </c>
      <c r="G1305" s="24" t="s">
        <v>8</v>
      </c>
      <c r="H1305" s="24" t="s">
        <v>1181</v>
      </c>
      <c r="I1305" s="27">
        <v>41511.0</v>
      </c>
    </row>
    <row r="1306" spans="2:9" ht="16">
      <c r="B1306" s="24" t="s">
        <v>1182</v>
      </c>
      <c r="C1306" s="24" t="s">
        <v>13</v>
      </c>
      <c r="D1306" s="24" t="s">
        <v>974</v>
      </c>
      <c r="E1306" s="24" t="s">
        <v>8</v>
      </c>
      <c r="F1306" s="24" t="s">
        <v>9</v>
      </c>
      <c r="G1306" s="24" t="s">
        <v>8</v>
      </c>
      <c r="H1306" s="24" t="s">
        <v>1183</v>
      </c>
      <c r="I1306" s="27">
        <v>17229.14</v>
      </c>
    </row>
    <row r="1307" spans="2:9" ht="16">
      <c r="B1307" s="24" t="s">
        <v>1140</v>
      </c>
      <c r="C1307" s="24" t="s">
        <v>13</v>
      </c>
      <c r="D1307" s="24" t="s">
        <v>1131</v>
      </c>
      <c r="E1307" s="24" t="s">
        <v>1184</v>
      </c>
      <c r="F1307" s="24" t="s">
        <v>9</v>
      </c>
      <c r="G1307" s="24" t="s">
        <v>8</v>
      </c>
      <c r="H1307" s="24" t="s">
        <v>1183</v>
      </c>
      <c r="I1307" s="27">
        <v>13950.0</v>
      </c>
    </row>
    <row r="1308" spans="2:9" ht="16">
      <c r="B1308" s="24" t="s">
        <v>159</v>
      </c>
      <c r="C1308" s="24" t="s">
        <v>13</v>
      </c>
      <c r="D1308" s="24" t="s">
        <v>968</v>
      </c>
      <c r="E1308" s="24" t="s">
        <v>1185</v>
      </c>
      <c r="F1308" s="24" t="s">
        <v>9</v>
      </c>
      <c r="G1308" s="24" t="s">
        <v>8</v>
      </c>
      <c r="H1308" s="24" t="s">
        <v>1186</v>
      </c>
      <c r="I1308" s="27">
        <v>680.0</v>
      </c>
    </row>
    <row r="1309" spans="2:9" ht="16">
      <c r="B1309" s="24" t="s">
        <v>1182</v>
      </c>
      <c r="C1309" s="24" t="s">
        <v>13</v>
      </c>
      <c r="D1309" s="24" t="s">
        <v>974</v>
      </c>
      <c r="E1309" s="24" t="s">
        <v>8</v>
      </c>
      <c r="F1309" s="24" t="s">
        <v>9</v>
      </c>
      <c r="G1309" s="24" t="s">
        <v>8</v>
      </c>
      <c r="H1309" s="24" t="s">
        <v>1187</v>
      </c>
      <c r="I1309" s="27">
        <v>6840.0</v>
      </c>
    </row>
    <row r="1310" spans="2:9" ht="16">
      <c r="B1310" s="24" t="s">
        <v>1182</v>
      </c>
      <c r="C1310" s="24" t="s">
        <v>13</v>
      </c>
      <c r="D1310" s="24" t="s">
        <v>562</v>
      </c>
      <c r="E1310" s="24" t="s">
        <v>8</v>
      </c>
      <c r="F1310" s="24" t="s">
        <v>9</v>
      </c>
      <c r="G1310" s="24" t="s">
        <v>8</v>
      </c>
      <c r="H1310" s="24" t="s">
        <v>1188</v>
      </c>
      <c r="I1310" s="27">
        <v>10104.0</v>
      </c>
    </row>
    <row r="1311" spans="2:9" ht="16">
      <c r="B1311" s="24" t="s">
        <v>1140</v>
      </c>
      <c r="C1311" s="24" t="s">
        <v>13</v>
      </c>
      <c r="D1311" s="24" t="s">
        <v>978</v>
      </c>
      <c r="E1311" s="24" t="s">
        <v>8</v>
      </c>
      <c r="F1311" s="24" t="s">
        <v>9</v>
      </c>
      <c r="G1311" s="24" t="s">
        <v>8</v>
      </c>
      <c r="H1311" s="24" t="s">
        <v>1189</v>
      </c>
      <c r="I1311" s="27">
        <v>19800.0</v>
      </c>
    </row>
    <row r="1312" spans="2:9" ht="16">
      <c r="B1312" s="24" t="s">
        <v>1182</v>
      </c>
      <c r="C1312" s="24" t="s">
        <v>13</v>
      </c>
      <c r="D1312" s="24" t="s">
        <v>456</v>
      </c>
      <c r="E1312" s="24" t="s">
        <v>1190</v>
      </c>
      <c r="F1312" s="24" t="s">
        <v>9</v>
      </c>
      <c r="G1312" s="24" t="s">
        <v>8</v>
      </c>
      <c r="H1312" s="24" t="s">
        <v>1191</v>
      </c>
      <c r="I1312" s="27">
        <v>1879.2</v>
      </c>
    </row>
    <row r="1313" spans="2:9" ht="16">
      <c r="B1313" s="24" t="s">
        <v>1182</v>
      </c>
      <c r="C1313" s="24" t="s">
        <v>13</v>
      </c>
      <c r="D1313" s="24" t="s">
        <v>1192</v>
      </c>
      <c r="E1313" s="24" t="s">
        <v>1193</v>
      </c>
      <c r="F1313" s="24" t="s">
        <v>9</v>
      </c>
      <c r="G1313" s="24" t="s">
        <v>8</v>
      </c>
      <c r="H1313" s="24" t="s">
        <v>1194</v>
      </c>
      <c r="I1313" s="27">
        <v>8618.15</v>
      </c>
    </row>
    <row r="1314" spans="2:9" ht="16">
      <c r="B1314" s="24" t="s">
        <v>155</v>
      </c>
      <c r="C1314" s="24" t="s">
        <v>13</v>
      </c>
      <c r="D1314" s="24" t="s">
        <v>784</v>
      </c>
      <c r="E1314" s="24" t="s">
        <v>1195</v>
      </c>
      <c r="F1314" s="24" t="s">
        <v>9</v>
      </c>
      <c r="G1314" s="24" t="s">
        <v>8</v>
      </c>
      <c r="H1314" s="24" t="s">
        <v>1196</v>
      </c>
      <c r="I1314" s="27">
        <v>102.09</v>
      </c>
    </row>
    <row r="1315" spans="2:9" ht="16">
      <c r="B1315" s="24" t="s">
        <v>1164</v>
      </c>
      <c r="C1315" s="24" t="s">
        <v>13</v>
      </c>
      <c r="D1315" s="24" t="s">
        <v>908</v>
      </c>
      <c r="E1315" s="24" t="s">
        <v>1197</v>
      </c>
      <c r="F1315" s="24" t="s">
        <v>9</v>
      </c>
      <c r="G1315" s="24" t="s">
        <v>8</v>
      </c>
      <c r="H1315" s="24" t="s">
        <v>1198</v>
      </c>
      <c r="I1315" s="27">
        <v>20646.0</v>
      </c>
    </row>
    <row r="1316" spans="2:9" ht="16">
      <c r="B1316" s="24" t="s">
        <v>1199</v>
      </c>
      <c r="C1316" s="24" t="s">
        <v>13</v>
      </c>
      <c r="D1316" s="24" t="s">
        <v>1141</v>
      </c>
      <c r="E1316" s="24" t="s">
        <v>1200</v>
      </c>
      <c r="F1316" s="24" t="s">
        <v>9</v>
      </c>
      <c r="G1316" s="24" t="s">
        <v>8</v>
      </c>
      <c r="H1316" s="24" t="s">
        <v>1201</v>
      </c>
      <c r="I1316" s="27">
        <v>1620.0</v>
      </c>
    </row>
    <row r="1317" spans="1:9" ht="16">
      <c r="A1317" s="35" t="s">
        <v>164</v>
      </c>
      <c r="I1317" s="28">
        <f>I1283+I1284+I1285+I1286+I1287+I1288+I1289+I1290+I1291+I1292+I1293+I1294+I1295+I1296+I1297+I1298+I1299+I1300+I1301+I1302+I1303+I1304+I1305+I1306+I1307+I1308+I1309+I1310+I1311+I1312+I1313+I1314+I1315+I1316</f>
        <v>296922.4600000001</v>
      </c>
    </row>
    <row r="1318" spans="1:1" ht="16">
      <c r="A1318" s="34" t="s">
        <v>948</v>
      </c>
    </row>
    <row r="1319" spans="2:9" ht="16">
      <c r="B1319" s="24" t="s">
        <v>36</v>
      </c>
      <c r="C1319" s="24" t="s">
        <v>139</v>
      </c>
      <c r="D1319" s="24" t="s">
        <v>1202</v>
      </c>
      <c r="E1319" s="24" t="s">
        <v>8</v>
      </c>
      <c r="F1319" s="24" t="s">
        <v>9</v>
      </c>
      <c r="G1319" s="24" t="s">
        <v>8</v>
      </c>
      <c r="H1319" s="24" t="s">
        <v>1203</v>
      </c>
      <c r="I1319" s="27">
        <v>-98.62</v>
      </c>
    </row>
    <row r="1320" spans="2:9" ht="16">
      <c r="B1320" s="24" t="s">
        <v>36</v>
      </c>
      <c r="C1320" s="24" t="s">
        <v>6</v>
      </c>
      <c r="D1320" s="24" t="s">
        <v>1006</v>
      </c>
      <c r="E1320" s="24" t="s">
        <v>8</v>
      </c>
      <c r="F1320" s="24" t="s">
        <v>9</v>
      </c>
      <c r="G1320" s="24" t="s">
        <v>8</v>
      </c>
      <c r="H1320" s="24" t="s">
        <v>1203</v>
      </c>
      <c r="I1320" s="27">
        <v>98.62</v>
      </c>
    </row>
    <row r="1321" spans="1:9" ht="16">
      <c r="A1321" s="35" t="s">
        <v>433</v>
      </c>
      <c r="I1321" s="28">
        <f>I1318+I1319+I1320</f>
        <v>0.0</v>
      </c>
    </row>
    <row r="1322" spans="1:1" ht="16">
      <c r="A1322" s="34" t="s">
        <v>948</v>
      </c>
    </row>
    <row r="1323" spans="2:9" ht="16">
      <c r="B1323" s="24" t="s">
        <v>45</v>
      </c>
      <c r="C1323" s="24" t="s">
        <v>6</v>
      </c>
      <c r="D1323" s="24" t="s">
        <v>1154</v>
      </c>
      <c r="E1323" s="24" t="s">
        <v>8</v>
      </c>
      <c r="F1323" s="24" t="s">
        <v>9</v>
      </c>
      <c r="G1323" s="24" t="s">
        <v>8</v>
      </c>
      <c r="H1323" s="24" t="s">
        <v>1204</v>
      </c>
      <c r="I1323" s="27">
        <v>483.6</v>
      </c>
    </row>
    <row r="1324" spans="2:9" ht="16">
      <c r="B1324" s="24" t="s">
        <v>8</v>
      </c>
      <c r="C1324" s="24" t="s">
        <v>6</v>
      </c>
      <c r="D1324" s="24" t="s">
        <v>549</v>
      </c>
      <c r="E1324" s="24" t="s">
        <v>8</v>
      </c>
      <c r="F1324" s="24" t="s">
        <v>9</v>
      </c>
      <c r="G1324" s="24" t="s">
        <v>8</v>
      </c>
      <c r="H1324" s="24" t="s">
        <v>47</v>
      </c>
      <c r="I1324" s="27">
        <v>205.04</v>
      </c>
    </row>
    <row r="1325" spans="2:9" ht="16">
      <c r="B1325" s="24" t="s">
        <v>45</v>
      </c>
      <c r="C1325" s="24" t="s">
        <v>6</v>
      </c>
      <c r="D1325" s="24" t="s">
        <v>272</v>
      </c>
      <c r="E1325" s="24" t="s">
        <v>8</v>
      </c>
      <c r="F1325" s="24" t="s">
        <v>9</v>
      </c>
      <c r="G1325" s="24" t="s">
        <v>8</v>
      </c>
      <c r="H1325" s="24" t="s">
        <v>47</v>
      </c>
      <c r="I1325" s="27">
        <v>3860.6</v>
      </c>
    </row>
    <row r="1326" spans="2:9" ht="16">
      <c r="B1326" s="24" t="s">
        <v>45</v>
      </c>
      <c r="C1326" s="24" t="s">
        <v>6</v>
      </c>
      <c r="D1326" s="24" t="s">
        <v>928</v>
      </c>
      <c r="E1326" s="24" t="s">
        <v>8</v>
      </c>
      <c r="F1326" s="24" t="s">
        <v>9</v>
      </c>
      <c r="G1326" s="24" t="s">
        <v>8</v>
      </c>
      <c r="H1326" s="24" t="s">
        <v>47</v>
      </c>
      <c r="I1326" s="27">
        <v>1580.8</v>
      </c>
    </row>
    <row r="1327" spans="2:9" ht="16">
      <c r="B1327" s="24" t="s">
        <v>8</v>
      </c>
      <c r="C1327" s="24" t="s">
        <v>6</v>
      </c>
      <c r="D1327" s="24" t="s">
        <v>549</v>
      </c>
      <c r="E1327" s="24" t="s">
        <v>8</v>
      </c>
      <c r="F1327" s="24" t="s">
        <v>9</v>
      </c>
      <c r="G1327" s="24" t="s">
        <v>8</v>
      </c>
      <c r="H1327" s="24" t="s">
        <v>47</v>
      </c>
      <c r="I1327" s="27">
        <v>76.89</v>
      </c>
    </row>
    <row r="1328" spans="2:9" ht="16">
      <c r="B1328" s="24" t="s">
        <v>8</v>
      </c>
      <c r="C1328" s="24" t="s">
        <v>6</v>
      </c>
      <c r="D1328" s="24" t="s">
        <v>1205</v>
      </c>
      <c r="E1328" s="24" t="s">
        <v>8</v>
      </c>
      <c r="F1328" s="24" t="s">
        <v>9</v>
      </c>
      <c r="G1328" s="24" t="s">
        <v>8</v>
      </c>
      <c r="H1328" s="24" t="s">
        <v>47</v>
      </c>
      <c r="I1328" s="27">
        <v>52.96</v>
      </c>
    </row>
    <row r="1329" spans="2:9" ht="16">
      <c r="B1329" s="24" t="s">
        <v>45</v>
      </c>
      <c r="C1329" s="24" t="s">
        <v>6</v>
      </c>
      <c r="D1329" s="24" t="s">
        <v>671</v>
      </c>
      <c r="E1329" s="24" t="s">
        <v>8</v>
      </c>
      <c r="F1329" s="24" t="s">
        <v>9</v>
      </c>
      <c r="G1329" s="24" t="s">
        <v>8</v>
      </c>
      <c r="H1329" s="24" t="s">
        <v>47</v>
      </c>
      <c r="I1329" s="27">
        <v>4293.03</v>
      </c>
    </row>
    <row r="1330" spans="2:9" ht="16">
      <c r="B1330" s="24" t="s">
        <v>8</v>
      </c>
      <c r="C1330" s="24" t="s">
        <v>6</v>
      </c>
      <c r="D1330" s="24" t="s">
        <v>549</v>
      </c>
      <c r="E1330" s="24" t="s">
        <v>8</v>
      </c>
      <c r="F1330" s="24" t="s">
        <v>9</v>
      </c>
      <c r="G1330" s="24" t="s">
        <v>8</v>
      </c>
      <c r="H1330" s="24" t="s">
        <v>47</v>
      </c>
      <c r="I1330" s="27">
        <v>76.89</v>
      </c>
    </row>
    <row r="1331" spans="2:9" ht="16">
      <c r="B1331" s="24" t="s">
        <v>8</v>
      </c>
      <c r="C1331" s="24" t="s">
        <v>6</v>
      </c>
      <c r="D1331" s="24" t="s">
        <v>549</v>
      </c>
      <c r="E1331" s="24" t="s">
        <v>8</v>
      </c>
      <c r="F1331" s="24" t="s">
        <v>9</v>
      </c>
      <c r="G1331" s="24" t="s">
        <v>8</v>
      </c>
      <c r="H1331" s="24" t="s">
        <v>47</v>
      </c>
      <c r="I1331" s="27">
        <v>3895.76</v>
      </c>
    </row>
    <row r="1332" spans="2:9" ht="16">
      <c r="B1332" s="24" t="s">
        <v>8</v>
      </c>
      <c r="C1332" s="24" t="s">
        <v>6</v>
      </c>
      <c r="D1332" s="24" t="s">
        <v>274</v>
      </c>
      <c r="E1332" s="24" t="s">
        <v>8</v>
      </c>
      <c r="F1332" s="24" t="s">
        <v>9</v>
      </c>
      <c r="G1332" s="24" t="s">
        <v>8</v>
      </c>
      <c r="H1332" s="24" t="s">
        <v>47</v>
      </c>
      <c r="I1332" s="27">
        <v>820.16</v>
      </c>
    </row>
    <row r="1333" spans="2:9" ht="16">
      <c r="B1333" s="24" t="s">
        <v>8</v>
      </c>
      <c r="C1333" s="24" t="s">
        <v>6</v>
      </c>
      <c r="D1333" s="24" t="s">
        <v>549</v>
      </c>
      <c r="E1333" s="24" t="s">
        <v>8</v>
      </c>
      <c r="F1333" s="24" t="s">
        <v>9</v>
      </c>
      <c r="G1333" s="24" t="s">
        <v>8</v>
      </c>
      <c r="H1333" s="24" t="s">
        <v>47</v>
      </c>
      <c r="I1333" s="27">
        <v>110.96</v>
      </c>
    </row>
    <row r="1334" spans="2:9" ht="16">
      <c r="B1334" s="24" t="s">
        <v>8</v>
      </c>
      <c r="C1334" s="24" t="s">
        <v>6</v>
      </c>
      <c r="D1334" s="24" t="s">
        <v>549</v>
      </c>
      <c r="E1334" s="24" t="s">
        <v>8</v>
      </c>
      <c r="F1334" s="24" t="s">
        <v>9</v>
      </c>
      <c r="G1334" s="24" t="s">
        <v>8</v>
      </c>
      <c r="H1334" s="24" t="s">
        <v>47</v>
      </c>
      <c r="I1334" s="27">
        <v>1332.76</v>
      </c>
    </row>
    <row r="1335" spans="2:9" ht="16">
      <c r="B1335" s="24" t="s">
        <v>8</v>
      </c>
      <c r="C1335" s="24" t="s">
        <v>6</v>
      </c>
      <c r="D1335" s="24" t="s">
        <v>550</v>
      </c>
      <c r="E1335" s="24" t="s">
        <v>8</v>
      </c>
      <c r="F1335" s="24" t="s">
        <v>9</v>
      </c>
      <c r="G1335" s="24" t="s">
        <v>8</v>
      </c>
      <c r="H1335" s="24" t="s">
        <v>47</v>
      </c>
      <c r="I1335" s="27">
        <v>3413.11</v>
      </c>
    </row>
    <row r="1336" spans="2:9" ht="16">
      <c r="B1336" s="24" t="s">
        <v>45</v>
      </c>
      <c r="C1336" s="24" t="s">
        <v>6</v>
      </c>
      <c r="D1336" s="24" t="s">
        <v>523</v>
      </c>
      <c r="E1336" s="24" t="s">
        <v>8</v>
      </c>
      <c r="F1336" s="24" t="s">
        <v>9</v>
      </c>
      <c r="G1336" s="24" t="s">
        <v>8</v>
      </c>
      <c r="H1336" s="24" t="s">
        <v>47</v>
      </c>
      <c r="I1336" s="27">
        <v>5343.86</v>
      </c>
    </row>
    <row r="1337" spans="2:9" ht="16">
      <c r="B1337" s="24" t="s">
        <v>45</v>
      </c>
      <c r="C1337" s="24" t="s">
        <v>6</v>
      </c>
      <c r="D1337" s="24" t="s">
        <v>451</v>
      </c>
      <c r="E1337" s="24" t="s">
        <v>8</v>
      </c>
      <c r="F1337" s="24" t="s">
        <v>9</v>
      </c>
      <c r="G1337" s="24" t="s">
        <v>8</v>
      </c>
      <c r="H1337" s="24" t="s">
        <v>47</v>
      </c>
      <c r="I1337" s="27">
        <v>4475.69</v>
      </c>
    </row>
    <row r="1338" spans="1:9" ht="16">
      <c r="A1338" s="35" t="s">
        <v>50</v>
      </c>
      <c r="I1338" s="28">
        <f>I1322+I1323+I1324+I1325+I1326+I1327+I1328+I1329+I1330+I1331+I1332+I1333+I1334+I1335+I1336+I1337</f>
        <v>30022.109999999997</v>
      </c>
    </row>
    <row r="1339" spans="1:1" ht="16">
      <c r="A1339" s="34" t="s">
        <v>948</v>
      </c>
    </row>
    <row r="1340" spans="2:9" ht="16">
      <c r="B1340" s="24" t="s">
        <v>51</v>
      </c>
      <c r="C1340" s="24" t="s">
        <v>6</v>
      </c>
      <c r="D1340" s="24" t="s">
        <v>929</v>
      </c>
      <c r="E1340" s="24" t="s">
        <v>8</v>
      </c>
      <c r="F1340" s="24" t="s">
        <v>9</v>
      </c>
      <c r="G1340" s="24" t="s">
        <v>8</v>
      </c>
      <c r="H1340" s="24" t="s">
        <v>930</v>
      </c>
      <c r="I1340" s="27">
        <v>2044.92</v>
      </c>
    </row>
    <row r="1341" spans="2:9" ht="16">
      <c r="B1341" s="24" t="s">
        <v>51</v>
      </c>
      <c r="C1341" s="24" t="s">
        <v>6</v>
      </c>
      <c r="D1341" s="24" t="s">
        <v>512</v>
      </c>
      <c r="E1341" s="24" t="s">
        <v>8</v>
      </c>
      <c r="F1341" s="24" t="s">
        <v>9</v>
      </c>
      <c r="G1341" s="24" t="s">
        <v>8</v>
      </c>
      <c r="H1341" s="24" t="s">
        <v>53</v>
      </c>
      <c r="I1341" s="27">
        <v>1956.67</v>
      </c>
    </row>
    <row r="1342" spans="2:9" ht="16">
      <c r="B1342" s="24" t="s">
        <v>51</v>
      </c>
      <c r="C1342" s="24" t="s">
        <v>6</v>
      </c>
      <c r="D1342" s="24" t="s">
        <v>284</v>
      </c>
      <c r="E1342" s="24" t="s">
        <v>8</v>
      </c>
      <c r="F1342" s="24" t="s">
        <v>9</v>
      </c>
      <c r="G1342" s="24" t="s">
        <v>8</v>
      </c>
      <c r="H1342" s="24" t="s">
        <v>53</v>
      </c>
      <c r="I1342" s="27">
        <v>2257.87</v>
      </c>
    </row>
    <row r="1343" spans="2:9" ht="16">
      <c r="B1343" s="24" t="s">
        <v>51</v>
      </c>
      <c r="C1343" s="24" t="s">
        <v>6</v>
      </c>
      <c r="D1343" s="24" t="s">
        <v>551</v>
      </c>
      <c r="E1343" s="24" t="s">
        <v>8</v>
      </c>
      <c r="F1343" s="24" t="s">
        <v>9</v>
      </c>
      <c r="G1343" s="24" t="s">
        <v>8</v>
      </c>
      <c r="H1343" s="24" t="s">
        <v>53</v>
      </c>
      <c r="I1343" s="27">
        <v>811.76</v>
      </c>
    </row>
    <row r="1344" spans="2:9" ht="16">
      <c r="B1344" s="24" t="s">
        <v>51</v>
      </c>
      <c r="C1344" s="24" t="s">
        <v>6</v>
      </c>
      <c r="D1344" s="24" t="s">
        <v>740</v>
      </c>
      <c r="E1344" s="24" t="s">
        <v>8</v>
      </c>
      <c r="F1344" s="24" t="s">
        <v>9</v>
      </c>
      <c r="G1344" s="24" t="s">
        <v>8</v>
      </c>
      <c r="H1344" s="24" t="s">
        <v>53</v>
      </c>
      <c r="I1344" s="27">
        <v>3459.89</v>
      </c>
    </row>
    <row r="1345" spans="2:9" ht="16">
      <c r="B1345" s="24" t="s">
        <v>51</v>
      </c>
      <c r="C1345" s="24" t="s">
        <v>6</v>
      </c>
      <c r="D1345" s="24" t="s">
        <v>501</v>
      </c>
      <c r="E1345" s="24" t="s">
        <v>8</v>
      </c>
      <c r="F1345" s="24" t="s">
        <v>9</v>
      </c>
      <c r="G1345" s="24" t="s">
        <v>8</v>
      </c>
      <c r="H1345" s="24" t="s">
        <v>53</v>
      </c>
      <c r="I1345" s="27">
        <v>1962.01</v>
      </c>
    </row>
    <row r="1346" spans="2:9" ht="16">
      <c r="B1346" s="24" t="s">
        <v>51</v>
      </c>
      <c r="C1346" s="24" t="s">
        <v>6</v>
      </c>
      <c r="D1346" s="24" t="s">
        <v>460</v>
      </c>
      <c r="E1346" s="24" t="s">
        <v>8</v>
      </c>
      <c r="F1346" s="24" t="s">
        <v>9</v>
      </c>
      <c r="G1346" s="24" t="s">
        <v>8</v>
      </c>
      <c r="H1346" s="24" t="s">
        <v>53</v>
      </c>
      <c r="I1346" s="27">
        <v>3079.85</v>
      </c>
    </row>
    <row r="1347" spans="2:9" ht="16">
      <c r="B1347" s="24" t="s">
        <v>51</v>
      </c>
      <c r="C1347" s="24" t="s">
        <v>6</v>
      </c>
      <c r="D1347" s="24" t="s">
        <v>553</v>
      </c>
      <c r="E1347" s="24" t="s">
        <v>8</v>
      </c>
      <c r="F1347" s="24" t="s">
        <v>9</v>
      </c>
      <c r="G1347" s="24" t="s">
        <v>8</v>
      </c>
      <c r="H1347" s="24" t="s">
        <v>53</v>
      </c>
      <c r="I1347" s="27">
        <v>3813.91</v>
      </c>
    </row>
    <row r="1348" spans="2:9" ht="16">
      <c r="B1348" s="24" t="s">
        <v>51</v>
      </c>
      <c r="C1348" s="24" t="s">
        <v>6</v>
      </c>
      <c r="D1348" s="24" t="s">
        <v>554</v>
      </c>
      <c r="E1348" s="24" t="s">
        <v>8</v>
      </c>
      <c r="F1348" s="24" t="s">
        <v>9</v>
      </c>
      <c r="G1348" s="24" t="s">
        <v>8</v>
      </c>
      <c r="H1348" s="24" t="s">
        <v>53</v>
      </c>
      <c r="I1348" s="27">
        <v>3670.58</v>
      </c>
    </row>
    <row r="1349" spans="2:9" ht="16">
      <c r="B1349" s="24" t="s">
        <v>51</v>
      </c>
      <c r="C1349" s="24" t="s">
        <v>6</v>
      </c>
      <c r="D1349" s="24" t="s">
        <v>738</v>
      </c>
      <c r="E1349" s="24" t="s">
        <v>8</v>
      </c>
      <c r="F1349" s="24" t="s">
        <v>9</v>
      </c>
      <c r="G1349" s="24" t="s">
        <v>8</v>
      </c>
      <c r="H1349" s="24" t="s">
        <v>53</v>
      </c>
      <c r="I1349" s="27">
        <v>2350.64</v>
      </c>
    </row>
    <row r="1350" spans="2:9" ht="16">
      <c r="B1350" s="24" t="s">
        <v>51</v>
      </c>
      <c r="C1350" s="24" t="s">
        <v>6</v>
      </c>
      <c r="D1350" s="24" t="s">
        <v>552</v>
      </c>
      <c r="E1350" s="24" t="s">
        <v>8</v>
      </c>
      <c r="F1350" s="24" t="s">
        <v>9</v>
      </c>
      <c r="G1350" s="24" t="s">
        <v>8</v>
      </c>
      <c r="H1350" s="24" t="s">
        <v>53</v>
      </c>
      <c r="I1350" s="27">
        <v>2585.6</v>
      </c>
    </row>
    <row r="1351" spans="2:9" ht="16">
      <c r="B1351" s="24" t="s">
        <v>51</v>
      </c>
      <c r="C1351" s="24" t="s">
        <v>6</v>
      </c>
      <c r="D1351" s="24" t="s">
        <v>1206</v>
      </c>
      <c r="E1351" s="24" t="s">
        <v>8</v>
      </c>
      <c r="F1351" s="24" t="s">
        <v>9</v>
      </c>
      <c r="G1351" s="24" t="s">
        <v>8</v>
      </c>
      <c r="H1351" s="24" t="s">
        <v>53</v>
      </c>
      <c r="I1351" s="27">
        <v>1066.56</v>
      </c>
    </row>
    <row r="1352" spans="2:9" ht="16">
      <c r="B1352" s="24" t="s">
        <v>51</v>
      </c>
      <c r="C1352" s="24" t="s">
        <v>6</v>
      </c>
      <c r="D1352" s="24" t="s">
        <v>1207</v>
      </c>
      <c r="E1352" s="24" t="s">
        <v>8</v>
      </c>
      <c r="F1352" s="24" t="s">
        <v>9</v>
      </c>
      <c r="G1352" s="24" t="s">
        <v>8</v>
      </c>
      <c r="H1352" s="24" t="s">
        <v>53</v>
      </c>
      <c r="I1352" s="27">
        <v>1128.83</v>
      </c>
    </row>
    <row r="1353" spans="2:9" ht="16">
      <c r="B1353" s="24" t="s">
        <v>51</v>
      </c>
      <c r="C1353" s="24" t="s">
        <v>6</v>
      </c>
      <c r="D1353" s="24" t="s">
        <v>555</v>
      </c>
      <c r="E1353" s="24" t="s">
        <v>8</v>
      </c>
      <c r="F1353" s="24" t="s">
        <v>9</v>
      </c>
      <c r="G1353" s="24" t="s">
        <v>8</v>
      </c>
      <c r="H1353" s="24" t="s">
        <v>53</v>
      </c>
      <c r="I1353" s="27">
        <v>2236.17</v>
      </c>
    </row>
    <row r="1354" spans="2:9" ht="16">
      <c r="B1354" s="24" t="s">
        <v>51</v>
      </c>
      <c r="C1354" s="24" t="s">
        <v>6</v>
      </c>
      <c r="D1354" s="24" t="s">
        <v>671</v>
      </c>
      <c r="E1354" s="24" t="s">
        <v>8</v>
      </c>
      <c r="F1354" s="24" t="s">
        <v>9</v>
      </c>
      <c r="G1354" s="24" t="s">
        <v>8</v>
      </c>
      <c r="H1354" s="24" t="s">
        <v>53</v>
      </c>
      <c r="I1354" s="27">
        <v>2746.23</v>
      </c>
    </row>
    <row r="1355" spans="2:9" ht="16">
      <c r="B1355" s="24" t="s">
        <v>51</v>
      </c>
      <c r="C1355" s="24" t="s">
        <v>6</v>
      </c>
      <c r="D1355" s="24" t="s">
        <v>670</v>
      </c>
      <c r="E1355" s="24" t="s">
        <v>8</v>
      </c>
      <c r="F1355" s="24" t="s">
        <v>9</v>
      </c>
      <c r="G1355" s="24" t="s">
        <v>8</v>
      </c>
      <c r="H1355" s="24" t="s">
        <v>53</v>
      </c>
      <c r="I1355" s="27">
        <v>1107.65</v>
      </c>
    </row>
    <row r="1356" spans="2:9" ht="16">
      <c r="B1356" s="24" t="s">
        <v>51</v>
      </c>
      <c r="C1356" s="24" t="s">
        <v>6</v>
      </c>
      <c r="D1356" s="24" t="s">
        <v>561</v>
      </c>
      <c r="E1356" s="24" t="s">
        <v>8</v>
      </c>
      <c r="F1356" s="24" t="s">
        <v>9</v>
      </c>
      <c r="G1356" s="24" t="s">
        <v>8</v>
      </c>
      <c r="H1356" s="24" t="s">
        <v>53</v>
      </c>
      <c r="I1356" s="27">
        <v>771.59</v>
      </c>
    </row>
    <row r="1357" spans="2:9" ht="16">
      <c r="B1357" s="24" t="s">
        <v>51</v>
      </c>
      <c r="C1357" s="24" t="s">
        <v>6</v>
      </c>
      <c r="D1357" s="24" t="s">
        <v>932</v>
      </c>
      <c r="E1357" s="24" t="s">
        <v>8</v>
      </c>
      <c r="F1357" s="24" t="s">
        <v>9</v>
      </c>
      <c r="G1357" s="24" t="s">
        <v>8</v>
      </c>
      <c r="H1357" s="24" t="s">
        <v>53</v>
      </c>
      <c r="I1357" s="27">
        <v>1111.2</v>
      </c>
    </row>
    <row r="1358" spans="2:9" ht="16">
      <c r="B1358" s="24" t="s">
        <v>51</v>
      </c>
      <c r="C1358" s="24" t="s">
        <v>6</v>
      </c>
      <c r="D1358" s="24" t="s">
        <v>933</v>
      </c>
      <c r="E1358" s="24" t="s">
        <v>8</v>
      </c>
      <c r="F1358" s="24" t="s">
        <v>9</v>
      </c>
      <c r="G1358" s="24" t="s">
        <v>8</v>
      </c>
      <c r="H1358" s="24" t="s">
        <v>53</v>
      </c>
      <c r="I1358" s="27">
        <v>444.48</v>
      </c>
    </row>
    <row r="1359" spans="2:9" ht="16">
      <c r="B1359" s="24" t="s">
        <v>51</v>
      </c>
      <c r="C1359" s="24" t="s">
        <v>6</v>
      </c>
      <c r="D1359" s="24" t="s">
        <v>931</v>
      </c>
      <c r="E1359" s="24" t="s">
        <v>8</v>
      </c>
      <c r="F1359" s="24" t="s">
        <v>9</v>
      </c>
      <c r="G1359" s="24" t="s">
        <v>8</v>
      </c>
      <c r="H1359" s="24" t="s">
        <v>53</v>
      </c>
      <c r="I1359" s="27">
        <v>364.18</v>
      </c>
    </row>
    <row r="1360" spans="2:9" ht="16">
      <c r="B1360" s="24" t="s">
        <v>51</v>
      </c>
      <c r="C1360" s="24" t="s">
        <v>6</v>
      </c>
      <c r="D1360" s="24" t="s">
        <v>557</v>
      </c>
      <c r="E1360" s="24" t="s">
        <v>8</v>
      </c>
      <c r="F1360" s="24" t="s">
        <v>9</v>
      </c>
      <c r="G1360" s="24" t="s">
        <v>8</v>
      </c>
      <c r="H1360" s="24" t="s">
        <v>53</v>
      </c>
      <c r="I1360" s="27">
        <v>2868.61</v>
      </c>
    </row>
    <row r="1361" spans="2:9" ht="16">
      <c r="B1361" s="24" t="s">
        <v>8</v>
      </c>
      <c r="C1361" s="24" t="s">
        <v>6</v>
      </c>
      <c r="D1361" s="24" t="s">
        <v>562</v>
      </c>
      <c r="E1361" s="24" t="s">
        <v>8</v>
      </c>
      <c r="F1361" s="24" t="s">
        <v>9</v>
      </c>
      <c r="G1361" s="24" t="s">
        <v>8</v>
      </c>
      <c r="H1361" s="24" t="s">
        <v>53</v>
      </c>
      <c r="I1361" s="27">
        <v>3822.65</v>
      </c>
    </row>
    <row r="1362" spans="2:9" ht="16">
      <c r="B1362" s="24" t="s">
        <v>51</v>
      </c>
      <c r="C1362" s="24" t="s">
        <v>6</v>
      </c>
      <c r="D1362" s="24" t="s">
        <v>254</v>
      </c>
      <c r="E1362" s="24" t="s">
        <v>8</v>
      </c>
      <c r="F1362" s="24" t="s">
        <v>9</v>
      </c>
      <c r="G1362" s="24" t="s">
        <v>8</v>
      </c>
      <c r="H1362" s="24" t="s">
        <v>53</v>
      </c>
      <c r="I1362" s="27">
        <v>1860.66</v>
      </c>
    </row>
    <row r="1363" spans="2:9" ht="16">
      <c r="B1363" s="24" t="s">
        <v>8</v>
      </c>
      <c r="C1363" s="24" t="s">
        <v>6</v>
      </c>
      <c r="D1363" s="24" t="s">
        <v>1208</v>
      </c>
      <c r="E1363" s="24" t="s">
        <v>8</v>
      </c>
      <c r="F1363" s="24" t="s">
        <v>9</v>
      </c>
      <c r="G1363" s="24" t="s">
        <v>8</v>
      </c>
      <c r="H1363" s="24" t="s">
        <v>53</v>
      </c>
      <c r="I1363" s="27">
        <v>3994.52</v>
      </c>
    </row>
    <row r="1364" spans="2:9" ht="16">
      <c r="B1364" s="24" t="s">
        <v>51</v>
      </c>
      <c r="C1364" s="24" t="s">
        <v>6</v>
      </c>
      <c r="D1364" s="24" t="s">
        <v>558</v>
      </c>
      <c r="E1364" s="24" t="s">
        <v>8</v>
      </c>
      <c r="F1364" s="24" t="s">
        <v>9</v>
      </c>
      <c r="G1364" s="24" t="s">
        <v>8</v>
      </c>
      <c r="H1364" s="24" t="s">
        <v>53</v>
      </c>
      <c r="I1364" s="27">
        <v>224.38</v>
      </c>
    </row>
    <row r="1365" spans="2:9" ht="16">
      <c r="B1365" s="24" t="s">
        <v>51</v>
      </c>
      <c r="C1365" s="24" t="s">
        <v>6</v>
      </c>
      <c r="D1365" s="24" t="s">
        <v>558</v>
      </c>
      <c r="E1365" s="24" t="s">
        <v>8</v>
      </c>
      <c r="F1365" s="24" t="s">
        <v>9</v>
      </c>
      <c r="G1365" s="24" t="s">
        <v>8</v>
      </c>
      <c r="H1365" s="24" t="s">
        <v>53</v>
      </c>
      <c r="I1365" s="27">
        <v>4867.42</v>
      </c>
    </row>
    <row r="1366" spans="2:9" ht="16">
      <c r="B1366" s="24" t="s">
        <v>51</v>
      </c>
      <c r="C1366" s="24" t="s">
        <v>6</v>
      </c>
      <c r="D1366" s="24" t="s">
        <v>984</v>
      </c>
      <c r="E1366" s="24" t="s">
        <v>8</v>
      </c>
      <c r="F1366" s="24" t="s">
        <v>9</v>
      </c>
      <c r="G1366" s="24" t="s">
        <v>8</v>
      </c>
      <c r="H1366" s="24" t="s">
        <v>53</v>
      </c>
      <c r="I1366" s="27">
        <v>1217.66</v>
      </c>
    </row>
    <row r="1367" spans="2:9" ht="16">
      <c r="B1367" s="24" t="s">
        <v>51</v>
      </c>
      <c r="C1367" s="24" t="s">
        <v>6</v>
      </c>
      <c r="D1367" s="24" t="s">
        <v>894</v>
      </c>
      <c r="E1367" s="24" t="s">
        <v>8</v>
      </c>
      <c r="F1367" s="24" t="s">
        <v>9</v>
      </c>
      <c r="G1367" s="24" t="s">
        <v>8</v>
      </c>
      <c r="H1367" s="24" t="s">
        <v>53</v>
      </c>
      <c r="I1367" s="27">
        <v>4463.03</v>
      </c>
    </row>
    <row r="1368" spans="2:9" ht="16">
      <c r="B1368" s="24" t="s">
        <v>51</v>
      </c>
      <c r="C1368" s="24" t="s">
        <v>6</v>
      </c>
      <c r="D1368" s="24" t="s">
        <v>559</v>
      </c>
      <c r="E1368" s="24" t="s">
        <v>8</v>
      </c>
      <c r="F1368" s="24" t="s">
        <v>9</v>
      </c>
      <c r="G1368" s="24" t="s">
        <v>8</v>
      </c>
      <c r="H1368" s="24" t="s">
        <v>53</v>
      </c>
      <c r="I1368" s="27">
        <v>811.77</v>
      </c>
    </row>
    <row r="1369" spans="2:9" ht="16">
      <c r="B1369" s="24" t="s">
        <v>51</v>
      </c>
      <c r="C1369" s="24" t="s">
        <v>6</v>
      </c>
      <c r="D1369" s="24" t="s">
        <v>560</v>
      </c>
      <c r="E1369" s="24" t="s">
        <v>8</v>
      </c>
      <c r="F1369" s="24" t="s">
        <v>9</v>
      </c>
      <c r="G1369" s="24" t="s">
        <v>8</v>
      </c>
      <c r="H1369" s="24" t="s">
        <v>53</v>
      </c>
      <c r="I1369" s="27">
        <v>1964.69</v>
      </c>
    </row>
    <row r="1370" spans="2:9" ht="16">
      <c r="B1370" s="24" t="s">
        <v>51</v>
      </c>
      <c r="C1370" s="24" t="s">
        <v>6</v>
      </c>
      <c r="D1370" s="24" t="s">
        <v>1209</v>
      </c>
      <c r="E1370" s="24" t="s">
        <v>8</v>
      </c>
      <c r="F1370" s="24" t="s">
        <v>9</v>
      </c>
      <c r="G1370" s="24" t="s">
        <v>8</v>
      </c>
      <c r="H1370" s="24" t="s">
        <v>53</v>
      </c>
      <c r="I1370" s="27">
        <v>104.05</v>
      </c>
    </row>
    <row r="1371" spans="2:9" ht="16">
      <c r="B1371" s="24" t="s">
        <v>51</v>
      </c>
      <c r="C1371" s="24" t="s">
        <v>6</v>
      </c>
      <c r="D1371" s="24" t="s">
        <v>556</v>
      </c>
      <c r="E1371" s="24" t="s">
        <v>8</v>
      </c>
      <c r="F1371" s="24" t="s">
        <v>9</v>
      </c>
      <c r="G1371" s="24" t="s">
        <v>8</v>
      </c>
      <c r="H1371" s="24" t="s">
        <v>53</v>
      </c>
      <c r="I1371" s="27">
        <v>88.58</v>
      </c>
    </row>
    <row r="1372" spans="2:9" ht="16">
      <c r="B1372" s="24" t="s">
        <v>51</v>
      </c>
      <c r="C1372" s="24" t="s">
        <v>6</v>
      </c>
      <c r="D1372" s="24" t="s">
        <v>1116</v>
      </c>
      <c r="E1372" s="24" t="s">
        <v>8</v>
      </c>
      <c r="F1372" s="24" t="s">
        <v>9</v>
      </c>
      <c r="G1372" s="24" t="s">
        <v>8</v>
      </c>
      <c r="H1372" s="24" t="s">
        <v>53</v>
      </c>
      <c r="I1372" s="27">
        <v>901.53</v>
      </c>
    </row>
    <row r="1373" spans="2:9" ht="16">
      <c r="B1373" s="24" t="s">
        <v>934</v>
      </c>
      <c r="C1373" s="24" t="s">
        <v>6</v>
      </c>
      <c r="D1373" s="24" t="s">
        <v>629</v>
      </c>
      <c r="E1373" s="24" t="s">
        <v>8</v>
      </c>
      <c r="F1373" s="24" t="s">
        <v>9</v>
      </c>
      <c r="G1373" s="24" t="s">
        <v>8</v>
      </c>
      <c r="H1373" s="24" t="s">
        <v>935</v>
      </c>
      <c r="I1373" s="27">
        <v>484.19</v>
      </c>
    </row>
    <row r="1374" spans="2:9" ht="16">
      <c r="B1374" s="24" t="s">
        <v>1199</v>
      </c>
      <c r="C1374" s="24" t="s">
        <v>13</v>
      </c>
      <c r="D1374" s="24" t="s">
        <v>1141</v>
      </c>
      <c r="E1374" s="24" t="s">
        <v>1200</v>
      </c>
      <c r="F1374" s="24" t="s">
        <v>9</v>
      </c>
      <c r="G1374" s="24" t="s">
        <v>8</v>
      </c>
      <c r="H1374" s="24" t="s">
        <v>8</v>
      </c>
      <c r="I1374" s="27">
        <v>180.0</v>
      </c>
    </row>
    <row r="1375" spans="1:9" ht="16">
      <c r="A1375" s="35" t="s">
        <v>67</v>
      </c>
      <c r="I1375" s="28">
        <f>I1339+I1340+I1341+I1342+I1343+I1344+I1345+I1346+I1347+I1348+I1349+I1350+I1351+I1352+I1353+I1354+I1355+I1356+I1357+I1358+I1359+I1360+I1361+I1362+I1363+I1364+I1365+I1366+I1367+I1368+I1369+I1370+I1371+I1372+I1373+I1374</f>
        <v>66824.33</v>
      </c>
    </row>
    <row r="1376" spans="1:9" ht="16">
      <c r="A1376" s="36" t="s">
        <v>1210</v>
      </c>
      <c r="I1376" s="28">
        <f>I1125+I1131+I1134+I1267+I1270+I1273+I1277+I1282+I1317+I1321+I1338+I1375</f>
        <v>496046.9200000001</v>
      </c>
    </row>
    <row r="1377" spans="1:1" ht="16">
      <c r="A1377" s="33" t="s">
        <v>324</v>
      </c>
    </row>
    <row r="1378" spans="1:1" ht="16">
      <c r="A1378" s="34" t="s">
        <v>1211</v>
      </c>
    </row>
    <row r="1379" spans="2:9" ht="16">
      <c r="B1379" s="24" t="s">
        <v>127</v>
      </c>
      <c r="C1379" s="24" t="s">
        <v>6</v>
      </c>
      <c r="D1379" s="24" t="s">
        <v>280</v>
      </c>
      <c r="E1379" s="24" t="s">
        <v>8</v>
      </c>
      <c r="F1379" s="24" t="s">
        <v>9</v>
      </c>
      <c r="G1379" s="24" t="s">
        <v>8</v>
      </c>
      <c r="H1379" s="24" t="s">
        <v>1212</v>
      </c>
      <c r="I1379" s="27">
        <v>2.18</v>
      </c>
    </row>
    <row r="1380" spans="2:9" ht="16">
      <c r="B1380" s="24" t="s">
        <v>127</v>
      </c>
      <c r="C1380" s="24" t="s">
        <v>6</v>
      </c>
      <c r="D1380" s="24" t="s">
        <v>821</v>
      </c>
      <c r="E1380" s="24" t="s">
        <v>8</v>
      </c>
      <c r="F1380" s="24" t="s">
        <v>9</v>
      </c>
      <c r="G1380" s="24" t="s">
        <v>8</v>
      </c>
      <c r="H1380" s="24" t="s">
        <v>1213</v>
      </c>
      <c r="I1380" s="27">
        <v>81.99</v>
      </c>
    </row>
    <row r="1381" spans="2:9" ht="16">
      <c r="B1381" s="24" t="s">
        <v>119</v>
      </c>
      <c r="C1381" s="24" t="s">
        <v>6</v>
      </c>
      <c r="D1381" s="24" t="s">
        <v>280</v>
      </c>
      <c r="E1381" s="24" t="s">
        <v>8</v>
      </c>
      <c r="F1381" s="24" t="s">
        <v>9</v>
      </c>
      <c r="G1381" s="24" t="s">
        <v>8</v>
      </c>
      <c r="H1381" s="24" t="s">
        <v>1214</v>
      </c>
      <c r="I1381" s="27">
        <v>85.74</v>
      </c>
    </row>
    <row r="1382" spans="1:9" ht="16">
      <c r="A1382" s="35" t="s">
        <v>40</v>
      </c>
      <c r="I1382" s="28">
        <f>I1378+I1379+I1380+I1381</f>
        <v>169.91</v>
      </c>
    </row>
    <row r="1383" spans="1:1" ht="16">
      <c r="A1383" s="34" t="s">
        <v>1211</v>
      </c>
    </row>
    <row r="1384" spans="2:9" ht="16">
      <c r="B1384" s="24" t="s">
        <v>45</v>
      </c>
      <c r="C1384" s="24" t="s">
        <v>6</v>
      </c>
      <c r="D1384" s="24" t="s">
        <v>272</v>
      </c>
      <c r="E1384" s="24" t="s">
        <v>8</v>
      </c>
      <c r="F1384" s="24" t="s">
        <v>9</v>
      </c>
      <c r="G1384" s="24" t="s">
        <v>8</v>
      </c>
      <c r="H1384" s="24" t="s">
        <v>47</v>
      </c>
      <c r="I1384" s="27">
        <v>2186.9</v>
      </c>
    </row>
    <row r="1385" spans="2:9" ht="16">
      <c r="B1385" s="24" t="s">
        <v>8</v>
      </c>
      <c r="C1385" s="24" t="s">
        <v>6</v>
      </c>
      <c r="D1385" s="24" t="s">
        <v>274</v>
      </c>
      <c r="E1385" s="24" t="s">
        <v>8</v>
      </c>
      <c r="F1385" s="24" t="s">
        <v>9</v>
      </c>
      <c r="G1385" s="24" t="s">
        <v>8</v>
      </c>
      <c r="H1385" s="24" t="s">
        <v>47</v>
      </c>
      <c r="I1385" s="27">
        <v>1420.54</v>
      </c>
    </row>
    <row r="1386" spans="1:9" ht="16">
      <c r="A1386" s="35" t="s">
        <v>50</v>
      </c>
      <c r="I1386" s="28">
        <f>I1383+I1384+I1385</f>
        <v>3607.44</v>
      </c>
    </row>
    <row r="1387" spans="1:1" ht="16">
      <c r="A1387" s="34" t="s">
        <v>1211</v>
      </c>
    </row>
    <row r="1388" spans="2:9" ht="16">
      <c r="B1388" s="24" t="s">
        <v>51</v>
      </c>
      <c r="C1388" s="24" t="s">
        <v>6</v>
      </c>
      <c r="D1388" s="24" t="s">
        <v>740</v>
      </c>
      <c r="E1388" s="24" t="s">
        <v>8</v>
      </c>
      <c r="F1388" s="24" t="s">
        <v>9</v>
      </c>
      <c r="G1388" s="24" t="s">
        <v>8</v>
      </c>
      <c r="H1388" s="24" t="s">
        <v>53</v>
      </c>
      <c r="I1388" s="27">
        <v>188.45</v>
      </c>
    </row>
    <row r="1389" spans="2:9" ht="16">
      <c r="B1389" s="24" t="s">
        <v>51</v>
      </c>
      <c r="C1389" s="24" t="s">
        <v>6</v>
      </c>
      <c r="D1389" s="24" t="s">
        <v>738</v>
      </c>
      <c r="E1389" s="24" t="s">
        <v>8</v>
      </c>
      <c r="F1389" s="24" t="s">
        <v>9</v>
      </c>
      <c r="G1389" s="24" t="s">
        <v>8</v>
      </c>
      <c r="H1389" s="24" t="s">
        <v>53</v>
      </c>
      <c r="I1389" s="27">
        <v>1511.58</v>
      </c>
    </row>
    <row r="1390" spans="2:9" ht="16">
      <c r="B1390" s="24" t="s">
        <v>51</v>
      </c>
      <c r="C1390" s="24" t="s">
        <v>6</v>
      </c>
      <c r="D1390" s="24" t="s">
        <v>284</v>
      </c>
      <c r="E1390" s="24" t="s">
        <v>8</v>
      </c>
      <c r="F1390" s="24" t="s">
        <v>9</v>
      </c>
      <c r="G1390" s="24" t="s">
        <v>8</v>
      </c>
      <c r="H1390" s="24" t="s">
        <v>53</v>
      </c>
      <c r="I1390" s="27">
        <v>2515.0</v>
      </c>
    </row>
    <row r="1391" spans="2:9" ht="16">
      <c r="B1391" s="24" t="s">
        <v>51</v>
      </c>
      <c r="C1391" s="24" t="s">
        <v>6</v>
      </c>
      <c r="D1391" s="24" t="s">
        <v>254</v>
      </c>
      <c r="E1391" s="24" t="s">
        <v>8</v>
      </c>
      <c r="F1391" s="24" t="s">
        <v>9</v>
      </c>
      <c r="G1391" s="24" t="s">
        <v>8</v>
      </c>
      <c r="H1391" s="24" t="s">
        <v>53</v>
      </c>
      <c r="I1391" s="27">
        <v>2501.93</v>
      </c>
    </row>
    <row r="1392" spans="1:9" ht="16">
      <c r="A1392" s="35" t="s">
        <v>67</v>
      </c>
      <c r="I1392" s="28">
        <f>I1387+I1388+I1389+I1390+I1391</f>
        <v>6716.959999999999</v>
      </c>
    </row>
    <row r="1393" spans="1:9" ht="16">
      <c r="A1393" s="36" t="s">
        <v>1215</v>
      </c>
      <c r="I1393" s="28">
        <f>I1382+I1386+I1392</f>
        <v>10494.31</v>
      </c>
    </row>
    <row r="1394" spans="1:1" ht="16">
      <c r="A1394" s="33" t="s">
        <v>1216</v>
      </c>
    </row>
    <row r="1395" spans="1:1" ht="16">
      <c r="A1395" s="34" t="s">
        <v>1217</v>
      </c>
    </row>
    <row r="1396" spans="2:9" ht="16">
      <c r="B1396" s="24" t="s">
        <v>961</v>
      </c>
      <c r="C1396" s="24" t="s">
        <v>6</v>
      </c>
      <c r="D1396" s="24" t="s">
        <v>962</v>
      </c>
      <c r="E1396" s="24" t="s">
        <v>8</v>
      </c>
      <c r="F1396" s="24" t="s">
        <v>9</v>
      </c>
      <c r="G1396" s="24" t="s">
        <v>8</v>
      </c>
      <c r="H1396" s="24" t="s">
        <v>1218</v>
      </c>
      <c r="I1396" s="27">
        <v>257.89</v>
      </c>
    </row>
    <row r="1397" spans="1:9" ht="16">
      <c r="A1397" s="35" t="s">
        <v>964</v>
      </c>
      <c r="I1397" s="28">
        <f>I1395+I1396</f>
        <v>257.89</v>
      </c>
    </row>
    <row r="1398" spans="1:1" ht="16">
      <c r="A1398" s="34" t="s">
        <v>1217</v>
      </c>
    </row>
    <row r="1399" spans="2:9" ht="16">
      <c r="B1399" s="24" t="s">
        <v>1219</v>
      </c>
      <c r="C1399" s="24" t="s">
        <v>6</v>
      </c>
      <c r="D1399" s="24" t="s">
        <v>272</v>
      </c>
      <c r="E1399" s="24" t="s">
        <v>8</v>
      </c>
      <c r="F1399" s="24" t="s">
        <v>9</v>
      </c>
      <c r="G1399" s="24" t="s">
        <v>8</v>
      </c>
      <c r="H1399" s="24" t="s">
        <v>1220</v>
      </c>
      <c r="I1399" s="27">
        <v>381.59</v>
      </c>
    </row>
    <row r="1400" spans="2:9" ht="16">
      <c r="B1400" s="24" t="s">
        <v>589</v>
      </c>
      <c r="C1400" s="24" t="s">
        <v>6</v>
      </c>
      <c r="D1400" s="24" t="s">
        <v>996</v>
      </c>
      <c r="E1400" s="24" t="s">
        <v>8</v>
      </c>
      <c r="F1400" s="24" t="s">
        <v>9</v>
      </c>
      <c r="G1400" s="24" t="s">
        <v>8</v>
      </c>
      <c r="H1400" s="24" t="s">
        <v>591</v>
      </c>
      <c r="I1400" s="27">
        <v>-29.5</v>
      </c>
    </row>
    <row r="1401" spans="2:9" ht="16">
      <c r="B1401" s="24" t="s">
        <v>589</v>
      </c>
      <c r="C1401" s="24" t="s">
        <v>6</v>
      </c>
      <c r="D1401" s="24" t="s">
        <v>996</v>
      </c>
      <c r="E1401" s="24" t="s">
        <v>8</v>
      </c>
      <c r="F1401" s="24" t="s">
        <v>9</v>
      </c>
      <c r="G1401" s="24" t="s">
        <v>8</v>
      </c>
      <c r="H1401" s="24" t="s">
        <v>591</v>
      </c>
      <c r="I1401" s="27">
        <v>29.5</v>
      </c>
    </row>
    <row r="1402" spans="2:9" ht="16">
      <c r="B1402" s="24" t="s">
        <v>600</v>
      </c>
      <c r="C1402" s="24" t="s">
        <v>6</v>
      </c>
      <c r="D1402" s="24" t="s">
        <v>1016</v>
      </c>
      <c r="E1402" s="24" t="s">
        <v>8</v>
      </c>
      <c r="F1402" s="24" t="s">
        <v>9</v>
      </c>
      <c r="G1402" s="24" t="s">
        <v>8</v>
      </c>
      <c r="H1402" s="24" t="s">
        <v>1221</v>
      </c>
      <c r="I1402" s="27">
        <v>15.55</v>
      </c>
    </row>
    <row r="1403" spans="2:9" ht="16">
      <c r="B1403" s="24" t="s">
        <v>12</v>
      </c>
      <c r="C1403" s="24" t="s">
        <v>13</v>
      </c>
      <c r="D1403" s="24" t="s">
        <v>929</v>
      </c>
      <c r="E1403" s="24" t="s">
        <v>1222</v>
      </c>
      <c r="F1403" s="24" t="s">
        <v>9</v>
      </c>
      <c r="G1403" s="24" t="s">
        <v>8</v>
      </c>
      <c r="H1403" s="24" t="s">
        <v>1223</v>
      </c>
      <c r="I1403" s="27">
        <v>128.4</v>
      </c>
    </row>
    <row r="1404" spans="2:9" ht="16">
      <c r="B1404" s="24" t="s">
        <v>21</v>
      </c>
      <c r="C1404" s="24" t="s">
        <v>13</v>
      </c>
      <c r="D1404" s="24" t="s">
        <v>968</v>
      </c>
      <c r="E1404" s="24" t="s">
        <v>1224</v>
      </c>
      <c r="F1404" s="24" t="s">
        <v>9</v>
      </c>
      <c r="G1404" s="24" t="s">
        <v>8</v>
      </c>
      <c r="H1404" s="24" t="s">
        <v>837</v>
      </c>
      <c r="I1404" s="27">
        <v>1976.96</v>
      </c>
    </row>
    <row r="1405" spans="2:9" ht="16">
      <c r="B1405" s="24" t="s">
        <v>119</v>
      </c>
      <c r="C1405" s="24" t="s">
        <v>6</v>
      </c>
      <c r="D1405" s="24" t="s">
        <v>892</v>
      </c>
      <c r="E1405" s="24" t="s">
        <v>8</v>
      </c>
      <c r="F1405" s="24" t="s">
        <v>9</v>
      </c>
      <c r="G1405" s="24" t="s">
        <v>8</v>
      </c>
      <c r="H1405" s="24" t="s">
        <v>1225</v>
      </c>
      <c r="I1405" s="27">
        <v>48.15</v>
      </c>
    </row>
    <row r="1406" spans="2:9" ht="16">
      <c r="B1406" s="24" t="s">
        <v>36</v>
      </c>
      <c r="C1406" s="24" t="s">
        <v>6</v>
      </c>
      <c r="D1406" s="24" t="s">
        <v>832</v>
      </c>
      <c r="E1406" s="24" t="s">
        <v>8</v>
      </c>
      <c r="F1406" s="24" t="s">
        <v>9</v>
      </c>
      <c r="G1406" s="24" t="s">
        <v>8</v>
      </c>
      <c r="H1406" s="24" t="s">
        <v>1226</v>
      </c>
      <c r="I1406" s="27">
        <v>107.24</v>
      </c>
    </row>
    <row r="1407" spans="2:9" ht="16">
      <c r="B1407" s="24" t="s">
        <v>1227</v>
      </c>
      <c r="C1407" s="24" t="s">
        <v>6</v>
      </c>
      <c r="D1407" s="24" t="s">
        <v>512</v>
      </c>
      <c r="E1407" s="24" t="s">
        <v>8</v>
      </c>
      <c r="F1407" s="24" t="s">
        <v>9</v>
      </c>
      <c r="G1407" s="24" t="s">
        <v>8</v>
      </c>
      <c r="H1407" s="24" t="s">
        <v>1228</v>
      </c>
      <c r="I1407" s="27">
        <v>161.84</v>
      </c>
    </row>
    <row r="1408" spans="2:9" ht="16">
      <c r="B1408" s="24" t="s">
        <v>127</v>
      </c>
      <c r="C1408" s="24" t="s">
        <v>6</v>
      </c>
      <c r="D1408" s="24" t="s">
        <v>1229</v>
      </c>
      <c r="E1408" s="24" t="s">
        <v>8</v>
      </c>
      <c r="F1408" s="24" t="s">
        <v>9</v>
      </c>
      <c r="G1408" s="24" t="s">
        <v>8</v>
      </c>
      <c r="H1408" s="24" t="s">
        <v>1230</v>
      </c>
      <c r="I1408" s="27">
        <v>17.49</v>
      </c>
    </row>
    <row r="1409" spans="2:9" ht="16">
      <c r="B1409" s="24" t="s">
        <v>36</v>
      </c>
      <c r="C1409" s="24" t="s">
        <v>6</v>
      </c>
      <c r="D1409" s="24" t="s">
        <v>996</v>
      </c>
      <c r="E1409" s="24" t="s">
        <v>8</v>
      </c>
      <c r="F1409" s="24" t="s">
        <v>9</v>
      </c>
      <c r="G1409" s="24" t="s">
        <v>8</v>
      </c>
      <c r="H1409" s="24" t="s">
        <v>1231</v>
      </c>
      <c r="I1409" s="27">
        <v>49.23</v>
      </c>
    </row>
    <row r="1410" spans="2:9" ht="16">
      <c r="B1410" s="24" t="s">
        <v>119</v>
      </c>
      <c r="C1410" s="24" t="s">
        <v>6</v>
      </c>
      <c r="D1410" s="24" t="s">
        <v>1016</v>
      </c>
      <c r="E1410" s="24" t="s">
        <v>8</v>
      </c>
      <c r="F1410" s="24" t="s">
        <v>9</v>
      </c>
      <c r="G1410" s="24" t="s">
        <v>8</v>
      </c>
      <c r="H1410" s="24" t="s">
        <v>1232</v>
      </c>
      <c r="I1410" s="27">
        <v>21.83</v>
      </c>
    </row>
    <row r="1411" spans="1:9" ht="16">
      <c r="A1411" s="35" t="s">
        <v>40</v>
      </c>
      <c r="I1411" s="28">
        <f>I1398+I1399+I1400+I1401+I1402+I1403+I1404+I1405+I1406+I1407+I1408+I1409+I1410</f>
        <v>2908.2799999999997</v>
      </c>
    </row>
    <row r="1412" spans="1:1" ht="16">
      <c r="A1412" s="34" t="s">
        <v>1217</v>
      </c>
    </row>
    <row r="1413" spans="2:9" ht="16">
      <c r="B1413" s="24" t="s">
        <v>1233</v>
      </c>
      <c r="C1413" s="24" t="s">
        <v>6</v>
      </c>
      <c r="D1413" s="24" t="s">
        <v>892</v>
      </c>
      <c r="E1413" s="24" t="s">
        <v>8</v>
      </c>
      <c r="F1413" s="24" t="s">
        <v>42</v>
      </c>
      <c r="G1413" s="24" t="s">
        <v>8</v>
      </c>
      <c r="H1413" s="24" t="s">
        <v>1234</v>
      </c>
      <c r="I1413" s="27">
        <v>45.9</v>
      </c>
    </row>
    <row r="1414" spans="2:9" ht="16">
      <c r="B1414" s="24" t="s">
        <v>250</v>
      </c>
      <c r="C1414" s="24" t="s">
        <v>6</v>
      </c>
      <c r="D1414" s="24" t="s">
        <v>892</v>
      </c>
      <c r="E1414" s="24" t="s">
        <v>8</v>
      </c>
      <c r="F1414" s="24" t="s">
        <v>42</v>
      </c>
      <c r="G1414" s="24" t="s">
        <v>8</v>
      </c>
      <c r="H1414" s="24" t="s">
        <v>1235</v>
      </c>
      <c r="I1414" s="27">
        <v>11.6</v>
      </c>
    </row>
    <row r="1415" spans="1:9" ht="16">
      <c r="A1415" s="35" t="s">
        <v>922</v>
      </c>
      <c r="I1415" s="28">
        <f>I1412+I1413+I1414</f>
        <v>57.5</v>
      </c>
    </row>
    <row r="1416" spans="1:1" ht="16">
      <c r="A1416" s="34" t="s">
        <v>1217</v>
      </c>
    </row>
    <row r="1417" spans="2:9" ht="16">
      <c r="B1417" s="24" t="s">
        <v>159</v>
      </c>
      <c r="C1417" s="24" t="s">
        <v>13</v>
      </c>
      <c r="D1417" s="24" t="s">
        <v>968</v>
      </c>
      <c r="E1417" s="24" t="s">
        <v>1236</v>
      </c>
      <c r="F1417" s="24" t="s">
        <v>9</v>
      </c>
      <c r="G1417" s="24" t="s">
        <v>8</v>
      </c>
      <c r="H1417" s="24" t="s">
        <v>159</v>
      </c>
      <c r="I1417" s="27">
        <v>3780.0</v>
      </c>
    </row>
    <row r="1418" spans="1:9" ht="16">
      <c r="A1418" s="35" t="s">
        <v>164</v>
      </c>
      <c r="I1418" s="28">
        <f>I1416+I1417</f>
        <v>3780.0</v>
      </c>
    </row>
    <row r="1419" spans="1:1" ht="16">
      <c r="A1419" s="34" t="s">
        <v>1217</v>
      </c>
    </row>
    <row r="1420" spans="2:9" ht="16">
      <c r="B1420" s="24" t="s">
        <v>45</v>
      </c>
      <c r="C1420" s="24" t="s">
        <v>6</v>
      </c>
      <c r="D1420" s="24" t="s">
        <v>523</v>
      </c>
      <c r="E1420" s="24" t="s">
        <v>8</v>
      </c>
      <c r="F1420" s="24" t="s">
        <v>9</v>
      </c>
      <c r="G1420" s="24" t="s">
        <v>8</v>
      </c>
      <c r="H1420" s="24" t="s">
        <v>47</v>
      </c>
      <c r="I1420" s="27">
        <v>1215.56</v>
      </c>
    </row>
    <row r="1421" spans="2:9" ht="16">
      <c r="B1421" s="24" t="s">
        <v>45</v>
      </c>
      <c r="C1421" s="24" t="s">
        <v>6</v>
      </c>
      <c r="D1421" s="24" t="s">
        <v>671</v>
      </c>
      <c r="E1421" s="24" t="s">
        <v>8</v>
      </c>
      <c r="F1421" s="24" t="s">
        <v>9</v>
      </c>
      <c r="G1421" s="24" t="s">
        <v>8</v>
      </c>
      <c r="H1421" s="24" t="s">
        <v>47</v>
      </c>
      <c r="I1421" s="27">
        <v>1796.29</v>
      </c>
    </row>
    <row r="1422" spans="1:9" ht="16">
      <c r="A1422" s="35" t="s">
        <v>50</v>
      </c>
      <c r="I1422" s="28">
        <f>I1419+I1420+I1421</f>
        <v>3011.85</v>
      </c>
    </row>
    <row r="1423" spans="1:1" ht="16">
      <c r="A1423" s="34" t="s">
        <v>1217</v>
      </c>
    </row>
    <row r="1424" spans="2:9" ht="16">
      <c r="B1424" s="24" t="s">
        <v>51</v>
      </c>
      <c r="C1424" s="24" t="s">
        <v>6</v>
      </c>
      <c r="D1424" s="24" t="s">
        <v>552</v>
      </c>
      <c r="E1424" s="24" t="s">
        <v>8</v>
      </c>
      <c r="F1424" s="24" t="s">
        <v>9</v>
      </c>
      <c r="G1424" s="24" t="s">
        <v>8</v>
      </c>
      <c r="H1424" s="24" t="s">
        <v>53</v>
      </c>
      <c r="I1424" s="27">
        <v>1844.66</v>
      </c>
    </row>
    <row r="1425" spans="2:9" ht="16">
      <c r="B1425" s="24" t="s">
        <v>51</v>
      </c>
      <c r="C1425" s="24" t="s">
        <v>6</v>
      </c>
      <c r="D1425" s="24" t="s">
        <v>512</v>
      </c>
      <c r="E1425" s="24" t="s">
        <v>8</v>
      </c>
      <c r="F1425" s="24" t="s">
        <v>9</v>
      </c>
      <c r="G1425" s="24" t="s">
        <v>8</v>
      </c>
      <c r="H1425" s="24" t="s">
        <v>53</v>
      </c>
      <c r="I1425" s="27">
        <v>3112.71</v>
      </c>
    </row>
    <row r="1426" spans="2:9" ht="16">
      <c r="B1426" s="24" t="s">
        <v>51</v>
      </c>
      <c r="C1426" s="24" t="s">
        <v>6</v>
      </c>
      <c r="D1426" s="24" t="s">
        <v>932</v>
      </c>
      <c r="E1426" s="24" t="s">
        <v>8</v>
      </c>
      <c r="F1426" s="24" t="s">
        <v>9</v>
      </c>
      <c r="G1426" s="24" t="s">
        <v>8</v>
      </c>
      <c r="H1426" s="24" t="s">
        <v>53</v>
      </c>
      <c r="I1426" s="27">
        <v>776.0</v>
      </c>
    </row>
    <row r="1427" spans="2:9" ht="16">
      <c r="B1427" s="24" t="s">
        <v>51</v>
      </c>
      <c r="C1427" s="24" t="s">
        <v>6</v>
      </c>
      <c r="D1427" s="24" t="s">
        <v>933</v>
      </c>
      <c r="E1427" s="24" t="s">
        <v>8</v>
      </c>
      <c r="F1427" s="24" t="s">
        <v>9</v>
      </c>
      <c r="G1427" s="24" t="s">
        <v>8</v>
      </c>
      <c r="H1427" s="24" t="s">
        <v>53</v>
      </c>
      <c r="I1427" s="27">
        <v>1232.93</v>
      </c>
    </row>
    <row r="1428" spans="2:9" ht="16">
      <c r="B1428" s="24" t="s">
        <v>51</v>
      </c>
      <c r="C1428" s="24" t="s">
        <v>6</v>
      </c>
      <c r="D1428" s="24" t="s">
        <v>671</v>
      </c>
      <c r="E1428" s="24" t="s">
        <v>8</v>
      </c>
      <c r="F1428" s="24" t="s">
        <v>9</v>
      </c>
      <c r="G1428" s="24" t="s">
        <v>8</v>
      </c>
      <c r="H1428" s="24" t="s">
        <v>53</v>
      </c>
      <c r="I1428" s="27">
        <v>771.76</v>
      </c>
    </row>
    <row r="1429" spans="1:9" ht="16">
      <c r="A1429" s="35" t="s">
        <v>67</v>
      </c>
      <c r="I1429" s="28">
        <f>I1423+I1424+I1425+I1426+I1427+I1428</f>
        <v>7738.06</v>
      </c>
    </row>
    <row r="1430" spans="1:9" ht="16">
      <c r="A1430" s="36" t="s">
        <v>1237</v>
      </c>
      <c r="I1430" s="28">
        <f>I1397+I1411+I1415+I1418+I1422+I1429</f>
        <v>17753.58</v>
      </c>
    </row>
    <row r="1431" spans="1:1" ht="16">
      <c r="A1431" s="33" t="s">
        <v>172</v>
      </c>
    </row>
    <row r="1432" spans="1:1" ht="16">
      <c r="A1432" s="34" t="s">
        <v>1238</v>
      </c>
    </row>
    <row r="1433" spans="2:9" ht="16">
      <c r="B1433" s="24" t="s">
        <v>77</v>
      </c>
      <c r="C1433" s="24" t="s">
        <v>13</v>
      </c>
      <c r="D1433" s="24" t="s">
        <v>1239</v>
      </c>
      <c r="E1433" s="24" t="s">
        <v>1240</v>
      </c>
      <c r="F1433" s="24" t="s">
        <v>9</v>
      </c>
      <c r="G1433" s="24" t="s">
        <v>8</v>
      </c>
      <c r="H1433" s="24" t="s">
        <v>1241</v>
      </c>
      <c r="I1433" s="27">
        <v>691.67</v>
      </c>
    </row>
    <row r="1434" spans="2:9" ht="16">
      <c r="B1434" s="24" t="s">
        <v>77</v>
      </c>
      <c r="C1434" s="24" t="s">
        <v>13</v>
      </c>
      <c r="D1434" s="24" t="s">
        <v>1207</v>
      </c>
      <c r="E1434" s="24" t="s">
        <v>1242</v>
      </c>
      <c r="F1434" s="24" t="s">
        <v>9</v>
      </c>
      <c r="G1434" s="24" t="s">
        <v>8</v>
      </c>
      <c r="H1434" s="24" t="s">
        <v>1241</v>
      </c>
      <c r="I1434" s="27">
        <v>441.67</v>
      </c>
    </row>
    <row r="1435" spans="2:9" ht="16">
      <c r="B1435" s="24" t="s">
        <v>77</v>
      </c>
      <c r="C1435" s="24" t="s">
        <v>13</v>
      </c>
      <c r="D1435" s="24" t="s">
        <v>974</v>
      </c>
      <c r="E1435" s="24" t="s">
        <v>1243</v>
      </c>
      <c r="F1435" s="24" t="s">
        <v>9</v>
      </c>
      <c r="G1435" s="24" t="s">
        <v>8</v>
      </c>
      <c r="H1435" s="24" t="s">
        <v>1244</v>
      </c>
      <c r="I1435" s="27">
        <v>1494.22</v>
      </c>
    </row>
    <row r="1436" spans="2:9" ht="16">
      <c r="B1436" s="24" t="s">
        <v>77</v>
      </c>
      <c r="C1436" s="24" t="s">
        <v>13</v>
      </c>
      <c r="D1436" s="24" t="s">
        <v>460</v>
      </c>
      <c r="E1436" s="24" t="s">
        <v>1245</v>
      </c>
      <c r="F1436" s="24" t="s">
        <v>9</v>
      </c>
      <c r="G1436" s="24" t="s">
        <v>8</v>
      </c>
      <c r="H1436" s="24" t="s">
        <v>1246</v>
      </c>
      <c r="I1436" s="27">
        <v>83.49</v>
      </c>
    </row>
    <row r="1437" spans="2:9" ht="16">
      <c r="B1437" s="24" t="s">
        <v>77</v>
      </c>
      <c r="C1437" s="24" t="s">
        <v>13</v>
      </c>
      <c r="D1437" s="24" t="s">
        <v>1239</v>
      </c>
      <c r="E1437" s="24" t="s">
        <v>1247</v>
      </c>
      <c r="F1437" s="24" t="s">
        <v>9</v>
      </c>
      <c r="G1437" s="24" t="s">
        <v>8</v>
      </c>
      <c r="H1437" s="24" t="s">
        <v>790</v>
      </c>
      <c r="I1437" s="27">
        <v>2366.13</v>
      </c>
    </row>
    <row r="1438" spans="2:9" ht="16">
      <c r="B1438" s="24" t="s">
        <v>77</v>
      </c>
      <c r="C1438" s="24" t="s">
        <v>13</v>
      </c>
      <c r="D1438" s="24" t="s">
        <v>562</v>
      </c>
      <c r="E1438" s="24" t="s">
        <v>1248</v>
      </c>
      <c r="F1438" s="24" t="s">
        <v>9</v>
      </c>
      <c r="G1438" s="24" t="s">
        <v>8</v>
      </c>
      <c r="H1438" s="24" t="s">
        <v>1249</v>
      </c>
      <c r="I1438" s="27">
        <v>2178.74</v>
      </c>
    </row>
    <row r="1439" spans="2:9" ht="16">
      <c r="B1439" s="24" t="s">
        <v>77</v>
      </c>
      <c r="C1439" s="24" t="s">
        <v>13</v>
      </c>
      <c r="D1439" s="24" t="s">
        <v>1239</v>
      </c>
      <c r="E1439" s="24" t="s">
        <v>1250</v>
      </c>
      <c r="F1439" s="24" t="s">
        <v>9</v>
      </c>
      <c r="G1439" s="24" t="s">
        <v>8</v>
      </c>
      <c r="H1439" s="24" t="s">
        <v>1249</v>
      </c>
      <c r="I1439" s="27">
        <v>739.03</v>
      </c>
    </row>
    <row r="1440" spans="2:9" ht="16">
      <c r="B1440" s="24" t="s">
        <v>77</v>
      </c>
      <c r="C1440" s="24" t="s">
        <v>13</v>
      </c>
      <c r="D1440" s="24" t="s">
        <v>1239</v>
      </c>
      <c r="E1440" s="24" t="s">
        <v>1251</v>
      </c>
      <c r="F1440" s="24" t="s">
        <v>9</v>
      </c>
      <c r="G1440" s="24" t="s">
        <v>8</v>
      </c>
      <c r="H1440" s="24" t="s">
        <v>1249</v>
      </c>
      <c r="I1440" s="27">
        <v>195.0</v>
      </c>
    </row>
    <row r="1441" spans="2:9" ht="16">
      <c r="B1441" s="24" t="s">
        <v>77</v>
      </c>
      <c r="C1441" s="24" t="s">
        <v>13</v>
      </c>
      <c r="D1441" s="24" t="s">
        <v>1252</v>
      </c>
      <c r="E1441" s="24" t="s">
        <v>1253</v>
      </c>
      <c r="F1441" s="24" t="s">
        <v>9</v>
      </c>
      <c r="G1441" s="24" t="s">
        <v>8</v>
      </c>
      <c r="H1441" s="24" t="s">
        <v>1249</v>
      </c>
      <c r="I1441" s="27">
        <v>1860.69</v>
      </c>
    </row>
    <row r="1442" spans="2:9" ht="16">
      <c r="B1442" s="24" t="s">
        <v>77</v>
      </c>
      <c r="C1442" s="24" t="s">
        <v>13</v>
      </c>
      <c r="D1442" s="24" t="s">
        <v>974</v>
      </c>
      <c r="E1442" s="24" t="s">
        <v>1254</v>
      </c>
      <c r="F1442" s="24" t="s">
        <v>9</v>
      </c>
      <c r="G1442" s="24" t="s">
        <v>8</v>
      </c>
      <c r="H1442" s="24" t="s">
        <v>1249</v>
      </c>
      <c r="I1442" s="27">
        <v>2345.25</v>
      </c>
    </row>
    <row r="1443" spans="2:9" ht="16">
      <c r="B1443" s="24" t="s">
        <v>77</v>
      </c>
      <c r="C1443" s="24" t="s">
        <v>13</v>
      </c>
      <c r="D1443" s="24" t="s">
        <v>601</v>
      </c>
      <c r="E1443" s="24" t="s">
        <v>1255</v>
      </c>
      <c r="F1443" s="24" t="s">
        <v>9</v>
      </c>
      <c r="G1443" s="24" t="s">
        <v>8</v>
      </c>
      <c r="H1443" s="24" t="s">
        <v>1256</v>
      </c>
      <c r="I1443" s="27">
        <v>2345.25</v>
      </c>
    </row>
    <row r="1444" spans="2:9" ht="16">
      <c r="B1444" s="24" t="s">
        <v>77</v>
      </c>
      <c r="C1444" s="24" t="s">
        <v>13</v>
      </c>
      <c r="D1444" s="24" t="s">
        <v>616</v>
      </c>
      <c r="E1444" s="24" t="s">
        <v>1257</v>
      </c>
      <c r="F1444" s="24" t="s">
        <v>9</v>
      </c>
      <c r="G1444" s="24" t="s">
        <v>8</v>
      </c>
      <c r="H1444" s="24" t="s">
        <v>1258</v>
      </c>
      <c r="I1444" s="27">
        <v>2345.25</v>
      </c>
    </row>
    <row r="1445" spans="2:9" ht="16">
      <c r="B1445" s="24" t="s">
        <v>77</v>
      </c>
      <c r="C1445" s="24" t="s">
        <v>13</v>
      </c>
      <c r="D1445" s="24" t="s">
        <v>1028</v>
      </c>
      <c r="E1445" s="24" t="s">
        <v>1259</v>
      </c>
      <c r="F1445" s="24" t="s">
        <v>9</v>
      </c>
      <c r="G1445" s="24" t="s">
        <v>8</v>
      </c>
      <c r="H1445" s="24" t="s">
        <v>1260</v>
      </c>
      <c r="I1445" s="27">
        <v>691.67</v>
      </c>
    </row>
    <row r="1446" spans="2:9" ht="16">
      <c r="B1446" s="24" t="s">
        <v>77</v>
      </c>
      <c r="C1446" s="24" t="s">
        <v>13</v>
      </c>
      <c r="D1446" s="24" t="s">
        <v>971</v>
      </c>
      <c r="E1446" s="24" t="s">
        <v>1261</v>
      </c>
      <c r="F1446" s="24" t="s">
        <v>9</v>
      </c>
      <c r="G1446" s="24" t="s">
        <v>8</v>
      </c>
      <c r="H1446" s="24" t="s">
        <v>1262</v>
      </c>
      <c r="I1446" s="27">
        <v>195.0</v>
      </c>
    </row>
    <row r="1447" spans="2:9" ht="16">
      <c r="B1447" s="24" t="s">
        <v>77</v>
      </c>
      <c r="C1447" s="24" t="s">
        <v>13</v>
      </c>
      <c r="D1447" s="24" t="s">
        <v>988</v>
      </c>
      <c r="E1447" s="24" t="s">
        <v>1263</v>
      </c>
      <c r="F1447" s="24" t="s">
        <v>9</v>
      </c>
      <c r="G1447" s="24" t="s">
        <v>8</v>
      </c>
      <c r="H1447" s="24" t="s">
        <v>1264</v>
      </c>
      <c r="I1447" s="27">
        <v>195.0</v>
      </c>
    </row>
    <row r="1448" spans="2:9" ht="16">
      <c r="B1448" s="24" t="s">
        <v>77</v>
      </c>
      <c r="C1448" s="24" t="s">
        <v>13</v>
      </c>
      <c r="D1448" s="24" t="s">
        <v>1239</v>
      </c>
      <c r="E1448" s="24" t="s">
        <v>1265</v>
      </c>
      <c r="F1448" s="24" t="s">
        <v>9</v>
      </c>
      <c r="G1448" s="24" t="s">
        <v>8</v>
      </c>
      <c r="H1448" s="24" t="s">
        <v>527</v>
      </c>
      <c r="I1448" s="27">
        <v>566.67</v>
      </c>
    </row>
    <row r="1449" spans="1:9" ht="16">
      <c r="A1449" s="35" t="s">
        <v>81</v>
      </c>
      <c r="I1449" s="28">
        <f>I1432+I1433+I1434+I1435+I1436+I1437+I1438+I1439+I1440+I1441+I1442+I1443+I1444+I1445+I1446+I1447+I1448</f>
        <v>18734.729999999996</v>
      </c>
    </row>
    <row r="1450" spans="1:1" ht="16">
      <c r="A1450" s="34" t="s">
        <v>1238</v>
      </c>
    </row>
    <row r="1451" spans="2:9" ht="16">
      <c r="B1451" s="24" t="s">
        <v>51</v>
      </c>
      <c r="C1451" s="24" t="s">
        <v>6</v>
      </c>
      <c r="D1451" s="24" t="s">
        <v>1206</v>
      </c>
      <c r="E1451" s="24" t="s">
        <v>8</v>
      </c>
      <c r="F1451" s="24" t="s">
        <v>9</v>
      </c>
      <c r="G1451" s="24" t="s">
        <v>8</v>
      </c>
      <c r="H1451" s="24" t="s">
        <v>53</v>
      </c>
      <c r="I1451" s="27">
        <v>775.08</v>
      </c>
    </row>
    <row r="1452" spans="2:9" ht="16">
      <c r="B1452" s="24" t="s">
        <v>961</v>
      </c>
      <c r="C1452" s="24" t="s">
        <v>6</v>
      </c>
      <c r="D1452" s="24" t="s">
        <v>962</v>
      </c>
      <c r="E1452" s="24" t="s">
        <v>8</v>
      </c>
      <c r="F1452" s="24" t="s">
        <v>9</v>
      </c>
      <c r="G1452" s="24" t="s">
        <v>8</v>
      </c>
      <c r="H1452" s="24" t="s">
        <v>1266</v>
      </c>
      <c r="I1452" s="27">
        <v>1407.0</v>
      </c>
    </row>
    <row r="1453" spans="2:9" ht="16">
      <c r="B1453" s="24" t="s">
        <v>51</v>
      </c>
      <c r="C1453" s="24" t="s">
        <v>6</v>
      </c>
      <c r="D1453" s="24" t="s">
        <v>1206</v>
      </c>
      <c r="E1453" s="24" t="s">
        <v>8</v>
      </c>
      <c r="F1453" s="24" t="s">
        <v>9</v>
      </c>
      <c r="G1453" s="24" t="s">
        <v>8</v>
      </c>
      <c r="H1453" s="24" t="s">
        <v>1267</v>
      </c>
      <c r="I1453" s="27">
        <v>-600.72</v>
      </c>
    </row>
    <row r="1454" spans="2:9" ht="16">
      <c r="B1454" s="24" t="s">
        <v>8</v>
      </c>
      <c r="C1454" s="24" t="s">
        <v>150</v>
      </c>
      <c r="D1454" s="24" t="s">
        <v>1207</v>
      </c>
      <c r="E1454" s="24" t="s">
        <v>1268</v>
      </c>
      <c r="F1454" s="24" t="s">
        <v>9</v>
      </c>
      <c r="G1454" s="24" t="s">
        <v>8</v>
      </c>
      <c r="H1454" s="24" t="s">
        <v>1269</v>
      </c>
      <c r="I1454" s="27">
        <v>600.72</v>
      </c>
    </row>
    <row r="1455" spans="1:9" ht="16">
      <c r="A1455" s="35" t="s">
        <v>964</v>
      </c>
      <c r="I1455" s="28">
        <f>I1450+I1451+I1452+I1453+I1454</f>
        <v>2182.08</v>
      </c>
    </row>
    <row r="1456" spans="1:1" ht="16">
      <c r="A1456" s="34" t="s">
        <v>1238</v>
      </c>
    </row>
    <row r="1457" spans="2:9" ht="16">
      <c r="B1457" s="24" t="s">
        <v>1270</v>
      </c>
      <c r="C1457" s="24" t="s">
        <v>6</v>
      </c>
      <c r="D1457" s="24" t="s">
        <v>516</v>
      </c>
      <c r="E1457" s="24" t="s">
        <v>8</v>
      </c>
      <c r="F1457" s="24" t="s">
        <v>42</v>
      </c>
      <c r="G1457" s="24" t="s">
        <v>8</v>
      </c>
      <c r="H1457" s="24" t="s">
        <v>1271</v>
      </c>
      <c r="I1457" s="27">
        <v>16.37</v>
      </c>
    </row>
    <row r="1458" spans="2:9" ht="16">
      <c r="B1458" s="24" t="s">
        <v>250</v>
      </c>
      <c r="C1458" s="24" t="s">
        <v>6</v>
      </c>
      <c r="D1458" s="24" t="s">
        <v>984</v>
      </c>
      <c r="E1458" s="24" t="s">
        <v>8</v>
      </c>
      <c r="F1458" s="24" t="s">
        <v>42</v>
      </c>
      <c r="G1458" s="24" t="s">
        <v>8</v>
      </c>
      <c r="H1458" s="24" t="s">
        <v>1272</v>
      </c>
      <c r="I1458" s="27">
        <v>15.74</v>
      </c>
    </row>
    <row r="1459" spans="2:9" ht="16">
      <c r="B1459" s="24" t="s">
        <v>794</v>
      </c>
      <c r="C1459" s="24" t="s">
        <v>6</v>
      </c>
      <c r="D1459" s="24" t="s">
        <v>1102</v>
      </c>
      <c r="E1459" s="24" t="s">
        <v>8</v>
      </c>
      <c r="F1459" s="24" t="s">
        <v>42</v>
      </c>
      <c r="G1459" s="24" t="s">
        <v>8</v>
      </c>
      <c r="H1459" s="24" t="s">
        <v>1273</v>
      </c>
      <c r="I1459" s="27">
        <v>16.72</v>
      </c>
    </row>
    <row r="1460" spans="1:9" ht="16">
      <c r="A1460" s="35" t="s">
        <v>797</v>
      </c>
      <c r="I1460" s="28">
        <f>I1456+I1457+I1458+I1459</f>
        <v>48.83</v>
      </c>
    </row>
    <row r="1461" spans="1:1" ht="16">
      <c r="A1461" s="34" t="s">
        <v>1238</v>
      </c>
    </row>
    <row r="1462" spans="2:9" ht="16">
      <c r="B1462" s="24" t="s">
        <v>21</v>
      </c>
      <c r="C1462" s="24" t="s">
        <v>13</v>
      </c>
      <c r="D1462" s="24" t="s">
        <v>451</v>
      </c>
      <c r="E1462" s="24" t="s">
        <v>1274</v>
      </c>
      <c r="F1462" s="24" t="s">
        <v>9</v>
      </c>
      <c r="G1462" s="24" t="s">
        <v>8</v>
      </c>
      <c r="H1462" s="24" t="s">
        <v>1275</v>
      </c>
      <c r="I1462" s="27">
        <v>6097.45</v>
      </c>
    </row>
    <row r="1463" spans="2:9" ht="16">
      <c r="B1463" s="24" t="s">
        <v>589</v>
      </c>
      <c r="C1463" s="24" t="s">
        <v>6</v>
      </c>
      <c r="D1463" s="24" t="s">
        <v>1276</v>
      </c>
      <c r="E1463" s="24" t="s">
        <v>8</v>
      </c>
      <c r="F1463" s="24" t="s">
        <v>9</v>
      </c>
      <c r="G1463" s="24" t="s">
        <v>8</v>
      </c>
      <c r="H1463" s="24" t="s">
        <v>1277</v>
      </c>
      <c r="I1463" s="27">
        <v>340.74</v>
      </c>
    </row>
    <row r="1464" spans="2:9" ht="16">
      <c r="B1464" s="24" t="s">
        <v>589</v>
      </c>
      <c r="C1464" s="24" t="s">
        <v>6</v>
      </c>
      <c r="D1464" s="24" t="s">
        <v>1276</v>
      </c>
      <c r="E1464" s="24" t="s">
        <v>8</v>
      </c>
      <c r="F1464" s="24" t="s">
        <v>9</v>
      </c>
      <c r="G1464" s="24" t="s">
        <v>8</v>
      </c>
      <c r="H1464" s="24" t="s">
        <v>1277</v>
      </c>
      <c r="I1464" s="27">
        <v>-340.74</v>
      </c>
    </row>
    <row r="1465" spans="2:9" ht="16">
      <c r="B1465" s="24" t="s">
        <v>589</v>
      </c>
      <c r="C1465" s="24" t="s">
        <v>6</v>
      </c>
      <c r="D1465" s="24" t="s">
        <v>978</v>
      </c>
      <c r="E1465" s="24" t="s">
        <v>8</v>
      </c>
      <c r="F1465" s="24" t="s">
        <v>9</v>
      </c>
      <c r="G1465" s="24" t="s">
        <v>8</v>
      </c>
      <c r="H1465" s="24" t="s">
        <v>1278</v>
      </c>
      <c r="I1465" s="27">
        <v>-110.54</v>
      </c>
    </row>
    <row r="1466" spans="2:9" ht="16">
      <c r="B1466" s="24" t="s">
        <v>589</v>
      </c>
      <c r="C1466" s="24" t="s">
        <v>6</v>
      </c>
      <c r="D1466" s="24" t="s">
        <v>978</v>
      </c>
      <c r="E1466" s="24" t="s">
        <v>8</v>
      </c>
      <c r="F1466" s="24" t="s">
        <v>9</v>
      </c>
      <c r="G1466" s="24" t="s">
        <v>8</v>
      </c>
      <c r="H1466" s="24" t="s">
        <v>1278</v>
      </c>
      <c r="I1466" s="27">
        <v>110.54</v>
      </c>
    </row>
    <row r="1467" spans="2:9" ht="16">
      <c r="B1467" s="24" t="s">
        <v>21</v>
      </c>
      <c r="C1467" s="24" t="s">
        <v>13</v>
      </c>
      <c r="D1467" s="24" t="s">
        <v>1279</v>
      </c>
      <c r="E1467" s="24" t="s">
        <v>1280</v>
      </c>
      <c r="F1467" s="24" t="s">
        <v>9</v>
      </c>
      <c r="G1467" s="24" t="s">
        <v>8</v>
      </c>
      <c r="H1467" s="24" t="s">
        <v>1281</v>
      </c>
      <c r="I1467" s="27">
        <v>1520.52</v>
      </c>
    </row>
    <row r="1468" spans="2:9" ht="16">
      <c r="B1468" s="24" t="s">
        <v>21</v>
      </c>
      <c r="C1468" s="24" t="s">
        <v>13</v>
      </c>
      <c r="D1468" s="24" t="s">
        <v>1279</v>
      </c>
      <c r="E1468" s="24" t="s">
        <v>1282</v>
      </c>
      <c r="F1468" s="24" t="s">
        <v>9</v>
      </c>
      <c r="G1468" s="24" t="s">
        <v>8</v>
      </c>
      <c r="H1468" s="24" t="s">
        <v>1283</v>
      </c>
      <c r="I1468" s="27">
        <v>690.0</v>
      </c>
    </row>
    <row r="1469" spans="2:9" ht="16">
      <c r="B1469" s="24" t="s">
        <v>17</v>
      </c>
      <c r="C1469" s="24" t="s">
        <v>6</v>
      </c>
      <c r="D1469" s="24" t="s">
        <v>1105</v>
      </c>
      <c r="E1469" s="24" t="s">
        <v>8</v>
      </c>
      <c r="F1469" s="24" t="s">
        <v>9</v>
      </c>
      <c r="G1469" s="24" t="s">
        <v>8</v>
      </c>
      <c r="H1469" s="24" t="s">
        <v>1284</v>
      </c>
      <c r="I1469" s="27">
        <v>182.1</v>
      </c>
    </row>
    <row r="1470" spans="2:9" ht="16">
      <c r="B1470" s="24" t="s">
        <v>589</v>
      </c>
      <c r="C1470" s="24" t="s">
        <v>6</v>
      </c>
      <c r="D1470" s="24" t="s">
        <v>558</v>
      </c>
      <c r="E1470" s="24" t="s">
        <v>8</v>
      </c>
      <c r="F1470" s="24" t="s">
        <v>9</v>
      </c>
      <c r="G1470" s="24" t="s">
        <v>8</v>
      </c>
      <c r="H1470" s="24" t="s">
        <v>591</v>
      </c>
      <c r="I1470" s="27">
        <v>83.54</v>
      </c>
    </row>
    <row r="1471" spans="2:9" ht="16">
      <c r="B1471" s="24" t="s">
        <v>589</v>
      </c>
      <c r="C1471" s="24" t="s">
        <v>6</v>
      </c>
      <c r="D1471" s="24" t="s">
        <v>971</v>
      </c>
      <c r="E1471" s="24" t="s">
        <v>8</v>
      </c>
      <c r="F1471" s="24" t="s">
        <v>9</v>
      </c>
      <c r="G1471" s="24" t="s">
        <v>8</v>
      </c>
      <c r="H1471" s="24" t="s">
        <v>591</v>
      </c>
      <c r="I1471" s="27">
        <v>-56.11</v>
      </c>
    </row>
    <row r="1472" spans="2:9" ht="16">
      <c r="B1472" s="24" t="s">
        <v>589</v>
      </c>
      <c r="C1472" s="24" t="s">
        <v>6</v>
      </c>
      <c r="D1472" s="24" t="s">
        <v>978</v>
      </c>
      <c r="E1472" s="24" t="s">
        <v>8</v>
      </c>
      <c r="F1472" s="24" t="s">
        <v>9</v>
      </c>
      <c r="G1472" s="24" t="s">
        <v>8</v>
      </c>
      <c r="H1472" s="24" t="s">
        <v>591</v>
      </c>
      <c r="I1472" s="27">
        <v>17.28</v>
      </c>
    </row>
    <row r="1473" spans="2:9" ht="16">
      <c r="B1473" s="24" t="s">
        <v>589</v>
      </c>
      <c r="C1473" s="24" t="s">
        <v>6</v>
      </c>
      <c r="D1473" s="24" t="s">
        <v>971</v>
      </c>
      <c r="E1473" s="24" t="s">
        <v>8</v>
      </c>
      <c r="F1473" s="24" t="s">
        <v>9</v>
      </c>
      <c r="G1473" s="24" t="s">
        <v>8</v>
      </c>
      <c r="H1473" s="24" t="s">
        <v>591</v>
      </c>
      <c r="I1473" s="27">
        <v>56.11</v>
      </c>
    </row>
    <row r="1474" spans="2:9" ht="16">
      <c r="B1474" s="24" t="s">
        <v>589</v>
      </c>
      <c r="C1474" s="24" t="s">
        <v>6</v>
      </c>
      <c r="D1474" s="24" t="s">
        <v>1028</v>
      </c>
      <c r="E1474" s="24" t="s">
        <v>8</v>
      </c>
      <c r="F1474" s="24" t="s">
        <v>9</v>
      </c>
      <c r="G1474" s="24" t="s">
        <v>8</v>
      </c>
      <c r="H1474" s="24" t="s">
        <v>591</v>
      </c>
      <c r="I1474" s="27">
        <v>46.21</v>
      </c>
    </row>
    <row r="1475" spans="2:9" ht="16">
      <c r="B1475" s="24" t="s">
        <v>589</v>
      </c>
      <c r="C1475" s="24" t="s">
        <v>6</v>
      </c>
      <c r="D1475" s="24" t="s">
        <v>1028</v>
      </c>
      <c r="E1475" s="24" t="s">
        <v>8</v>
      </c>
      <c r="F1475" s="24" t="s">
        <v>9</v>
      </c>
      <c r="G1475" s="24" t="s">
        <v>8</v>
      </c>
      <c r="H1475" s="24" t="s">
        <v>591</v>
      </c>
      <c r="I1475" s="27">
        <v>-46.21</v>
      </c>
    </row>
    <row r="1476" spans="2:9" ht="16">
      <c r="B1476" s="24" t="s">
        <v>589</v>
      </c>
      <c r="C1476" s="24" t="s">
        <v>6</v>
      </c>
      <c r="D1476" s="24" t="s">
        <v>558</v>
      </c>
      <c r="E1476" s="24" t="s">
        <v>8</v>
      </c>
      <c r="F1476" s="24" t="s">
        <v>9</v>
      </c>
      <c r="G1476" s="24" t="s">
        <v>8</v>
      </c>
      <c r="H1476" s="24" t="s">
        <v>591</v>
      </c>
      <c r="I1476" s="27">
        <v>-26.23</v>
      </c>
    </row>
    <row r="1477" spans="2:9" ht="16">
      <c r="B1477" s="24" t="s">
        <v>589</v>
      </c>
      <c r="C1477" s="24" t="s">
        <v>6</v>
      </c>
      <c r="D1477" s="24" t="s">
        <v>558</v>
      </c>
      <c r="E1477" s="24" t="s">
        <v>8</v>
      </c>
      <c r="F1477" s="24" t="s">
        <v>9</v>
      </c>
      <c r="G1477" s="24" t="s">
        <v>8</v>
      </c>
      <c r="H1477" s="24" t="s">
        <v>591</v>
      </c>
      <c r="I1477" s="27">
        <v>26.23</v>
      </c>
    </row>
    <row r="1478" spans="2:9" ht="16">
      <c r="B1478" s="24" t="s">
        <v>589</v>
      </c>
      <c r="C1478" s="24" t="s">
        <v>6</v>
      </c>
      <c r="D1478" s="24" t="s">
        <v>558</v>
      </c>
      <c r="E1478" s="24" t="s">
        <v>8</v>
      </c>
      <c r="F1478" s="24" t="s">
        <v>9</v>
      </c>
      <c r="G1478" s="24" t="s">
        <v>8</v>
      </c>
      <c r="H1478" s="24" t="s">
        <v>591</v>
      </c>
      <c r="I1478" s="27">
        <v>-83.54</v>
      </c>
    </row>
    <row r="1479" spans="2:9" ht="16">
      <c r="B1479" s="24" t="s">
        <v>186</v>
      </c>
      <c r="C1479" s="24" t="s">
        <v>13</v>
      </c>
      <c r="D1479" s="24" t="s">
        <v>1285</v>
      </c>
      <c r="E1479" s="24" t="s">
        <v>1286</v>
      </c>
      <c r="F1479" s="24" t="s">
        <v>9</v>
      </c>
      <c r="G1479" s="24" t="s">
        <v>8</v>
      </c>
      <c r="H1479" s="24" t="s">
        <v>1287</v>
      </c>
      <c r="I1479" s="27">
        <v>267.61</v>
      </c>
    </row>
    <row r="1480" spans="2:9" ht="16">
      <c r="B1480" s="24" t="s">
        <v>1288</v>
      </c>
      <c r="C1480" s="24" t="s">
        <v>6</v>
      </c>
      <c r="D1480" s="24" t="s">
        <v>460</v>
      </c>
      <c r="E1480" s="24" t="s">
        <v>8</v>
      </c>
      <c r="F1480" s="24" t="s">
        <v>9</v>
      </c>
      <c r="G1480" s="24" t="s">
        <v>8</v>
      </c>
      <c r="H1480" s="24" t="s">
        <v>1289</v>
      </c>
      <c r="I1480" s="27">
        <v>6.39</v>
      </c>
    </row>
    <row r="1481" spans="2:9" ht="16">
      <c r="B1481" s="24" t="s">
        <v>1288</v>
      </c>
      <c r="C1481" s="24" t="s">
        <v>6</v>
      </c>
      <c r="D1481" s="24" t="s">
        <v>988</v>
      </c>
      <c r="E1481" s="24" t="s">
        <v>8</v>
      </c>
      <c r="F1481" s="24" t="s">
        <v>9</v>
      </c>
      <c r="G1481" s="24" t="s">
        <v>8</v>
      </c>
      <c r="H1481" s="24" t="s">
        <v>1289</v>
      </c>
      <c r="I1481" s="27">
        <v>6.38</v>
      </c>
    </row>
    <row r="1482" spans="2:9" ht="16">
      <c r="B1482" s="24" t="s">
        <v>1288</v>
      </c>
      <c r="C1482" s="24" t="s">
        <v>6</v>
      </c>
      <c r="D1482" s="24" t="s">
        <v>460</v>
      </c>
      <c r="E1482" s="24" t="s">
        <v>8</v>
      </c>
      <c r="F1482" s="24" t="s">
        <v>9</v>
      </c>
      <c r="G1482" s="24" t="s">
        <v>8</v>
      </c>
      <c r="H1482" s="24" t="s">
        <v>1289</v>
      </c>
      <c r="I1482" s="27">
        <v>6.6</v>
      </c>
    </row>
    <row r="1483" spans="2:9" ht="16">
      <c r="B1483" s="24" t="s">
        <v>155</v>
      </c>
      <c r="C1483" s="24" t="s">
        <v>13</v>
      </c>
      <c r="D1483" s="24" t="s">
        <v>1290</v>
      </c>
      <c r="E1483" s="24" t="s">
        <v>1291</v>
      </c>
      <c r="F1483" s="24" t="s">
        <v>9</v>
      </c>
      <c r="G1483" s="24" t="s">
        <v>8</v>
      </c>
      <c r="H1483" s="24" t="s">
        <v>1292</v>
      </c>
      <c r="I1483" s="27">
        <v>44.04</v>
      </c>
    </row>
    <row r="1484" spans="2:9" ht="16">
      <c r="B1484" s="24" t="s">
        <v>21</v>
      </c>
      <c r="C1484" s="24" t="s">
        <v>13</v>
      </c>
      <c r="D1484" s="24" t="s">
        <v>1252</v>
      </c>
      <c r="E1484" s="24" t="s">
        <v>1293</v>
      </c>
      <c r="F1484" s="24" t="s">
        <v>9</v>
      </c>
      <c r="G1484" s="24" t="s">
        <v>8</v>
      </c>
      <c r="H1484" s="24" t="s">
        <v>1294</v>
      </c>
      <c r="I1484" s="27">
        <v>1692.0</v>
      </c>
    </row>
    <row r="1485" spans="2:9" ht="16">
      <c r="B1485" s="24" t="s">
        <v>1295</v>
      </c>
      <c r="C1485" s="24" t="s">
        <v>6</v>
      </c>
      <c r="D1485" s="24" t="s">
        <v>988</v>
      </c>
      <c r="E1485" s="24" t="s">
        <v>8</v>
      </c>
      <c r="F1485" s="24" t="s">
        <v>9</v>
      </c>
      <c r="G1485" s="24" t="s">
        <v>8</v>
      </c>
      <c r="H1485" s="24" t="s">
        <v>1296</v>
      </c>
      <c r="I1485" s="27">
        <v>28.51</v>
      </c>
    </row>
    <row r="1486" spans="2:9" ht="16">
      <c r="B1486" s="24" t="s">
        <v>21</v>
      </c>
      <c r="C1486" s="24" t="s">
        <v>13</v>
      </c>
      <c r="D1486" s="24" t="s">
        <v>460</v>
      </c>
      <c r="E1486" s="24" t="s">
        <v>1297</v>
      </c>
      <c r="F1486" s="24" t="s">
        <v>9</v>
      </c>
      <c r="G1486" s="24" t="s">
        <v>8</v>
      </c>
      <c r="H1486" s="24" t="s">
        <v>834</v>
      </c>
      <c r="I1486" s="27">
        <v>464.21</v>
      </c>
    </row>
    <row r="1487" spans="2:9" ht="16">
      <c r="B1487" s="24" t="s">
        <v>21</v>
      </c>
      <c r="C1487" s="24" t="s">
        <v>13</v>
      </c>
      <c r="D1487" s="24" t="s">
        <v>616</v>
      </c>
      <c r="E1487" s="24" t="s">
        <v>1298</v>
      </c>
      <c r="F1487" s="24" t="s">
        <v>9</v>
      </c>
      <c r="G1487" s="24" t="s">
        <v>8</v>
      </c>
      <c r="H1487" s="24" t="s">
        <v>837</v>
      </c>
      <c r="I1487" s="27">
        <v>1414.6</v>
      </c>
    </row>
    <row r="1488" spans="2:9" ht="16">
      <c r="B1488" s="24" t="s">
        <v>21</v>
      </c>
      <c r="C1488" s="24" t="s">
        <v>13</v>
      </c>
      <c r="D1488" s="24" t="s">
        <v>998</v>
      </c>
      <c r="E1488" s="24" t="s">
        <v>1299</v>
      </c>
      <c r="F1488" s="24" t="s">
        <v>9</v>
      </c>
      <c r="G1488" s="24" t="s">
        <v>8</v>
      </c>
      <c r="H1488" s="24" t="s">
        <v>837</v>
      </c>
      <c r="I1488" s="27">
        <v>173.7</v>
      </c>
    </row>
    <row r="1489" spans="2:9" ht="16">
      <c r="B1489" s="24" t="s">
        <v>21</v>
      </c>
      <c r="C1489" s="24" t="s">
        <v>13</v>
      </c>
      <c r="D1489" s="24" t="s">
        <v>460</v>
      </c>
      <c r="E1489" s="24" t="s">
        <v>1300</v>
      </c>
      <c r="F1489" s="24" t="s">
        <v>9</v>
      </c>
      <c r="G1489" s="24" t="s">
        <v>8</v>
      </c>
      <c r="H1489" s="24" t="s">
        <v>837</v>
      </c>
      <c r="I1489" s="27">
        <v>301.08</v>
      </c>
    </row>
    <row r="1490" spans="2:9" ht="16">
      <c r="B1490" s="24" t="s">
        <v>21</v>
      </c>
      <c r="C1490" s="24" t="s">
        <v>13</v>
      </c>
      <c r="D1490" s="24" t="s">
        <v>1301</v>
      </c>
      <c r="E1490" s="24" t="s">
        <v>1302</v>
      </c>
      <c r="F1490" s="24" t="s">
        <v>9</v>
      </c>
      <c r="G1490" s="24" t="s">
        <v>8</v>
      </c>
      <c r="H1490" s="24" t="s">
        <v>837</v>
      </c>
      <c r="I1490" s="27">
        <v>231.6</v>
      </c>
    </row>
    <row r="1491" spans="2:9" ht="16">
      <c r="B1491" s="24" t="s">
        <v>21</v>
      </c>
      <c r="C1491" s="24" t="s">
        <v>13</v>
      </c>
      <c r="D1491" s="24" t="s">
        <v>460</v>
      </c>
      <c r="E1491" s="24" t="s">
        <v>1303</v>
      </c>
      <c r="F1491" s="24" t="s">
        <v>9</v>
      </c>
      <c r="G1491" s="24" t="s">
        <v>8</v>
      </c>
      <c r="H1491" s="24" t="s">
        <v>837</v>
      </c>
      <c r="I1491" s="27">
        <v>846.0</v>
      </c>
    </row>
    <row r="1492" spans="2:9" ht="16">
      <c r="B1492" s="24" t="s">
        <v>21</v>
      </c>
      <c r="C1492" s="24" t="s">
        <v>13</v>
      </c>
      <c r="D1492" s="24" t="s">
        <v>1304</v>
      </c>
      <c r="E1492" s="24" t="s">
        <v>1305</v>
      </c>
      <c r="F1492" s="24" t="s">
        <v>9</v>
      </c>
      <c r="G1492" s="24" t="s">
        <v>8</v>
      </c>
      <c r="H1492" s="24" t="s">
        <v>837</v>
      </c>
      <c r="I1492" s="27">
        <v>225.6</v>
      </c>
    </row>
    <row r="1493" spans="2:9" ht="16">
      <c r="B1493" s="24" t="s">
        <v>155</v>
      </c>
      <c r="C1493" s="24" t="s">
        <v>13</v>
      </c>
      <c r="D1493" s="24" t="s">
        <v>503</v>
      </c>
      <c r="E1493" s="24" t="s">
        <v>1306</v>
      </c>
      <c r="F1493" s="24" t="s">
        <v>9</v>
      </c>
      <c r="G1493" s="24" t="s">
        <v>8</v>
      </c>
      <c r="H1493" s="24" t="s">
        <v>1307</v>
      </c>
      <c r="I1493" s="27">
        <v>162.03</v>
      </c>
    </row>
    <row r="1494" spans="2:9" ht="16">
      <c r="B1494" s="24" t="s">
        <v>186</v>
      </c>
      <c r="C1494" s="24" t="s">
        <v>6</v>
      </c>
      <c r="D1494" s="24" t="s">
        <v>1308</v>
      </c>
      <c r="E1494" s="24" t="s">
        <v>8</v>
      </c>
      <c r="F1494" s="24" t="s">
        <v>9</v>
      </c>
      <c r="G1494" s="24" t="s">
        <v>8</v>
      </c>
      <c r="H1494" s="24" t="s">
        <v>1309</v>
      </c>
      <c r="I1494" s="27">
        <v>911.54</v>
      </c>
    </row>
    <row r="1495" spans="2:9" ht="16">
      <c r="B1495" s="24" t="s">
        <v>186</v>
      </c>
      <c r="C1495" s="24" t="s">
        <v>6</v>
      </c>
      <c r="D1495" s="24" t="s">
        <v>1308</v>
      </c>
      <c r="E1495" s="24" t="s">
        <v>8</v>
      </c>
      <c r="F1495" s="24" t="s">
        <v>9</v>
      </c>
      <c r="G1495" s="24" t="s">
        <v>8</v>
      </c>
      <c r="H1495" s="24" t="s">
        <v>1309</v>
      </c>
      <c r="I1495" s="27">
        <v>4197.25</v>
      </c>
    </row>
    <row r="1496" spans="2:9" ht="16">
      <c r="B1496" s="24" t="s">
        <v>21</v>
      </c>
      <c r="C1496" s="24" t="s">
        <v>13</v>
      </c>
      <c r="D1496" s="24" t="s">
        <v>1285</v>
      </c>
      <c r="E1496" s="24" t="s">
        <v>1310</v>
      </c>
      <c r="F1496" s="24" t="s">
        <v>9</v>
      </c>
      <c r="G1496" s="24" t="s">
        <v>8</v>
      </c>
      <c r="H1496" s="24" t="s">
        <v>1311</v>
      </c>
      <c r="I1496" s="27">
        <v>8492.62</v>
      </c>
    </row>
    <row r="1497" spans="2:9" ht="16">
      <c r="B1497" s="24" t="s">
        <v>21</v>
      </c>
      <c r="C1497" s="24" t="s">
        <v>13</v>
      </c>
      <c r="D1497" s="24" t="s">
        <v>1285</v>
      </c>
      <c r="E1497" s="24" t="s">
        <v>1312</v>
      </c>
      <c r="F1497" s="24" t="s">
        <v>9</v>
      </c>
      <c r="G1497" s="24" t="s">
        <v>8</v>
      </c>
      <c r="H1497" s="24" t="s">
        <v>1313</v>
      </c>
      <c r="I1497" s="27">
        <v>7653.8</v>
      </c>
    </row>
    <row r="1498" spans="2:9" ht="16">
      <c r="B1498" s="24" t="s">
        <v>21</v>
      </c>
      <c r="C1498" s="24" t="s">
        <v>13</v>
      </c>
      <c r="D1498" s="24" t="s">
        <v>1285</v>
      </c>
      <c r="E1498" s="24" t="s">
        <v>1314</v>
      </c>
      <c r="F1498" s="24" t="s">
        <v>9</v>
      </c>
      <c r="G1498" s="24" t="s">
        <v>8</v>
      </c>
      <c r="H1498" s="24" t="s">
        <v>1315</v>
      </c>
      <c r="I1498" s="27">
        <v>3016.08</v>
      </c>
    </row>
    <row r="1499" spans="2:9" ht="16">
      <c r="B1499" s="24" t="s">
        <v>21</v>
      </c>
      <c r="C1499" s="24" t="s">
        <v>13</v>
      </c>
      <c r="D1499" s="24" t="s">
        <v>1285</v>
      </c>
      <c r="E1499" s="24" t="s">
        <v>1316</v>
      </c>
      <c r="F1499" s="24" t="s">
        <v>9</v>
      </c>
      <c r="G1499" s="24" t="s">
        <v>8</v>
      </c>
      <c r="H1499" s="24" t="s">
        <v>1317</v>
      </c>
      <c r="I1499" s="27">
        <v>767.48</v>
      </c>
    </row>
    <row r="1500" spans="2:9" ht="16">
      <c r="B1500" s="24" t="s">
        <v>21</v>
      </c>
      <c r="C1500" s="24" t="s">
        <v>13</v>
      </c>
      <c r="D1500" s="24" t="s">
        <v>559</v>
      </c>
      <c r="E1500" s="24" t="s">
        <v>1318</v>
      </c>
      <c r="F1500" s="24" t="s">
        <v>9</v>
      </c>
      <c r="G1500" s="24" t="s">
        <v>8</v>
      </c>
      <c r="H1500" s="24" t="s">
        <v>1319</v>
      </c>
      <c r="I1500" s="27">
        <v>5563.53</v>
      </c>
    </row>
    <row r="1501" spans="2:9" ht="16">
      <c r="B1501" s="24" t="s">
        <v>21</v>
      </c>
      <c r="C1501" s="24" t="s">
        <v>13</v>
      </c>
      <c r="D1501" s="24" t="s">
        <v>559</v>
      </c>
      <c r="E1501" s="24" t="s">
        <v>1320</v>
      </c>
      <c r="F1501" s="24" t="s">
        <v>9</v>
      </c>
      <c r="G1501" s="24" t="s">
        <v>8</v>
      </c>
      <c r="H1501" s="24" t="s">
        <v>1321</v>
      </c>
      <c r="I1501" s="27">
        <v>9461.73</v>
      </c>
    </row>
    <row r="1502" spans="2:9" ht="16">
      <c r="B1502" s="24" t="s">
        <v>186</v>
      </c>
      <c r="C1502" s="24" t="s">
        <v>13</v>
      </c>
      <c r="D1502" s="24" t="s">
        <v>451</v>
      </c>
      <c r="E1502" s="24" t="s">
        <v>1322</v>
      </c>
      <c r="F1502" s="24" t="s">
        <v>9</v>
      </c>
      <c r="G1502" s="24" t="s">
        <v>8</v>
      </c>
      <c r="H1502" s="24" t="s">
        <v>1323</v>
      </c>
      <c r="I1502" s="27">
        <v>1872.14</v>
      </c>
    </row>
    <row r="1503" spans="2:9" ht="16">
      <c r="B1503" s="24" t="s">
        <v>186</v>
      </c>
      <c r="C1503" s="24" t="s">
        <v>13</v>
      </c>
      <c r="D1503" s="24" t="s">
        <v>1324</v>
      </c>
      <c r="E1503" s="24" t="s">
        <v>1325</v>
      </c>
      <c r="F1503" s="24" t="s">
        <v>9</v>
      </c>
      <c r="G1503" s="24" t="s">
        <v>8</v>
      </c>
      <c r="H1503" s="24" t="s">
        <v>1323</v>
      </c>
      <c r="I1503" s="27">
        <v>531.7</v>
      </c>
    </row>
    <row r="1504" spans="2:9" ht="16">
      <c r="B1504" s="24" t="s">
        <v>186</v>
      </c>
      <c r="C1504" s="24" t="s">
        <v>13</v>
      </c>
      <c r="D1504" s="24" t="s">
        <v>1105</v>
      </c>
      <c r="E1504" s="24" t="s">
        <v>1326</v>
      </c>
      <c r="F1504" s="24" t="s">
        <v>9</v>
      </c>
      <c r="G1504" s="24" t="s">
        <v>8</v>
      </c>
      <c r="H1504" s="24" t="s">
        <v>1327</v>
      </c>
      <c r="I1504" s="27">
        <v>499.22</v>
      </c>
    </row>
    <row r="1505" spans="2:9" ht="16">
      <c r="B1505" s="24" t="s">
        <v>186</v>
      </c>
      <c r="C1505" s="24" t="s">
        <v>13</v>
      </c>
      <c r="D1505" s="24" t="s">
        <v>1324</v>
      </c>
      <c r="E1505" s="24" t="s">
        <v>1328</v>
      </c>
      <c r="F1505" s="24" t="s">
        <v>9</v>
      </c>
      <c r="G1505" s="24" t="s">
        <v>8</v>
      </c>
      <c r="H1505" s="24" t="s">
        <v>1329</v>
      </c>
      <c r="I1505" s="27">
        <v>4312.18</v>
      </c>
    </row>
    <row r="1506" spans="2:9" ht="16">
      <c r="B1506" s="24" t="s">
        <v>21</v>
      </c>
      <c r="C1506" s="24" t="s">
        <v>13</v>
      </c>
      <c r="D1506" s="24" t="s">
        <v>634</v>
      </c>
      <c r="E1506" s="24" t="s">
        <v>1330</v>
      </c>
      <c r="F1506" s="24" t="s">
        <v>9</v>
      </c>
      <c r="G1506" s="24" t="s">
        <v>8</v>
      </c>
      <c r="H1506" s="24" t="s">
        <v>1331</v>
      </c>
      <c r="I1506" s="27">
        <v>3843.0</v>
      </c>
    </row>
    <row r="1507" spans="2:9" ht="16">
      <c r="B1507" s="24" t="s">
        <v>21</v>
      </c>
      <c r="C1507" s="24" t="s">
        <v>13</v>
      </c>
      <c r="D1507" s="24" t="s">
        <v>634</v>
      </c>
      <c r="E1507" s="24" t="s">
        <v>1332</v>
      </c>
      <c r="F1507" s="24" t="s">
        <v>9</v>
      </c>
      <c r="G1507" s="24" t="s">
        <v>8</v>
      </c>
      <c r="H1507" s="24" t="s">
        <v>1333</v>
      </c>
      <c r="I1507" s="27">
        <v>7537.28</v>
      </c>
    </row>
    <row r="1508" spans="2:9" ht="16">
      <c r="B1508" s="24" t="s">
        <v>21</v>
      </c>
      <c r="C1508" s="24" t="s">
        <v>13</v>
      </c>
      <c r="D1508" s="24" t="s">
        <v>634</v>
      </c>
      <c r="E1508" s="24" t="s">
        <v>1334</v>
      </c>
      <c r="F1508" s="24" t="s">
        <v>9</v>
      </c>
      <c r="G1508" s="24" t="s">
        <v>8</v>
      </c>
      <c r="H1508" s="24" t="s">
        <v>1335</v>
      </c>
      <c r="I1508" s="27">
        <v>9959.93</v>
      </c>
    </row>
    <row r="1509" spans="2:9" ht="16">
      <c r="B1509" s="24" t="s">
        <v>186</v>
      </c>
      <c r="C1509" s="24" t="s">
        <v>13</v>
      </c>
      <c r="D1509" s="24" t="s">
        <v>978</v>
      </c>
      <c r="E1509" s="24" t="s">
        <v>1336</v>
      </c>
      <c r="F1509" s="24" t="s">
        <v>9</v>
      </c>
      <c r="G1509" s="24" t="s">
        <v>8</v>
      </c>
      <c r="H1509" s="24" t="s">
        <v>1337</v>
      </c>
      <c r="I1509" s="27">
        <v>2689.48</v>
      </c>
    </row>
    <row r="1510" spans="2:9" ht="16">
      <c r="B1510" s="24" t="s">
        <v>186</v>
      </c>
      <c r="C1510" s="24" t="s">
        <v>13</v>
      </c>
      <c r="D1510" s="24" t="s">
        <v>1090</v>
      </c>
      <c r="E1510" s="24" t="s">
        <v>1338</v>
      </c>
      <c r="F1510" s="24" t="s">
        <v>9</v>
      </c>
      <c r="G1510" s="24" t="s">
        <v>8</v>
      </c>
      <c r="H1510" s="24" t="s">
        <v>1339</v>
      </c>
      <c r="I1510" s="27">
        <v>78.72</v>
      </c>
    </row>
    <row r="1511" spans="2:9" ht="16">
      <c r="B1511" s="24" t="s">
        <v>186</v>
      </c>
      <c r="C1511" s="24" t="s">
        <v>13</v>
      </c>
      <c r="D1511" s="24" t="s">
        <v>551</v>
      </c>
      <c r="E1511" s="24" t="s">
        <v>1340</v>
      </c>
      <c r="F1511" s="24" t="s">
        <v>9</v>
      </c>
      <c r="G1511" s="24" t="s">
        <v>8</v>
      </c>
      <c r="H1511" s="24" t="s">
        <v>1341</v>
      </c>
      <c r="I1511" s="27">
        <v>1974.31</v>
      </c>
    </row>
    <row r="1512" spans="2:9" ht="16">
      <c r="B1512" s="24" t="s">
        <v>589</v>
      </c>
      <c r="C1512" s="24" t="s">
        <v>6</v>
      </c>
      <c r="D1512" s="24" t="s">
        <v>971</v>
      </c>
      <c r="E1512" s="24" t="s">
        <v>8</v>
      </c>
      <c r="F1512" s="24" t="s">
        <v>9</v>
      </c>
      <c r="G1512" s="24" t="s">
        <v>8</v>
      </c>
      <c r="H1512" s="24" t="s">
        <v>1342</v>
      </c>
      <c r="I1512" s="27">
        <v>-141.1</v>
      </c>
    </row>
    <row r="1513" spans="2:9" ht="16">
      <c r="B1513" s="24" t="s">
        <v>589</v>
      </c>
      <c r="C1513" s="24" t="s">
        <v>6</v>
      </c>
      <c r="D1513" s="24" t="s">
        <v>971</v>
      </c>
      <c r="E1513" s="24" t="s">
        <v>8</v>
      </c>
      <c r="F1513" s="24" t="s">
        <v>9</v>
      </c>
      <c r="G1513" s="24" t="s">
        <v>8</v>
      </c>
      <c r="H1513" s="24" t="s">
        <v>1342</v>
      </c>
      <c r="I1513" s="27">
        <v>141.1</v>
      </c>
    </row>
    <row r="1514" spans="2:9" ht="16">
      <c r="B1514" s="24" t="s">
        <v>589</v>
      </c>
      <c r="C1514" s="24" t="s">
        <v>6</v>
      </c>
      <c r="D1514" s="24" t="s">
        <v>561</v>
      </c>
      <c r="E1514" s="24" t="s">
        <v>1343</v>
      </c>
      <c r="F1514" s="24" t="s">
        <v>9</v>
      </c>
      <c r="G1514" s="24" t="s">
        <v>8</v>
      </c>
      <c r="H1514" s="24" t="s">
        <v>1344</v>
      </c>
      <c r="I1514" s="27">
        <v>211.65</v>
      </c>
    </row>
    <row r="1515" spans="2:9" ht="16">
      <c r="B1515" s="24" t="s">
        <v>127</v>
      </c>
      <c r="C1515" s="24" t="s">
        <v>6</v>
      </c>
      <c r="D1515" s="24" t="s">
        <v>561</v>
      </c>
      <c r="E1515" s="24" t="s">
        <v>8</v>
      </c>
      <c r="F1515" s="24" t="s">
        <v>9</v>
      </c>
      <c r="G1515" s="24" t="s">
        <v>8</v>
      </c>
      <c r="H1515" s="24" t="s">
        <v>1345</v>
      </c>
      <c r="I1515" s="27">
        <v>17.49</v>
      </c>
    </row>
    <row r="1516" spans="2:9" ht="16">
      <c r="B1516" s="24" t="s">
        <v>127</v>
      </c>
      <c r="C1516" s="24" t="s">
        <v>6</v>
      </c>
      <c r="D1516" s="24" t="s">
        <v>540</v>
      </c>
      <c r="E1516" s="24" t="s">
        <v>8</v>
      </c>
      <c r="F1516" s="24" t="s">
        <v>9</v>
      </c>
      <c r="G1516" s="24" t="s">
        <v>8</v>
      </c>
      <c r="H1516" s="24" t="s">
        <v>1346</v>
      </c>
      <c r="I1516" s="27">
        <v>12.02</v>
      </c>
    </row>
    <row r="1517" spans="2:9" ht="16">
      <c r="B1517" s="24" t="s">
        <v>127</v>
      </c>
      <c r="C1517" s="24" t="s">
        <v>6</v>
      </c>
      <c r="D1517" s="24" t="s">
        <v>1208</v>
      </c>
      <c r="E1517" s="24" t="s">
        <v>8</v>
      </c>
      <c r="F1517" s="24" t="s">
        <v>9</v>
      </c>
      <c r="G1517" s="24" t="s">
        <v>8</v>
      </c>
      <c r="H1517" s="24" t="s">
        <v>1347</v>
      </c>
      <c r="I1517" s="27">
        <v>68.87</v>
      </c>
    </row>
    <row r="1518" spans="2:9" ht="16">
      <c r="B1518" s="24" t="s">
        <v>390</v>
      </c>
      <c r="C1518" s="24" t="s">
        <v>6</v>
      </c>
      <c r="D1518" s="24" t="s">
        <v>1028</v>
      </c>
      <c r="E1518" s="24" t="s">
        <v>8</v>
      </c>
      <c r="F1518" s="24" t="s">
        <v>9</v>
      </c>
      <c r="G1518" s="24" t="s">
        <v>8</v>
      </c>
      <c r="H1518" s="24" t="s">
        <v>1348</v>
      </c>
      <c r="I1518" s="27">
        <v>66.54</v>
      </c>
    </row>
    <row r="1519" spans="2:9" ht="16">
      <c r="B1519" s="24" t="s">
        <v>127</v>
      </c>
      <c r="C1519" s="24" t="s">
        <v>6</v>
      </c>
      <c r="D1519" s="24" t="s">
        <v>1349</v>
      </c>
      <c r="E1519" s="24" t="s">
        <v>8</v>
      </c>
      <c r="F1519" s="24" t="s">
        <v>9</v>
      </c>
      <c r="G1519" s="24" t="s">
        <v>8</v>
      </c>
      <c r="H1519" s="24" t="s">
        <v>1350</v>
      </c>
      <c r="I1519" s="27">
        <v>21.85</v>
      </c>
    </row>
    <row r="1520" spans="2:9" ht="16">
      <c r="B1520" s="24" t="s">
        <v>1351</v>
      </c>
      <c r="C1520" s="24" t="s">
        <v>6</v>
      </c>
      <c r="D1520" s="24" t="s">
        <v>1349</v>
      </c>
      <c r="E1520" s="24" t="s">
        <v>8</v>
      </c>
      <c r="F1520" s="24" t="s">
        <v>9</v>
      </c>
      <c r="G1520" s="24" t="s">
        <v>8</v>
      </c>
      <c r="H1520" s="24" t="s">
        <v>1352</v>
      </c>
      <c r="I1520" s="27">
        <v>39.03</v>
      </c>
    </row>
    <row r="1521" spans="2:9" ht="16">
      <c r="B1521" s="24" t="s">
        <v>794</v>
      </c>
      <c r="C1521" s="24" t="s">
        <v>6</v>
      </c>
      <c r="D1521" s="24" t="s">
        <v>1349</v>
      </c>
      <c r="E1521" s="24" t="s">
        <v>8</v>
      </c>
      <c r="F1521" s="24" t="s">
        <v>9</v>
      </c>
      <c r="G1521" s="24" t="s">
        <v>8</v>
      </c>
      <c r="H1521" s="24" t="s">
        <v>1353</v>
      </c>
      <c r="I1521" s="27">
        <v>22.27</v>
      </c>
    </row>
    <row r="1522" spans="2:9" ht="16">
      <c r="B1522" s="24" t="s">
        <v>794</v>
      </c>
      <c r="C1522" s="24" t="s">
        <v>6</v>
      </c>
      <c r="D1522" s="24" t="s">
        <v>1349</v>
      </c>
      <c r="E1522" s="24" t="s">
        <v>8</v>
      </c>
      <c r="F1522" s="24" t="s">
        <v>9</v>
      </c>
      <c r="G1522" s="24" t="s">
        <v>8</v>
      </c>
      <c r="H1522" s="24" t="s">
        <v>1353</v>
      </c>
      <c r="I1522" s="27">
        <v>6.16</v>
      </c>
    </row>
    <row r="1523" spans="2:9" ht="16">
      <c r="B1523" s="24" t="s">
        <v>390</v>
      </c>
      <c r="C1523" s="24" t="s">
        <v>6</v>
      </c>
      <c r="D1523" s="24" t="s">
        <v>654</v>
      </c>
      <c r="E1523" s="24" t="s">
        <v>8</v>
      </c>
      <c r="F1523" s="24" t="s">
        <v>9</v>
      </c>
      <c r="G1523" s="24" t="s">
        <v>8</v>
      </c>
      <c r="H1523" s="24" t="s">
        <v>1354</v>
      </c>
      <c r="I1523" s="27">
        <v>80.95</v>
      </c>
    </row>
    <row r="1524" spans="2:9" ht="16">
      <c r="B1524" s="24" t="s">
        <v>119</v>
      </c>
      <c r="C1524" s="24" t="s">
        <v>6</v>
      </c>
      <c r="D1524" s="24" t="s">
        <v>551</v>
      </c>
      <c r="E1524" s="24" t="s">
        <v>8</v>
      </c>
      <c r="F1524" s="24" t="s">
        <v>9</v>
      </c>
      <c r="G1524" s="24" t="s">
        <v>8</v>
      </c>
      <c r="H1524" s="24" t="s">
        <v>1355</v>
      </c>
      <c r="I1524" s="27">
        <v>83.41</v>
      </c>
    </row>
    <row r="1525" spans="2:9" ht="16">
      <c r="B1525" s="24" t="s">
        <v>186</v>
      </c>
      <c r="C1525" s="24" t="s">
        <v>13</v>
      </c>
      <c r="D1525" s="24" t="s">
        <v>1356</v>
      </c>
      <c r="E1525" s="24" t="s">
        <v>1357</v>
      </c>
      <c r="F1525" s="24" t="s">
        <v>9</v>
      </c>
      <c r="G1525" s="24" t="s">
        <v>8</v>
      </c>
      <c r="H1525" s="24" t="s">
        <v>527</v>
      </c>
      <c r="I1525" s="27">
        <v>203.07</v>
      </c>
    </row>
    <row r="1526" spans="2:9" ht="16">
      <c r="B1526" s="24" t="s">
        <v>21</v>
      </c>
      <c r="C1526" s="24" t="s">
        <v>13</v>
      </c>
      <c r="D1526" s="24" t="s">
        <v>634</v>
      </c>
      <c r="E1526" s="24" t="s">
        <v>1358</v>
      </c>
      <c r="F1526" s="24" t="s">
        <v>9</v>
      </c>
      <c r="G1526" s="24" t="s">
        <v>8</v>
      </c>
      <c r="H1526" s="24" t="s">
        <v>527</v>
      </c>
      <c r="I1526" s="27">
        <v>2947.8</v>
      </c>
    </row>
    <row r="1527" spans="2:9" ht="16">
      <c r="B1527" s="24" t="s">
        <v>186</v>
      </c>
      <c r="C1527" s="24" t="s">
        <v>13</v>
      </c>
      <c r="D1527" s="24" t="s">
        <v>601</v>
      </c>
      <c r="E1527" s="24" t="s">
        <v>1359</v>
      </c>
      <c r="F1527" s="24" t="s">
        <v>9</v>
      </c>
      <c r="G1527" s="24" t="s">
        <v>8</v>
      </c>
      <c r="H1527" s="24" t="s">
        <v>527</v>
      </c>
      <c r="I1527" s="27">
        <v>2005.31</v>
      </c>
    </row>
    <row r="1528" spans="2:9" ht="16">
      <c r="B1528" s="24" t="s">
        <v>794</v>
      </c>
      <c r="C1528" s="24" t="s">
        <v>6</v>
      </c>
      <c r="D1528" s="24" t="s">
        <v>1360</v>
      </c>
      <c r="E1528" s="24" t="s">
        <v>8</v>
      </c>
      <c r="F1528" s="24" t="s">
        <v>9</v>
      </c>
      <c r="G1528" s="24" t="s">
        <v>8</v>
      </c>
      <c r="H1528" s="24" t="s">
        <v>1361</v>
      </c>
      <c r="I1528" s="27">
        <v>6.32</v>
      </c>
    </row>
    <row r="1529" spans="2:9" ht="16">
      <c r="B1529" s="24" t="s">
        <v>127</v>
      </c>
      <c r="C1529" s="24" t="s">
        <v>6</v>
      </c>
      <c r="D1529" s="24" t="s">
        <v>451</v>
      </c>
      <c r="E1529" s="24" t="s">
        <v>8</v>
      </c>
      <c r="F1529" s="24" t="s">
        <v>9</v>
      </c>
      <c r="G1529" s="24" t="s">
        <v>8</v>
      </c>
      <c r="H1529" s="24" t="s">
        <v>1362</v>
      </c>
      <c r="I1529" s="27">
        <v>54.63</v>
      </c>
    </row>
    <row r="1530" spans="2:9" ht="16">
      <c r="B1530" s="24" t="s">
        <v>186</v>
      </c>
      <c r="C1530" s="24" t="s">
        <v>13</v>
      </c>
      <c r="D1530" s="24" t="s">
        <v>540</v>
      </c>
      <c r="E1530" s="24" t="s">
        <v>1363</v>
      </c>
      <c r="F1530" s="24" t="s">
        <v>9</v>
      </c>
      <c r="G1530" s="24" t="s">
        <v>8</v>
      </c>
      <c r="H1530" s="24" t="s">
        <v>8</v>
      </c>
      <c r="I1530" s="27">
        <v>2033.31</v>
      </c>
    </row>
    <row r="1531" spans="2:9" ht="16">
      <c r="B1531" s="24" t="s">
        <v>21</v>
      </c>
      <c r="C1531" s="24" t="s">
        <v>13</v>
      </c>
      <c r="D1531" s="24" t="s">
        <v>1364</v>
      </c>
      <c r="E1531" s="24" t="s">
        <v>1365</v>
      </c>
      <c r="F1531" s="24" t="s">
        <v>9</v>
      </c>
      <c r="G1531" s="24" t="s">
        <v>8</v>
      </c>
      <c r="H1531" s="24" t="s">
        <v>8</v>
      </c>
      <c r="I1531" s="27">
        <v>402.25</v>
      </c>
    </row>
    <row r="1532" spans="2:9" ht="16">
      <c r="B1532" s="24" t="s">
        <v>21</v>
      </c>
      <c r="C1532" s="24" t="s">
        <v>13</v>
      </c>
      <c r="D1532" s="24" t="s">
        <v>1239</v>
      </c>
      <c r="E1532" s="24" t="s">
        <v>1366</v>
      </c>
      <c r="F1532" s="24" t="s">
        <v>9</v>
      </c>
      <c r="G1532" s="24" t="s">
        <v>8</v>
      </c>
      <c r="H1532" s="24" t="s">
        <v>8</v>
      </c>
      <c r="I1532" s="27">
        <v>296.03</v>
      </c>
    </row>
    <row r="1533" spans="2:9" ht="16">
      <c r="B1533" s="24" t="s">
        <v>21</v>
      </c>
      <c r="C1533" s="24" t="s">
        <v>13</v>
      </c>
      <c r="D1533" s="24" t="s">
        <v>1364</v>
      </c>
      <c r="E1533" s="24" t="s">
        <v>1367</v>
      </c>
      <c r="F1533" s="24" t="s">
        <v>9</v>
      </c>
      <c r="G1533" s="24" t="s">
        <v>8</v>
      </c>
      <c r="H1533" s="24" t="s">
        <v>8</v>
      </c>
      <c r="I1533" s="27">
        <v>1349.28</v>
      </c>
    </row>
    <row r="1534" spans="1:9" ht="16">
      <c r="A1534" s="35" t="s">
        <v>40</v>
      </c>
      <c r="I1534" s="28">
        <f>I1461+I1462+I1463+I1464+I1465+I1466+I1467+I1468+I1469+I1470+I1471+I1472+I1473+I1474+I1475+I1476+I1477+I1478+I1479+I1480+I1481+I1482+I1483+I1484+I1485+I1486+I1487+I1488+I1489+I1490+I1491+I1492+I1493+I1494+I1495+I1496+I1497+I1498+I1499+I1500+I1501+I1502+I1503+I1504+I1505+I1506+I1507+I1508+I1509+I1510+I1511+I1512+I1513+I1514+I1515+I1516+I1517+I1518+I1519+I1520+I1521+I1522+I1523+I1524+I1525+I1526+I1527+I1528+I1529+I1530+I1531+I1532+I1533</f>
        <v>97667.93000000004</v>
      </c>
    </row>
    <row r="1535" spans="1:1" ht="16">
      <c r="A1535" s="34" t="s">
        <v>1238</v>
      </c>
    </row>
    <row r="1536" spans="2:9" ht="16">
      <c r="B1536" s="24" t="s">
        <v>36</v>
      </c>
      <c r="C1536" s="24" t="s">
        <v>6</v>
      </c>
      <c r="D1536" s="24" t="s">
        <v>1368</v>
      </c>
      <c r="E1536" s="24" t="s">
        <v>8</v>
      </c>
      <c r="F1536" s="24" t="s">
        <v>9</v>
      </c>
      <c r="G1536" s="24" t="s">
        <v>8</v>
      </c>
      <c r="H1536" s="24" t="s">
        <v>1369</v>
      </c>
      <c r="I1536" s="27">
        <v>35.46</v>
      </c>
    </row>
    <row r="1537" spans="2:9" ht="16">
      <c r="B1537" s="24" t="s">
        <v>127</v>
      </c>
      <c r="C1537" s="24" t="s">
        <v>6</v>
      </c>
      <c r="D1537" s="24" t="s">
        <v>1090</v>
      </c>
      <c r="E1537" s="24" t="s">
        <v>8</v>
      </c>
      <c r="F1537" s="24" t="s">
        <v>9</v>
      </c>
      <c r="G1537" s="24" t="s">
        <v>8</v>
      </c>
      <c r="H1537" s="24" t="s">
        <v>1370</v>
      </c>
      <c r="I1537" s="27">
        <v>77.24</v>
      </c>
    </row>
    <row r="1538" spans="2:9" ht="16">
      <c r="B1538" s="24" t="s">
        <v>127</v>
      </c>
      <c r="C1538" s="24" t="s">
        <v>6</v>
      </c>
      <c r="D1538" s="24" t="s">
        <v>1360</v>
      </c>
      <c r="E1538" s="24" t="s">
        <v>8</v>
      </c>
      <c r="F1538" s="24" t="s">
        <v>9</v>
      </c>
      <c r="G1538" s="24" t="s">
        <v>8</v>
      </c>
      <c r="H1538" s="24" t="s">
        <v>1371</v>
      </c>
      <c r="I1538" s="27">
        <v>77.24</v>
      </c>
    </row>
    <row r="1539" spans="1:9" ht="16">
      <c r="A1539" s="35" t="s">
        <v>267</v>
      </c>
      <c r="I1539" s="28">
        <f>I1535+I1536+I1537+I1538</f>
        <v>189.94</v>
      </c>
    </row>
    <row r="1540" spans="1:1" ht="16">
      <c r="A1540" s="34" t="s">
        <v>1238</v>
      </c>
    </row>
    <row r="1541" spans="2:9" ht="16">
      <c r="B1541" s="24" t="s">
        <v>1372</v>
      </c>
      <c r="C1541" s="24" t="s">
        <v>13</v>
      </c>
      <c r="D1541" s="24" t="s">
        <v>1373</v>
      </c>
      <c r="E1541" s="24" t="s">
        <v>1374</v>
      </c>
      <c r="F1541" s="24" t="s">
        <v>9</v>
      </c>
      <c r="G1541" s="24" t="s">
        <v>8</v>
      </c>
      <c r="H1541" s="24" t="s">
        <v>1375</v>
      </c>
      <c r="I1541" s="27">
        <v>1067.4</v>
      </c>
    </row>
    <row r="1542" spans="2:9" ht="16">
      <c r="B1542" s="24" t="s">
        <v>1376</v>
      </c>
      <c r="C1542" s="24" t="s">
        <v>13</v>
      </c>
      <c r="D1542" s="24" t="s">
        <v>555</v>
      </c>
      <c r="E1542" s="24" t="s">
        <v>1377</v>
      </c>
      <c r="F1542" s="24" t="s">
        <v>9</v>
      </c>
      <c r="G1542" s="24" t="s">
        <v>8</v>
      </c>
      <c r="H1542" s="24" t="s">
        <v>1378</v>
      </c>
      <c r="I1542" s="27">
        <v>7000.0</v>
      </c>
    </row>
    <row r="1543" spans="2:9" ht="16">
      <c r="B1543" s="24" t="s">
        <v>1372</v>
      </c>
      <c r="C1543" s="24" t="s">
        <v>13</v>
      </c>
      <c r="D1543" s="24" t="s">
        <v>978</v>
      </c>
      <c r="E1543" s="24" t="s">
        <v>8</v>
      </c>
      <c r="F1543" s="24" t="s">
        <v>9</v>
      </c>
      <c r="G1543" s="24" t="s">
        <v>8</v>
      </c>
      <c r="H1543" s="24" t="s">
        <v>1379</v>
      </c>
      <c r="I1543" s="27">
        <v>7961.0</v>
      </c>
    </row>
    <row r="1544" spans="2:9" ht="16">
      <c r="B1544" s="24" t="s">
        <v>1372</v>
      </c>
      <c r="C1544" s="24" t="s">
        <v>13</v>
      </c>
      <c r="D1544" s="24" t="s">
        <v>1141</v>
      </c>
      <c r="E1544" s="24" t="s">
        <v>1380</v>
      </c>
      <c r="F1544" s="24" t="s">
        <v>9</v>
      </c>
      <c r="G1544" s="24" t="s">
        <v>8</v>
      </c>
      <c r="H1544" s="24" t="s">
        <v>1381</v>
      </c>
      <c r="I1544" s="27">
        <v>12319.6</v>
      </c>
    </row>
    <row r="1545" spans="2:9" ht="16">
      <c r="B1545" s="24" t="s">
        <v>1382</v>
      </c>
      <c r="C1545" s="24" t="s">
        <v>13</v>
      </c>
      <c r="D1545" s="24" t="s">
        <v>1383</v>
      </c>
      <c r="E1545" s="24" t="s">
        <v>1384</v>
      </c>
      <c r="F1545" s="24" t="s">
        <v>9</v>
      </c>
      <c r="G1545" s="24" t="s">
        <v>8</v>
      </c>
      <c r="H1545" s="24" t="s">
        <v>1385</v>
      </c>
      <c r="I1545" s="27">
        <v>375.0</v>
      </c>
    </row>
    <row r="1546" spans="1:9" ht="16">
      <c r="A1546" s="35" t="s">
        <v>164</v>
      </c>
      <c r="I1546" s="28">
        <f>I1540+I1541+I1542+I1543+I1544+I1545</f>
        <v>28723.0</v>
      </c>
    </row>
    <row r="1547" spans="1:1" ht="16">
      <c r="A1547" s="34" t="s">
        <v>1238</v>
      </c>
    </row>
    <row r="1548" spans="2:9" ht="16">
      <c r="B1548" s="24" t="s">
        <v>814</v>
      </c>
      <c r="C1548" s="24" t="s">
        <v>6</v>
      </c>
      <c r="D1548" s="24" t="s">
        <v>978</v>
      </c>
      <c r="E1548" s="24" t="s">
        <v>8</v>
      </c>
      <c r="F1548" s="24" t="s">
        <v>9</v>
      </c>
      <c r="G1548" s="24" t="s">
        <v>8</v>
      </c>
      <c r="H1548" s="24" t="s">
        <v>1386</v>
      </c>
      <c r="I1548" s="27">
        <v>334.2</v>
      </c>
    </row>
    <row r="1549" spans="2:9" ht="16">
      <c r="B1549" s="24" t="s">
        <v>1387</v>
      </c>
      <c r="C1549" s="24" t="s">
        <v>6</v>
      </c>
      <c r="D1549" s="24" t="s">
        <v>978</v>
      </c>
      <c r="E1549" s="24" t="s">
        <v>8</v>
      </c>
      <c r="F1549" s="24" t="s">
        <v>9</v>
      </c>
      <c r="G1549" s="24" t="s">
        <v>8</v>
      </c>
      <c r="H1549" s="24" t="s">
        <v>1388</v>
      </c>
      <c r="I1549" s="27">
        <v>323.35</v>
      </c>
    </row>
    <row r="1550" spans="2:9" ht="16">
      <c r="B1550" s="24" t="s">
        <v>814</v>
      </c>
      <c r="C1550" s="24" t="s">
        <v>6</v>
      </c>
      <c r="D1550" s="24" t="s">
        <v>1285</v>
      </c>
      <c r="E1550" s="24" t="s">
        <v>8</v>
      </c>
      <c r="F1550" s="24" t="s">
        <v>9</v>
      </c>
      <c r="G1550" s="24" t="s">
        <v>8</v>
      </c>
      <c r="H1550" s="24" t="s">
        <v>1389</v>
      </c>
      <c r="I1550" s="27">
        <v>151.49</v>
      </c>
    </row>
    <row r="1551" spans="1:9" ht="16">
      <c r="A1551" s="35" t="s">
        <v>433</v>
      </c>
      <c r="I1551" s="28">
        <f>I1547+I1548+I1549+I1550</f>
        <v>809.04</v>
      </c>
    </row>
    <row r="1552" spans="1:1" ht="16">
      <c r="A1552" s="34" t="s">
        <v>1238</v>
      </c>
    </row>
    <row r="1553" spans="2:9" ht="16">
      <c r="B1553" s="24" t="s">
        <v>45</v>
      </c>
      <c r="C1553" s="24" t="s">
        <v>6</v>
      </c>
      <c r="D1553" s="24" t="s">
        <v>1154</v>
      </c>
      <c r="E1553" s="24" t="s">
        <v>8</v>
      </c>
      <c r="F1553" s="24" t="s">
        <v>9</v>
      </c>
      <c r="G1553" s="24" t="s">
        <v>8</v>
      </c>
      <c r="H1553" s="24" t="s">
        <v>1204</v>
      </c>
      <c r="I1553" s="27">
        <v>749.58</v>
      </c>
    </row>
    <row r="1554" spans="2:9" ht="16">
      <c r="B1554" s="24" t="s">
        <v>8</v>
      </c>
      <c r="C1554" s="24" t="s">
        <v>6</v>
      </c>
      <c r="D1554" s="24" t="s">
        <v>549</v>
      </c>
      <c r="E1554" s="24" t="s">
        <v>8</v>
      </c>
      <c r="F1554" s="24" t="s">
        <v>9</v>
      </c>
      <c r="G1554" s="24" t="s">
        <v>8</v>
      </c>
      <c r="H1554" s="24" t="s">
        <v>47</v>
      </c>
      <c r="I1554" s="27">
        <v>2255.44</v>
      </c>
    </row>
    <row r="1555" spans="2:9" ht="16">
      <c r="B1555" s="24" t="s">
        <v>8</v>
      </c>
      <c r="C1555" s="24" t="s">
        <v>6</v>
      </c>
      <c r="D1555" s="24" t="s">
        <v>549</v>
      </c>
      <c r="E1555" s="24" t="s">
        <v>8</v>
      </c>
      <c r="F1555" s="24" t="s">
        <v>9</v>
      </c>
      <c r="G1555" s="24" t="s">
        <v>8</v>
      </c>
      <c r="H1555" s="24" t="s">
        <v>47</v>
      </c>
      <c r="I1555" s="27">
        <v>2705.4</v>
      </c>
    </row>
    <row r="1556" spans="2:9" ht="16">
      <c r="B1556" s="24" t="s">
        <v>8</v>
      </c>
      <c r="C1556" s="24" t="s">
        <v>6</v>
      </c>
      <c r="D1556" s="24" t="s">
        <v>549</v>
      </c>
      <c r="E1556" s="24" t="s">
        <v>8</v>
      </c>
      <c r="F1556" s="24" t="s">
        <v>9</v>
      </c>
      <c r="G1556" s="24" t="s">
        <v>8</v>
      </c>
      <c r="H1556" s="24" t="s">
        <v>47</v>
      </c>
      <c r="I1556" s="27">
        <v>230.67</v>
      </c>
    </row>
    <row r="1557" spans="2:9" ht="16">
      <c r="B1557" s="24" t="s">
        <v>8</v>
      </c>
      <c r="C1557" s="24" t="s">
        <v>6</v>
      </c>
      <c r="D1557" s="24" t="s">
        <v>549</v>
      </c>
      <c r="E1557" s="24" t="s">
        <v>8</v>
      </c>
      <c r="F1557" s="24" t="s">
        <v>9</v>
      </c>
      <c r="G1557" s="24" t="s">
        <v>8</v>
      </c>
      <c r="H1557" s="24" t="s">
        <v>47</v>
      </c>
      <c r="I1557" s="27">
        <v>2599.1</v>
      </c>
    </row>
    <row r="1558" spans="2:9" ht="16">
      <c r="B1558" s="24" t="s">
        <v>8</v>
      </c>
      <c r="C1558" s="24" t="s">
        <v>6</v>
      </c>
      <c r="D1558" s="24" t="s">
        <v>549</v>
      </c>
      <c r="E1558" s="24" t="s">
        <v>8</v>
      </c>
      <c r="F1558" s="24" t="s">
        <v>9</v>
      </c>
      <c r="G1558" s="24" t="s">
        <v>8</v>
      </c>
      <c r="H1558" s="24" t="s">
        <v>47</v>
      </c>
      <c r="I1558" s="27">
        <v>781.72</v>
      </c>
    </row>
    <row r="1559" spans="2:9" ht="16">
      <c r="B1559" s="24" t="s">
        <v>8</v>
      </c>
      <c r="C1559" s="24" t="s">
        <v>6</v>
      </c>
      <c r="D1559" s="24" t="s">
        <v>549</v>
      </c>
      <c r="E1559" s="24" t="s">
        <v>8</v>
      </c>
      <c r="F1559" s="24" t="s">
        <v>9</v>
      </c>
      <c r="G1559" s="24" t="s">
        <v>8</v>
      </c>
      <c r="H1559" s="24" t="s">
        <v>47</v>
      </c>
      <c r="I1559" s="27">
        <v>205.04</v>
      </c>
    </row>
    <row r="1560" spans="2:9" ht="16">
      <c r="B1560" s="24" t="s">
        <v>8</v>
      </c>
      <c r="C1560" s="24" t="s">
        <v>6</v>
      </c>
      <c r="D1560" s="24" t="s">
        <v>549</v>
      </c>
      <c r="E1560" s="24" t="s">
        <v>8</v>
      </c>
      <c r="F1560" s="24" t="s">
        <v>9</v>
      </c>
      <c r="G1560" s="24" t="s">
        <v>8</v>
      </c>
      <c r="H1560" s="24" t="s">
        <v>47</v>
      </c>
      <c r="I1560" s="27">
        <v>3126.86</v>
      </c>
    </row>
    <row r="1561" spans="2:9" ht="16">
      <c r="B1561" s="24" t="s">
        <v>45</v>
      </c>
      <c r="C1561" s="24" t="s">
        <v>6</v>
      </c>
      <c r="D1561" s="24" t="s">
        <v>451</v>
      </c>
      <c r="E1561" s="24" t="s">
        <v>8</v>
      </c>
      <c r="F1561" s="24" t="s">
        <v>9</v>
      </c>
      <c r="G1561" s="24" t="s">
        <v>8</v>
      </c>
      <c r="H1561" s="24" t="s">
        <v>47</v>
      </c>
      <c r="I1561" s="27">
        <v>128.15</v>
      </c>
    </row>
    <row r="1562" spans="2:9" ht="16">
      <c r="B1562" s="24" t="s">
        <v>8</v>
      </c>
      <c r="C1562" s="24" t="s">
        <v>6</v>
      </c>
      <c r="D1562" s="24" t="s">
        <v>549</v>
      </c>
      <c r="E1562" s="24" t="s">
        <v>8</v>
      </c>
      <c r="F1562" s="24" t="s">
        <v>9</v>
      </c>
      <c r="G1562" s="24" t="s">
        <v>8</v>
      </c>
      <c r="H1562" s="24" t="s">
        <v>47</v>
      </c>
      <c r="I1562" s="27">
        <v>3806.07</v>
      </c>
    </row>
    <row r="1563" spans="2:9" ht="16">
      <c r="B1563" s="24" t="s">
        <v>8</v>
      </c>
      <c r="C1563" s="24" t="s">
        <v>6</v>
      </c>
      <c r="D1563" s="24" t="s">
        <v>549</v>
      </c>
      <c r="E1563" s="24" t="s">
        <v>8</v>
      </c>
      <c r="F1563" s="24" t="s">
        <v>9</v>
      </c>
      <c r="G1563" s="24" t="s">
        <v>8</v>
      </c>
      <c r="H1563" s="24" t="s">
        <v>47</v>
      </c>
      <c r="I1563" s="27">
        <v>4075.17</v>
      </c>
    </row>
    <row r="1564" spans="2:9" ht="16">
      <c r="B1564" s="24" t="s">
        <v>8</v>
      </c>
      <c r="C1564" s="24" t="s">
        <v>6</v>
      </c>
      <c r="D1564" s="24" t="s">
        <v>549</v>
      </c>
      <c r="E1564" s="24" t="s">
        <v>8</v>
      </c>
      <c r="F1564" s="24" t="s">
        <v>9</v>
      </c>
      <c r="G1564" s="24" t="s">
        <v>8</v>
      </c>
      <c r="H1564" s="24" t="s">
        <v>47</v>
      </c>
      <c r="I1564" s="27">
        <v>1775.36</v>
      </c>
    </row>
    <row r="1565" spans="2:9" ht="16">
      <c r="B1565" s="24" t="s">
        <v>8</v>
      </c>
      <c r="C1565" s="24" t="s">
        <v>6</v>
      </c>
      <c r="D1565" s="24" t="s">
        <v>550</v>
      </c>
      <c r="E1565" s="24" t="s">
        <v>8</v>
      </c>
      <c r="F1565" s="24" t="s">
        <v>9</v>
      </c>
      <c r="G1565" s="24" t="s">
        <v>8</v>
      </c>
      <c r="H1565" s="24" t="s">
        <v>47</v>
      </c>
      <c r="I1565" s="27">
        <v>10666.49</v>
      </c>
    </row>
    <row r="1566" spans="2:9" ht="16">
      <c r="B1566" s="24" t="s">
        <v>8</v>
      </c>
      <c r="C1566" s="24" t="s">
        <v>6</v>
      </c>
      <c r="D1566" s="24" t="s">
        <v>549</v>
      </c>
      <c r="E1566" s="24" t="s">
        <v>8</v>
      </c>
      <c r="F1566" s="24" t="s">
        <v>9</v>
      </c>
      <c r="G1566" s="24" t="s">
        <v>8</v>
      </c>
      <c r="H1566" s="24" t="s">
        <v>47</v>
      </c>
      <c r="I1566" s="27">
        <v>4125.38</v>
      </c>
    </row>
    <row r="1567" spans="2:9" ht="16">
      <c r="B1567" s="24" t="s">
        <v>8</v>
      </c>
      <c r="C1567" s="24" t="s">
        <v>6</v>
      </c>
      <c r="D1567" s="24" t="s">
        <v>549</v>
      </c>
      <c r="E1567" s="24" t="s">
        <v>8</v>
      </c>
      <c r="F1567" s="24" t="s">
        <v>9</v>
      </c>
      <c r="G1567" s="24" t="s">
        <v>8</v>
      </c>
      <c r="H1567" s="24" t="s">
        <v>47</v>
      </c>
      <c r="I1567" s="27">
        <v>5388.73</v>
      </c>
    </row>
    <row r="1568" spans="2:9" ht="16">
      <c r="B1568" s="24" t="s">
        <v>8</v>
      </c>
      <c r="C1568" s="24" t="s">
        <v>6</v>
      </c>
      <c r="D1568" s="24" t="s">
        <v>549</v>
      </c>
      <c r="E1568" s="24" t="s">
        <v>8</v>
      </c>
      <c r="F1568" s="24" t="s">
        <v>9</v>
      </c>
      <c r="G1568" s="24" t="s">
        <v>8</v>
      </c>
      <c r="H1568" s="24" t="s">
        <v>47</v>
      </c>
      <c r="I1568" s="27">
        <v>922.68</v>
      </c>
    </row>
    <row r="1569" spans="2:9" ht="16">
      <c r="B1569" s="24" t="s">
        <v>8</v>
      </c>
      <c r="C1569" s="24" t="s">
        <v>6</v>
      </c>
      <c r="D1569" s="24" t="s">
        <v>549</v>
      </c>
      <c r="E1569" s="24" t="s">
        <v>8</v>
      </c>
      <c r="F1569" s="24" t="s">
        <v>9</v>
      </c>
      <c r="G1569" s="24" t="s">
        <v>8</v>
      </c>
      <c r="H1569" s="24" t="s">
        <v>47</v>
      </c>
      <c r="I1569" s="27">
        <v>230.67</v>
      </c>
    </row>
    <row r="1570" spans="2:9" ht="16">
      <c r="B1570" s="24" t="s">
        <v>45</v>
      </c>
      <c r="C1570" s="24" t="s">
        <v>6</v>
      </c>
      <c r="D1570" s="24" t="s">
        <v>928</v>
      </c>
      <c r="E1570" s="24" t="s">
        <v>8</v>
      </c>
      <c r="F1570" s="24" t="s">
        <v>9</v>
      </c>
      <c r="G1570" s="24" t="s">
        <v>8</v>
      </c>
      <c r="H1570" s="24" t="s">
        <v>47</v>
      </c>
      <c r="I1570" s="27">
        <v>8530.82</v>
      </c>
    </row>
    <row r="1571" spans="1:9" ht="16">
      <c r="A1571" s="35" t="s">
        <v>50</v>
      </c>
      <c r="I1571" s="28">
        <f>I1552+I1553+I1554+I1555+I1556+I1557+I1558+I1559+I1560+I1561+I1562+I1563+I1564+I1565+I1566+I1567+I1568+I1569+I1570</f>
        <v>52303.33</v>
      </c>
    </row>
    <row r="1572" spans="1:1" ht="16">
      <c r="A1572" s="34" t="s">
        <v>1238</v>
      </c>
    </row>
    <row r="1573" spans="2:9" ht="16">
      <c r="B1573" s="24" t="s">
        <v>51</v>
      </c>
      <c r="C1573" s="24" t="s">
        <v>6</v>
      </c>
      <c r="D1573" s="24" t="s">
        <v>551</v>
      </c>
      <c r="E1573" s="24" t="s">
        <v>8</v>
      </c>
      <c r="F1573" s="24" t="s">
        <v>9</v>
      </c>
      <c r="G1573" s="24" t="s">
        <v>8</v>
      </c>
      <c r="H1573" s="24" t="s">
        <v>53</v>
      </c>
      <c r="I1573" s="27">
        <v>12607.58</v>
      </c>
    </row>
    <row r="1574" spans="2:9" ht="16">
      <c r="B1574" s="24" t="s">
        <v>51</v>
      </c>
      <c r="C1574" s="24" t="s">
        <v>6</v>
      </c>
      <c r="D1574" s="24" t="s">
        <v>984</v>
      </c>
      <c r="E1574" s="24" t="s">
        <v>8</v>
      </c>
      <c r="F1574" s="24" t="s">
        <v>9</v>
      </c>
      <c r="G1574" s="24" t="s">
        <v>8</v>
      </c>
      <c r="H1574" s="24" t="s">
        <v>53</v>
      </c>
      <c r="I1574" s="27">
        <v>14499.3</v>
      </c>
    </row>
    <row r="1575" spans="2:9" ht="16">
      <c r="B1575" s="24" t="s">
        <v>51</v>
      </c>
      <c r="C1575" s="24" t="s">
        <v>6</v>
      </c>
      <c r="D1575" s="24" t="s">
        <v>560</v>
      </c>
      <c r="E1575" s="24" t="s">
        <v>8</v>
      </c>
      <c r="F1575" s="24" t="s">
        <v>9</v>
      </c>
      <c r="G1575" s="24" t="s">
        <v>8</v>
      </c>
      <c r="H1575" s="24" t="s">
        <v>53</v>
      </c>
      <c r="I1575" s="27">
        <v>5294.84</v>
      </c>
    </row>
    <row r="1576" spans="2:9" ht="16">
      <c r="B1576" s="24" t="s">
        <v>51</v>
      </c>
      <c r="C1576" s="24" t="s">
        <v>6</v>
      </c>
      <c r="D1576" s="24" t="s">
        <v>931</v>
      </c>
      <c r="E1576" s="24" t="s">
        <v>8</v>
      </c>
      <c r="F1576" s="24" t="s">
        <v>9</v>
      </c>
      <c r="G1576" s="24" t="s">
        <v>8</v>
      </c>
      <c r="H1576" s="24" t="s">
        <v>53</v>
      </c>
      <c r="I1576" s="27">
        <v>383.43</v>
      </c>
    </row>
    <row r="1577" spans="2:9" ht="16">
      <c r="B1577" s="24" t="s">
        <v>51</v>
      </c>
      <c r="C1577" s="24" t="s">
        <v>6</v>
      </c>
      <c r="D1577" s="24" t="s">
        <v>557</v>
      </c>
      <c r="E1577" s="24" t="s">
        <v>8</v>
      </c>
      <c r="F1577" s="24" t="s">
        <v>9</v>
      </c>
      <c r="G1577" s="24" t="s">
        <v>8</v>
      </c>
      <c r="H1577" s="24" t="s">
        <v>53</v>
      </c>
      <c r="I1577" s="27">
        <v>261.76</v>
      </c>
    </row>
    <row r="1578" spans="2:9" ht="16">
      <c r="B1578" s="24" t="s">
        <v>51</v>
      </c>
      <c r="C1578" s="24" t="s">
        <v>6</v>
      </c>
      <c r="D1578" s="24" t="s">
        <v>1116</v>
      </c>
      <c r="E1578" s="24" t="s">
        <v>8</v>
      </c>
      <c r="F1578" s="24" t="s">
        <v>9</v>
      </c>
      <c r="G1578" s="24" t="s">
        <v>8</v>
      </c>
      <c r="H1578" s="24" t="s">
        <v>53</v>
      </c>
      <c r="I1578" s="27">
        <v>8341.74</v>
      </c>
    </row>
    <row r="1579" spans="2:9" ht="16">
      <c r="B1579" s="24" t="s">
        <v>8</v>
      </c>
      <c r="C1579" s="24" t="s">
        <v>6</v>
      </c>
      <c r="D1579" s="24" t="s">
        <v>562</v>
      </c>
      <c r="E1579" s="24" t="s">
        <v>8</v>
      </c>
      <c r="F1579" s="24" t="s">
        <v>9</v>
      </c>
      <c r="G1579" s="24" t="s">
        <v>8</v>
      </c>
      <c r="H1579" s="24" t="s">
        <v>53</v>
      </c>
      <c r="I1579" s="27">
        <v>12683.97</v>
      </c>
    </row>
    <row r="1580" spans="2:9" ht="16">
      <c r="B1580" s="24" t="s">
        <v>51</v>
      </c>
      <c r="C1580" s="24" t="s">
        <v>6</v>
      </c>
      <c r="D1580" s="24" t="s">
        <v>561</v>
      </c>
      <c r="E1580" s="24" t="s">
        <v>8</v>
      </c>
      <c r="F1580" s="24" t="s">
        <v>9</v>
      </c>
      <c r="G1580" s="24" t="s">
        <v>8</v>
      </c>
      <c r="H1580" s="24" t="s">
        <v>53</v>
      </c>
      <c r="I1580" s="27">
        <v>15744.32</v>
      </c>
    </row>
    <row r="1581" spans="2:9" ht="16">
      <c r="B1581" s="24" t="s">
        <v>8</v>
      </c>
      <c r="C1581" s="24" t="s">
        <v>6</v>
      </c>
      <c r="D1581" s="24" t="s">
        <v>1208</v>
      </c>
      <c r="E1581" s="24" t="s">
        <v>8</v>
      </c>
      <c r="F1581" s="24" t="s">
        <v>9</v>
      </c>
      <c r="G1581" s="24" t="s">
        <v>8</v>
      </c>
      <c r="H1581" s="24" t="s">
        <v>53</v>
      </c>
      <c r="I1581" s="27">
        <v>16847.94</v>
      </c>
    </row>
    <row r="1582" spans="2:9" ht="16">
      <c r="B1582" s="24" t="s">
        <v>51</v>
      </c>
      <c r="C1582" s="24" t="s">
        <v>6</v>
      </c>
      <c r="D1582" s="24" t="s">
        <v>1207</v>
      </c>
      <c r="E1582" s="24" t="s">
        <v>8</v>
      </c>
      <c r="F1582" s="24" t="s">
        <v>9</v>
      </c>
      <c r="G1582" s="24" t="s">
        <v>8</v>
      </c>
      <c r="H1582" s="24" t="s">
        <v>53</v>
      </c>
      <c r="I1582" s="27">
        <v>1946.35</v>
      </c>
    </row>
    <row r="1583" spans="2:9" ht="16">
      <c r="B1583" s="24" t="s">
        <v>51</v>
      </c>
      <c r="C1583" s="24" t="s">
        <v>6</v>
      </c>
      <c r="D1583" s="24" t="s">
        <v>460</v>
      </c>
      <c r="E1583" s="24" t="s">
        <v>8</v>
      </c>
      <c r="F1583" s="24" t="s">
        <v>9</v>
      </c>
      <c r="G1583" s="24" t="s">
        <v>8</v>
      </c>
      <c r="H1583" s="24" t="s">
        <v>53</v>
      </c>
      <c r="I1583" s="27">
        <v>18126.5</v>
      </c>
    </row>
    <row r="1584" spans="2:9" ht="16">
      <c r="B1584" s="24" t="s">
        <v>51</v>
      </c>
      <c r="C1584" s="24" t="s">
        <v>6</v>
      </c>
      <c r="D1584" s="24" t="s">
        <v>558</v>
      </c>
      <c r="E1584" s="24" t="s">
        <v>8</v>
      </c>
      <c r="F1584" s="24" t="s">
        <v>9</v>
      </c>
      <c r="G1584" s="24" t="s">
        <v>8</v>
      </c>
      <c r="H1584" s="24" t="s">
        <v>53</v>
      </c>
      <c r="I1584" s="27">
        <v>575.86</v>
      </c>
    </row>
    <row r="1585" spans="2:9" ht="16">
      <c r="B1585" s="24" t="s">
        <v>8</v>
      </c>
      <c r="C1585" s="24" t="s">
        <v>6</v>
      </c>
      <c r="D1585" s="24" t="s">
        <v>562</v>
      </c>
      <c r="E1585" s="24" t="s">
        <v>8</v>
      </c>
      <c r="F1585" s="24" t="s">
        <v>9</v>
      </c>
      <c r="G1585" s="24" t="s">
        <v>8</v>
      </c>
      <c r="H1585" s="24" t="s">
        <v>1390</v>
      </c>
      <c r="I1585" s="27">
        <v>-163.64</v>
      </c>
    </row>
    <row r="1586" spans="2:9" ht="16">
      <c r="B1586" s="24" t="s">
        <v>1391</v>
      </c>
      <c r="C1586" s="24" t="s">
        <v>6</v>
      </c>
      <c r="D1586" s="24" t="s">
        <v>634</v>
      </c>
      <c r="E1586" s="24" t="s">
        <v>8</v>
      </c>
      <c r="F1586" s="24" t="s">
        <v>9</v>
      </c>
      <c r="G1586" s="24" t="s">
        <v>8</v>
      </c>
      <c r="H1586" s="24" t="s">
        <v>1392</v>
      </c>
      <c r="I1586" s="27">
        <v>305.8</v>
      </c>
    </row>
    <row r="1587" spans="1:9" ht="16">
      <c r="A1587" s="35" t="s">
        <v>67</v>
      </c>
      <c r="I1587" s="28">
        <f>I1572+I1573+I1574+I1575+I1576+I1577+I1578+I1579+I1580+I1581+I1582+I1583+I1584+I1585+I1586</f>
        <v>107455.75000000001</v>
      </c>
    </row>
    <row r="1588" spans="1:9" ht="16">
      <c r="A1588" s="36" t="s">
        <v>1393</v>
      </c>
      <c r="I1588" s="28">
        <f>I1449+I1455+I1460+I1534+I1539+I1546+I1551+I1571+I1587</f>
        <v>308114.63000000006</v>
      </c>
    </row>
    <row r="1589" spans="1:1" ht="16">
      <c r="A1589" s="33" t="s">
        <v>324</v>
      </c>
    </row>
    <row r="1590" spans="1:1" ht="16">
      <c r="A1590" s="34" t="s">
        <v>1394</v>
      </c>
    </row>
    <row r="1591" spans="2:9" ht="16">
      <c r="B1591" s="24" t="s">
        <v>36</v>
      </c>
      <c r="C1591" s="24" t="s">
        <v>6</v>
      </c>
      <c r="D1591" s="24" t="s">
        <v>590</v>
      </c>
      <c r="E1591" s="24" t="s">
        <v>8</v>
      </c>
      <c r="F1591" s="24" t="s">
        <v>9</v>
      </c>
      <c r="G1591" s="24" t="s">
        <v>8</v>
      </c>
      <c r="H1591" s="24" t="s">
        <v>1395</v>
      </c>
      <c r="I1591" s="27">
        <v>523.8</v>
      </c>
    </row>
    <row r="1592" spans="2:9" ht="16">
      <c r="B1592" s="24" t="s">
        <v>239</v>
      </c>
      <c r="C1592" s="24" t="s">
        <v>6</v>
      </c>
      <c r="D1592" s="24" t="s">
        <v>1396</v>
      </c>
      <c r="E1592" s="24" t="s">
        <v>8</v>
      </c>
      <c r="F1592" s="24" t="s">
        <v>9</v>
      </c>
      <c r="G1592" s="24" t="s">
        <v>8</v>
      </c>
      <c r="H1592" s="24" t="s">
        <v>1397</v>
      </c>
      <c r="I1592" s="27">
        <v>400.49</v>
      </c>
    </row>
    <row r="1593" spans="2:9" ht="16">
      <c r="B1593" s="24" t="s">
        <v>119</v>
      </c>
      <c r="C1593" s="24" t="s">
        <v>6</v>
      </c>
      <c r="D1593" s="24" t="s">
        <v>896</v>
      </c>
      <c r="E1593" s="24" t="s">
        <v>8</v>
      </c>
      <c r="F1593" s="24" t="s">
        <v>9</v>
      </c>
      <c r="G1593" s="24" t="s">
        <v>8</v>
      </c>
      <c r="H1593" s="24" t="s">
        <v>1398</v>
      </c>
      <c r="I1593" s="27">
        <v>22.89</v>
      </c>
    </row>
    <row r="1594" spans="2:9" ht="16">
      <c r="B1594" s="24" t="s">
        <v>119</v>
      </c>
      <c r="C1594" s="24" t="s">
        <v>6</v>
      </c>
      <c r="D1594" s="24" t="s">
        <v>929</v>
      </c>
      <c r="E1594" s="24" t="s">
        <v>8</v>
      </c>
      <c r="F1594" s="24" t="s">
        <v>9</v>
      </c>
      <c r="G1594" s="24" t="s">
        <v>8</v>
      </c>
      <c r="H1594" s="24" t="s">
        <v>1399</v>
      </c>
      <c r="I1594" s="27">
        <v>127.49</v>
      </c>
    </row>
    <row r="1595" spans="2:9" ht="16">
      <c r="B1595" s="24" t="s">
        <v>119</v>
      </c>
      <c r="C1595" s="24" t="s">
        <v>6</v>
      </c>
      <c r="D1595" s="24" t="s">
        <v>1400</v>
      </c>
      <c r="E1595" s="24" t="s">
        <v>8</v>
      </c>
      <c r="F1595" s="24" t="s">
        <v>9</v>
      </c>
      <c r="G1595" s="24" t="s">
        <v>8</v>
      </c>
      <c r="H1595" s="24" t="s">
        <v>1401</v>
      </c>
      <c r="I1595" s="27">
        <v>66.7</v>
      </c>
    </row>
    <row r="1596" spans="2:9" ht="16">
      <c r="B1596" s="24" t="s">
        <v>119</v>
      </c>
      <c r="C1596" s="24" t="s">
        <v>6</v>
      </c>
      <c r="D1596" s="24" t="s">
        <v>896</v>
      </c>
      <c r="E1596" s="24" t="s">
        <v>8</v>
      </c>
      <c r="F1596" s="24" t="s">
        <v>9</v>
      </c>
      <c r="G1596" s="24" t="s">
        <v>8</v>
      </c>
      <c r="H1596" s="24" t="s">
        <v>1402</v>
      </c>
      <c r="I1596" s="27">
        <v>30.03</v>
      </c>
    </row>
    <row r="1597" spans="1:9" ht="16">
      <c r="A1597" s="35" t="s">
        <v>40</v>
      </c>
      <c r="I1597" s="28">
        <f>I1590+I1591+I1592+I1593+I1594+I1595+I1596</f>
        <v>1171.3999999999999</v>
      </c>
    </row>
    <row r="1598" spans="1:1" ht="16">
      <c r="A1598" s="34" t="s">
        <v>1394</v>
      </c>
    </row>
    <row r="1599" spans="2:9" ht="16">
      <c r="B1599" s="24" t="s">
        <v>45</v>
      </c>
      <c r="C1599" s="24" t="s">
        <v>6</v>
      </c>
      <c r="D1599" s="24" t="s">
        <v>523</v>
      </c>
      <c r="E1599" s="24" t="s">
        <v>8</v>
      </c>
      <c r="F1599" s="24" t="s">
        <v>9</v>
      </c>
      <c r="G1599" s="24" t="s">
        <v>8</v>
      </c>
      <c r="H1599" s="24" t="s">
        <v>47</v>
      </c>
      <c r="I1599" s="27">
        <v>128.15</v>
      </c>
    </row>
    <row r="1600" spans="2:9" ht="16">
      <c r="B1600" s="24" t="s">
        <v>45</v>
      </c>
      <c r="C1600" s="24" t="s">
        <v>6</v>
      </c>
      <c r="D1600" s="24" t="s">
        <v>671</v>
      </c>
      <c r="E1600" s="24" t="s">
        <v>8</v>
      </c>
      <c r="F1600" s="24" t="s">
        <v>9</v>
      </c>
      <c r="G1600" s="24" t="s">
        <v>8</v>
      </c>
      <c r="H1600" s="24" t="s">
        <v>47</v>
      </c>
      <c r="I1600" s="27">
        <v>256.3</v>
      </c>
    </row>
    <row r="1601" spans="1:9" ht="16">
      <c r="A1601" s="35" t="s">
        <v>50</v>
      </c>
      <c r="I1601" s="28">
        <f>I1598+I1599+I1600</f>
        <v>384.45000000000005</v>
      </c>
    </row>
    <row r="1602" spans="1:1" ht="16">
      <c r="A1602" s="34" t="s">
        <v>1394</v>
      </c>
    </row>
    <row r="1603" spans="2:9" ht="16">
      <c r="B1603" s="24" t="s">
        <v>51</v>
      </c>
      <c r="C1603" s="24" t="s">
        <v>6</v>
      </c>
      <c r="D1603" s="24" t="s">
        <v>512</v>
      </c>
      <c r="E1603" s="24" t="s">
        <v>8</v>
      </c>
      <c r="F1603" s="24" t="s">
        <v>9</v>
      </c>
      <c r="G1603" s="24" t="s">
        <v>8</v>
      </c>
      <c r="H1603" s="24" t="s">
        <v>53</v>
      </c>
      <c r="I1603" s="27">
        <v>558.09</v>
      </c>
    </row>
    <row r="1604" spans="2:9" ht="16">
      <c r="B1604" s="24" t="s">
        <v>51</v>
      </c>
      <c r="C1604" s="24" t="s">
        <v>6</v>
      </c>
      <c r="D1604" s="24" t="s">
        <v>671</v>
      </c>
      <c r="E1604" s="24" t="s">
        <v>8</v>
      </c>
      <c r="F1604" s="24" t="s">
        <v>9</v>
      </c>
      <c r="G1604" s="24" t="s">
        <v>8</v>
      </c>
      <c r="H1604" s="24" t="s">
        <v>53</v>
      </c>
      <c r="I1604" s="27">
        <v>260.69</v>
      </c>
    </row>
    <row r="1605" spans="1:9" ht="16">
      <c r="A1605" s="35" t="s">
        <v>67</v>
      </c>
      <c r="I1605" s="28">
        <f>I1602+I1603+I1604</f>
        <v>818.78</v>
      </c>
    </row>
    <row r="1606" spans="1:9" ht="16">
      <c r="A1606" s="36" t="s">
        <v>1403</v>
      </c>
      <c r="I1606" s="28">
        <f>I1597+I1601+I1605</f>
        <v>2374.63</v>
      </c>
    </row>
    <row r="1607" spans="1:1" ht="16">
      <c r="A1607" s="33" t="s">
        <v>324</v>
      </c>
    </row>
    <row r="1608" spans="1:1" ht="16">
      <c r="A1608" s="34" t="s">
        <v>1404</v>
      </c>
    </row>
    <row r="1609" spans="2:9" ht="16">
      <c r="B1609" s="24" t="s">
        <v>119</v>
      </c>
      <c r="C1609" s="24" t="s">
        <v>6</v>
      </c>
      <c r="D1609" s="24" t="s">
        <v>894</v>
      </c>
      <c r="E1609" s="24" t="s">
        <v>8</v>
      </c>
      <c r="F1609" s="24" t="s">
        <v>9</v>
      </c>
      <c r="G1609" s="24" t="s">
        <v>8</v>
      </c>
      <c r="H1609" s="24" t="s">
        <v>1405</v>
      </c>
      <c r="I1609" s="27">
        <v>35.51</v>
      </c>
    </row>
    <row r="1610" spans="1:9" ht="16">
      <c r="A1610" s="35" t="s">
        <v>40</v>
      </c>
      <c r="I1610" s="28">
        <f>I1608+I1609</f>
        <v>35.51</v>
      </c>
    </row>
    <row r="1611" spans="1:1" ht="16">
      <c r="A1611" s="34" t="s">
        <v>1404</v>
      </c>
    </row>
    <row r="1612" spans="2:9" ht="16">
      <c r="B1612" s="24" t="s">
        <v>45</v>
      </c>
      <c r="C1612" s="24" t="s">
        <v>6</v>
      </c>
      <c r="D1612" s="24" t="s">
        <v>671</v>
      </c>
      <c r="E1612" s="24" t="s">
        <v>8</v>
      </c>
      <c r="F1612" s="24" t="s">
        <v>9</v>
      </c>
      <c r="G1612" s="24" t="s">
        <v>8</v>
      </c>
      <c r="H1612" s="24" t="s">
        <v>47</v>
      </c>
      <c r="I1612" s="27">
        <v>128.15</v>
      </c>
    </row>
    <row r="1613" spans="1:9" ht="16">
      <c r="A1613" s="35" t="s">
        <v>50</v>
      </c>
      <c r="I1613" s="28">
        <f>I1611+I1612</f>
        <v>128.15</v>
      </c>
    </row>
    <row r="1614" spans="1:1" ht="16">
      <c r="A1614" s="34" t="s">
        <v>1404</v>
      </c>
    </row>
    <row r="1615" spans="2:9" ht="16">
      <c r="B1615" s="24" t="s">
        <v>51</v>
      </c>
      <c r="C1615" s="24" t="s">
        <v>6</v>
      </c>
      <c r="D1615" s="24" t="s">
        <v>929</v>
      </c>
      <c r="E1615" s="24" t="s">
        <v>8</v>
      </c>
      <c r="F1615" s="24" t="s">
        <v>9</v>
      </c>
      <c r="G1615" s="24" t="s">
        <v>8</v>
      </c>
      <c r="H1615" s="24" t="s">
        <v>930</v>
      </c>
      <c r="I1615" s="27">
        <v>269.23</v>
      </c>
    </row>
    <row r="1616" spans="1:9" ht="16">
      <c r="A1616" s="35" t="s">
        <v>67</v>
      </c>
      <c r="I1616" s="28">
        <f>I1614+I1615</f>
        <v>269.23</v>
      </c>
    </row>
    <row r="1617" spans="1:9" ht="16">
      <c r="A1617" s="36" t="s">
        <v>1406</v>
      </c>
      <c r="I1617" s="28">
        <f>I1610+I1613+I1616</f>
        <v>432.89</v>
      </c>
    </row>
    <row r="1618" spans="1:1" ht="16">
      <c r="A1618" s="33" t="s">
        <v>324</v>
      </c>
    </row>
    <row r="1619" spans="1:1" ht="16">
      <c r="A1619" s="34" t="s">
        <v>1407</v>
      </c>
    </row>
    <row r="1620" spans="2:9" ht="16">
      <c r="B1620" s="24" t="s">
        <v>36</v>
      </c>
      <c r="C1620" s="24" t="s">
        <v>6</v>
      </c>
      <c r="D1620" s="24" t="s">
        <v>875</v>
      </c>
      <c r="E1620" s="24" t="s">
        <v>8</v>
      </c>
      <c r="F1620" s="24" t="s">
        <v>9</v>
      </c>
      <c r="G1620" s="24" t="s">
        <v>8</v>
      </c>
      <c r="H1620" s="24" t="s">
        <v>819</v>
      </c>
      <c r="I1620" s="27">
        <v>20.01</v>
      </c>
    </row>
    <row r="1621" spans="2:9" ht="16">
      <c r="B1621" s="24" t="s">
        <v>119</v>
      </c>
      <c r="C1621" s="24" t="s">
        <v>6</v>
      </c>
      <c r="D1621" s="24" t="s">
        <v>791</v>
      </c>
      <c r="E1621" s="24" t="s">
        <v>8</v>
      </c>
      <c r="F1621" s="24" t="s">
        <v>9</v>
      </c>
      <c r="G1621" s="24" t="s">
        <v>8</v>
      </c>
      <c r="H1621" s="24" t="s">
        <v>1408</v>
      </c>
      <c r="I1621" s="27">
        <v>25.64</v>
      </c>
    </row>
    <row r="1622" spans="2:9" ht="16">
      <c r="B1622" s="24" t="s">
        <v>127</v>
      </c>
      <c r="C1622" s="24" t="s">
        <v>6</v>
      </c>
      <c r="D1622" s="24" t="s">
        <v>892</v>
      </c>
      <c r="E1622" s="24" t="s">
        <v>8</v>
      </c>
      <c r="F1622" s="24" t="s">
        <v>9</v>
      </c>
      <c r="G1622" s="24" t="s">
        <v>8</v>
      </c>
      <c r="H1622" s="24" t="s">
        <v>1409</v>
      </c>
      <c r="I1622" s="27">
        <v>21.94</v>
      </c>
    </row>
    <row r="1623" spans="2:9" ht="16">
      <c r="B1623" s="24" t="s">
        <v>119</v>
      </c>
      <c r="C1623" s="24" t="s">
        <v>6</v>
      </c>
      <c r="D1623" s="24" t="s">
        <v>784</v>
      </c>
      <c r="E1623" s="24" t="s">
        <v>8</v>
      </c>
      <c r="F1623" s="24" t="s">
        <v>9</v>
      </c>
      <c r="G1623" s="24" t="s">
        <v>8</v>
      </c>
      <c r="H1623" s="24" t="s">
        <v>1410</v>
      </c>
      <c r="I1623" s="27">
        <v>224.66</v>
      </c>
    </row>
    <row r="1624" spans="2:9" ht="16">
      <c r="B1624" s="24" t="s">
        <v>119</v>
      </c>
      <c r="C1624" s="24" t="s">
        <v>6</v>
      </c>
      <c r="D1624" s="24" t="s">
        <v>554</v>
      </c>
      <c r="E1624" s="24" t="s">
        <v>8</v>
      </c>
      <c r="F1624" s="24" t="s">
        <v>9</v>
      </c>
      <c r="G1624" s="24" t="s">
        <v>8</v>
      </c>
      <c r="H1624" s="24" t="s">
        <v>1411</v>
      </c>
      <c r="I1624" s="27">
        <v>80.14</v>
      </c>
    </row>
    <row r="1625" spans="2:9" ht="16">
      <c r="B1625" s="24" t="s">
        <v>127</v>
      </c>
      <c r="C1625" s="24" t="s">
        <v>6</v>
      </c>
      <c r="D1625" s="24" t="s">
        <v>892</v>
      </c>
      <c r="E1625" s="24" t="s">
        <v>8</v>
      </c>
      <c r="F1625" s="24" t="s">
        <v>9</v>
      </c>
      <c r="G1625" s="24" t="s">
        <v>8</v>
      </c>
      <c r="H1625" s="24" t="s">
        <v>655</v>
      </c>
      <c r="I1625" s="27">
        <v>26.18</v>
      </c>
    </row>
    <row r="1626" spans="1:9" ht="16">
      <c r="A1626" s="35" t="s">
        <v>40</v>
      </c>
      <c r="I1626" s="28">
        <f>I1619+I1620+I1621+I1622+I1623+I1624+I1625</f>
        <v>398.57</v>
      </c>
    </row>
    <row r="1627" spans="1:1" ht="16">
      <c r="A1627" s="34" t="s">
        <v>1407</v>
      </c>
    </row>
    <row r="1628" spans="2:9" ht="16">
      <c r="B1628" s="24" t="s">
        <v>45</v>
      </c>
      <c r="C1628" s="24" t="s">
        <v>6</v>
      </c>
      <c r="D1628" s="24" t="s">
        <v>523</v>
      </c>
      <c r="E1628" s="24" t="s">
        <v>8</v>
      </c>
      <c r="F1628" s="24" t="s">
        <v>9</v>
      </c>
      <c r="G1628" s="24" t="s">
        <v>8</v>
      </c>
      <c r="H1628" s="24" t="s">
        <v>47</v>
      </c>
      <c r="I1628" s="27">
        <v>410.08</v>
      </c>
    </row>
    <row r="1629" spans="2:9" ht="16">
      <c r="B1629" s="24" t="s">
        <v>45</v>
      </c>
      <c r="C1629" s="24" t="s">
        <v>6</v>
      </c>
      <c r="D1629" s="24" t="s">
        <v>671</v>
      </c>
      <c r="E1629" s="24" t="s">
        <v>8</v>
      </c>
      <c r="F1629" s="24" t="s">
        <v>9</v>
      </c>
      <c r="G1629" s="24" t="s">
        <v>8</v>
      </c>
      <c r="H1629" s="24" t="s">
        <v>47</v>
      </c>
      <c r="I1629" s="27">
        <v>1806.92</v>
      </c>
    </row>
    <row r="1630" spans="2:9" ht="16">
      <c r="B1630" s="24" t="s">
        <v>45</v>
      </c>
      <c r="C1630" s="24" t="s">
        <v>6</v>
      </c>
      <c r="D1630" s="24" t="s">
        <v>451</v>
      </c>
      <c r="E1630" s="24" t="s">
        <v>8</v>
      </c>
      <c r="F1630" s="24" t="s">
        <v>9</v>
      </c>
      <c r="G1630" s="24" t="s">
        <v>8</v>
      </c>
      <c r="H1630" s="24" t="s">
        <v>47</v>
      </c>
      <c r="I1630" s="27">
        <v>256.3</v>
      </c>
    </row>
    <row r="1631" spans="1:9" ht="16">
      <c r="A1631" s="35" t="s">
        <v>50</v>
      </c>
      <c r="I1631" s="28">
        <f>I1627+I1628+I1629+I1630</f>
        <v>2473.3</v>
      </c>
    </row>
    <row r="1632" spans="1:1" ht="16">
      <c r="A1632" s="34" t="s">
        <v>1407</v>
      </c>
    </row>
    <row r="1633" spans="2:9" ht="16">
      <c r="B1633" s="24" t="s">
        <v>51</v>
      </c>
      <c r="C1633" s="24" t="s">
        <v>6</v>
      </c>
      <c r="D1633" s="24" t="s">
        <v>929</v>
      </c>
      <c r="E1633" s="24" t="s">
        <v>8</v>
      </c>
      <c r="F1633" s="24" t="s">
        <v>9</v>
      </c>
      <c r="G1633" s="24" t="s">
        <v>8</v>
      </c>
      <c r="H1633" s="24" t="s">
        <v>930</v>
      </c>
      <c r="I1633" s="27">
        <v>815.11</v>
      </c>
    </row>
    <row r="1634" spans="2:9" ht="16">
      <c r="B1634" s="24" t="s">
        <v>51</v>
      </c>
      <c r="C1634" s="24" t="s">
        <v>6</v>
      </c>
      <c r="D1634" s="24" t="s">
        <v>557</v>
      </c>
      <c r="E1634" s="24" t="s">
        <v>8</v>
      </c>
      <c r="F1634" s="24" t="s">
        <v>9</v>
      </c>
      <c r="G1634" s="24" t="s">
        <v>8</v>
      </c>
      <c r="H1634" s="24" t="s">
        <v>53</v>
      </c>
      <c r="I1634" s="27">
        <v>104.7</v>
      </c>
    </row>
    <row r="1635" spans="2:9" ht="16">
      <c r="B1635" s="24" t="s">
        <v>51</v>
      </c>
      <c r="C1635" s="24" t="s">
        <v>6</v>
      </c>
      <c r="D1635" s="24" t="s">
        <v>933</v>
      </c>
      <c r="E1635" s="24" t="s">
        <v>8</v>
      </c>
      <c r="F1635" s="24" t="s">
        <v>9</v>
      </c>
      <c r="G1635" s="24" t="s">
        <v>8</v>
      </c>
      <c r="H1635" s="24" t="s">
        <v>53</v>
      </c>
      <c r="I1635" s="27">
        <v>989.8</v>
      </c>
    </row>
    <row r="1636" spans="2:9" ht="16">
      <c r="B1636" s="24" t="s">
        <v>51</v>
      </c>
      <c r="C1636" s="24" t="s">
        <v>6</v>
      </c>
      <c r="D1636" s="24" t="s">
        <v>555</v>
      </c>
      <c r="E1636" s="24" t="s">
        <v>8</v>
      </c>
      <c r="F1636" s="24" t="s">
        <v>9</v>
      </c>
      <c r="G1636" s="24" t="s">
        <v>8</v>
      </c>
      <c r="H1636" s="24" t="s">
        <v>53</v>
      </c>
      <c r="I1636" s="27">
        <v>440.73</v>
      </c>
    </row>
    <row r="1637" spans="2:9" ht="16">
      <c r="B1637" s="24" t="s">
        <v>51</v>
      </c>
      <c r="C1637" s="24" t="s">
        <v>6</v>
      </c>
      <c r="D1637" s="24" t="s">
        <v>512</v>
      </c>
      <c r="E1637" s="24" t="s">
        <v>8</v>
      </c>
      <c r="F1637" s="24" t="s">
        <v>9</v>
      </c>
      <c r="G1637" s="24" t="s">
        <v>8</v>
      </c>
      <c r="H1637" s="24" t="s">
        <v>53</v>
      </c>
      <c r="I1637" s="27">
        <v>2048.34</v>
      </c>
    </row>
    <row r="1638" spans="2:9" ht="16">
      <c r="B1638" s="24" t="s">
        <v>51</v>
      </c>
      <c r="C1638" s="24" t="s">
        <v>6</v>
      </c>
      <c r="D1638" s="24" t="s">
        <v>671</v>
      </c>
      <c r="E1638" s="24" t="s">
        <v>8</v>
      </c>
      <c r="F1638" s="24" t="s">
        <v>9</v>
      </c>
      <c r="G1638" s="24" t="s">
        <v>8</v>
      </c>
      <c r="H1638" s="24" t="s">
        <v>53</v>
      </c>
      <c r="I1638" s="27">
        <v>875.24</v>
      </c>
    </row>
    <row r="1639" spans="1:9" ht="16">
      <c r="A1639" s="35" t="s">
        <v>67</v>
      </c>
      <c r="I1639" s="28">
        <f>I1632+I1633+I1634+I1635+I1636+I1637+I1638</f>
        <v>5273.92</v>
      </c>
    </row>
    <row r="1640" spans="1:9" ht="16">
      <c r="A1640" s="36" t="s">
        <v>1412</v>
      </c>
      <c r="I1640" s="28">
        <f>I1626+I1631+I1639</f>
        <v>8145.790000000001</v>
      </c>
    </row>
    <row r="1641" spans="1:1" ht="16">
      <c r="A1641" s="33" t="s">
        <v>324</v>
      </c>
    </row>
    <row r="1642" spans="1:1" ht="16">
      <c r="A1642" s="34" t="s">
        <v>1413</v>
      </c>
    </row>
    <row r="1643" spans="2:9" ht="16">
      <c r="B1643" s="24" t="s">
        <v>1414</v>
      </c>
      <c r="C1643" s="24" t="s">
        <v>13</v>
      </c>
      <c r="D1643" s="24" t="s">
        <v>1415</v>
      </c>
      <c r="E1643" s="24" t="s">
        <v>1416</v>
      </c>
      <c r="F1643" s="24" t="s">
        <v>9</v>
      </c>
      <c r="G1643" s="24" t="s">
        <v>8</v>
      </c>
      <c r="H1643" s="24" t="s">
        <v>983</v>
      </c>
      <c r="I1643" s="27">
        <v>4643.0</v>
      </c>
    </row>
    <row r="1644" spans="2:9" ht="16">
      <c r="B1644" s="24" t="s">
        <v>1414</v>
      </c>
      <c r="C1644" s="24" t="s">
        <v>6</v>
      </c>
      <c r="D1644" s="24" t="s">
        <v>671</v>
      </c>
      <c r="E1644" s="24" t="s">
        <v>8</v>
      </c>
      <c r="F1644" s="24" t="s">
        <v>9</v>
      </c>
      <c r="G1644" s="24" t="s">
        <v>8</v>
      </c>
      <c r="H1644" s="24" t="s">
        <v>1417</v>
      </c>
      <c r="I1644" s="27">
        <v>2500.0</v>
      </c>
    </row>
    <row r="1645" spans="2:9" ht="16">
      <c r="B1645" s="24" t="s">
        <v>600</v>
      </c>
      <c r="C1645" s="24" t="s">
        <v>6</v>
      </c>
      <c r="D1645" s="24" t="s">
        <v>996</v>
      </c>
      <c r="E1645" s="24" t="s">
        <v>8</v>
      </c>
      <c r="F1645" s="24" t="s">
        <v>9</v>
      </c>
      <c r="G1645" s="24" t="s">
        <v>8</v>
      </c>
      <c r="H1645" s="24" t="s">
        <v>1418</v>
      </c>
      <c r="I1645" s="27">
        <v>20.8</v>
      </c>
    </row>
    <row r="1646" spans="2:9" ht="16">
      <c r="B1646" s="24" t="s">
        <v>589</v>
      </c>
      <c r="C1646" s="24" t="s">
        <v>6</v>
      </c>
      <c r="D1646" s="24" t="s">
        <v>525</v>
      </c>
      <c r="E1646" s="24" t="s">
        <v>8</v>
      </c>
      <c r="F1646" s="24" t="s">
        <v>9</v>
      </c>
      <c r="G1646" s="24" t="s">
        <v>8</v>
      </c>
      <c r="H1646" s="24" t="s">
        <v>1419</v>
      </c>
      <c r="I1646" s="27">
        <v>170.0</v>
      </c>
    </row>
    <row r="1647" spans="2:9" ht="16">
      <c r="B1647" s="24" t="s">
        <v>589</v>
      </c>
      <c r="C1647" s="24" t="s">
        <v>6</v>
      </c>
      <c r="D1647" s="24" t="s">
        <v>1016</v>
      </c>
      <c r="E1647" s="24" t="s">
        <v>8</v>
      </c>
      <c r="F1647" s="24" t="s">
        <v>9</v>
      </c>
      <c r="G1647" s="24" t="s">
        <v>8</v>
      </c>
      <c r="H1647" s="24" t="s">
        <v>1420</v>
      </c>
      <c r="I1647" s="27">
        <v>-87.46</v>
      </c>
    </row>
    <row r="1648" spans="2:9" ht="16">
      <c r="B1648" s="24" t="s">
        <v>589</v>
      </c>
      <c r="C1648" s="24" t="s">
        <v>6</v>
      </c>
      <c r="D1648" s="24" t="s">
        <v>1016</v>
      </c>
      <c r="E1648" s="24" t="s">
        <v>8</v>
      </c>
      <c r="F1648" s="24" t="s">
        <v>9</v>
      </c>
      <c r="G1648" s="24" t="s">
        <v>8</v>
      </c>
      <c r="H1648" s="24" t="s">
        <v>1420</v>
      </c>
      <c r="I1648" s="27">
        <v>87.46</v>
      </c>
    </row>
    <row r="1649" spans="2:9" ht="16">
      <c r="B1649" s="24" t="s">
        <v>119</v>
      </c>
      <c r="C1649" s="24" t="s">
        <v>6</v>
      </c>
      <c r="D1649" s="24" t="s">
        <v>1016</v>
      </c>
      <c r="E1649" s="24" t="s">
        <v>8</v>
      </c>
      <c r="F1649" s="24" t="s">
        <v>9</v>
      </c>
      <c r="G1649" s="24" t="s">
        <v>8</v>
      </c>
      <c r="H1649" s="24" t="s">
        <v>1421</v>
      </c>
      <c r="I1649" s="27">
        <v>52.98</v>
      </c>
    </row>
    <row r="1650" spans="2:9" ht="16">
      <c r="B1650" s="24" t="s">
        <v>36</v>
      </c>
      <c r="C1650" s="24" t="s">
        <v>6</v>
      </c>
      <c r="D1650" s="24" t="s">
        <v>1119</v>
      </c>
      <c r="E1650" s="24" t="s">
        <v>8</v>
      </c>
      <c r="F1650" s="24" t="s">
        <v>9</v>
      </c>
      <c r="G1650" s="24" t="s">
        <v>8</v>
      </c>
      <c r="H1650" s="24" t="s">
        <v>1422</v>
      </c>
      <c r="I1650" s="27">
        <v>87.66</v>
      </c>
    </row>
    <row r="1651" spans="2:9" ht="16">
      <c r="B1651" s="24" t="s">
        <v>127</v>
      </c>
      <c r="C1651" s="24" t="s">
        <v>6</v>
      </c>
      <c r="D1651" s="24" t="s">
        <v>908</v>
      </c>
      <c r="E1651" s="24" t="s">
        <v>8</v>
      </c>
      <c r="F1651" s="24" t="s">
        <v>9</v>
      </c>
      <c r="G1651" s="24" t="s">
        <v>8</v>
      </c>
      <c r="H1651" s="24" t="s">
        <v>1423</v>
      </c>
      <c r="I1651" s="27">
        <v>17.99</v>
      </c>
    </row>
    <row r="1652" spans="2:9" ht="16">
      <c r="B1652" s="24" t="s">
        <v>36</v>
      </c>
      <c r="C1652" s="24" t="s">
        <v>6</v>
      </c>
      <c r="D1652" s="24" t="s">
        <v>1424</v>
      </c>
      <c r="E1652" s="24" t="s">
        <v>8</v>
      </c>
      <c r="F1652" s="24" t="s">
        <v>9</v>
      </c>
      <c r="G1652" s="24" t="s">
        <v>8</v>
      </c>
      <c r="H1652" s="24" t="s">
        <v>1425</v>
      </c>
      <c r="I1652" s="27">
        <v>32.8</v>
      </c>
    </row>
    <row r="1653" spans="2:9" ht="16">
      <c r="B1653" s="24" t="s">
        <v>127</v>
      </c>
      <c r="C1653" s="24" t="s">
        <v>6</v>
      </c>
      <c r="D1653" s="24" t="s">
        <v>1426</v>
      </c>
      <c r="E1653" s="24" t="s">
        <v>8</v>
      </c>
      <c r="F1653" s="24" t="s">
        <v>9</v>
      </c>
      <c r="G1653" s="24" t="s">
        <v>8</v>
      </c>
      <c r="H1653" s="24" t="s">
        <v>1427</v>
      </c>
      <c r="I1653" s="27">
        <v>30.77</v>
      </c>
    </row>
    <row r="1654" spans="1:9" ht="16">
      <c r="A1654" s="35" t="s">
        <v>40</v>
      </c>
      <c r="I1654" s="28">
        <f>I1642+I1643+I1644+I1645+I1646+I1647+I1648+I1649+I1650+I1651+I1652+I1653</f>
        <v>7556.0</v>
      </c>
    </row>
    <row r="1655" spans="1:1" ht="16">
      <c r="A1655" s="34" t="s">
        <v>1413</v>
      </c>
    </row>
    <row r="1656" spans="2:9" ht="16">
      <c r="B1656" s="24" t="s">
        <v>119</v>
      </c>
      <c r="C1656" s="24" t="s">
        <v>6</v>
      </c>
      <c r="D1656" s="24" t="s">
        <v>1428</v>
      </c>
      <c r="E1656" s="24" t="s">
        <v>8</v>
      </c>
      <c r="F1656" s="24" t="s">
        <v>9</v>
      </c>
      <c r="G1656" s="24" t="s">
        <v>8</v>
      </c>
      <c r="H1656" s="24" t="s">
        <v>1429</v>
      </c>
      <c r="I1656" s="27">
        <v>164.98</v>
      </c>
    </row>
    <row r="1657" spans="2:9" ht="16">
      <c r="B1657" s="24" t="s">
        <v>119</v>
      </c>
      <c r="C1657" s="24" t="s">
        <v>6</v>
      </c>
      <c r="D1657" s="24" t="s">
        <v>1415</v>
      </c>
      <c r="E1657" s="24" t="s">
        <v>8</v>
      </c>
      <c r="F1657" s="24" t="s">
        <v>9</v>
      </c>
      <c r="G1657" s="24" t="s">
        <v>8</v>
      </c>
      <c r="H1657" s="24" t="s">
        <v>1430</v>
      </c>
      <c r="I1657" s="27">
        <v>191.03</v>
      </c>
    </row>
    <row r="1658" spans="2:9" ht="16">
      <c r="B1658" s="24" t="s">
        <v>119</v>
      </c>
      <c r="C1658" s="24" t="s">
        <v>6</v>
      </c>
      <c r="D1658" s="24" t="s">
        <v>1424</v>
      </c>
      <c r="E1658" s="24" t="s">
        <v>8</v>
      </c>
      <c r="F1658" s="24" t="s">
        <v>9</v>
      </c>
      <c r="G1658" s="24" t="s">
        <v>8</v>
      </c>
      <c r="H1658" s="24" t="s">
        <v>1431</v>
      </c>
      <c r="I1658" s="27">
        <v>15.29</v>
      </c>
    </row>
    <row r="1659" spans="1:9" ht="16">
      <c r="A1659" s="35" t="s">
        <v>267</v>
      </c>
      <c r="I1659" s="28">
        <f>I1655+I1656+I1657+I1658</f>
        <v>371.3</v>
      </c>
    </row>
    <row r="1660" spans="1:1" ht="16">
      <c r="A1660" s="34" t="s">
        <v>1413</v>
      </c>
    </row>
    <row r="1661" spans="2:9" ht="16">
      <c r="B1661" s="24" t="s">
        <v>45</v>
      </c>
      <c r="C1661" s="24" t="s">
        <v>6</v>
      </c>
      <c r="D1661" s="24" t="s">
        <v>451</v>
      </c>
      <c r="E1661" s="24" t="s">
        <v>8</v>
      </c>
      <c r="F1661" s="24" t="s">
        <v>9</v>
      </c>
      <c r="G1661" s="24" t="s">
        <v>8</v>
      </c>
      <c r="H1661" s="24" t="s">
        <v>47</v>
      </c>
      <c r="I1661" s="27">
        <v>307.56</v>
      </c>
    </row>
    <row r="1662" spans="2:9" ht="16">
      <c r="B1662" s="24" t="s">
        <v>45</v>
      </c>
      <c r="C1662" s="24" t="s">
        <v>6</v>
      </c>
      <c r="D1662" s="24" t="s">
        <v>523</v>
      </c>
      <c r="E1662" s="24" t="s">
        <v>8</v>
      </c>
      <c r="F1662" s="24" t="s">
        <v>9</v>
      </c>
      <c r="G1662" s="24" t="s">
        <v>8</v>
      </c>
      <c r="H1662" s="24" t="s">
        <v>47</v>
      </c>
      <c r="I1662" s="27">
        <v>927.8</v>
      </c>
    </row>
    <row r="1663" spans="2:9" ht="16">
      <c r="B1663" s="24" t="s">
        <v>8</v>
      </c>
      <c r="C1663" s="24" t="s">
        <v>6</v>
      </c>
      <c r="D1663" s="24" t="s">
        <v>550</v>
      </c>
      <c r="E1663" s="24" t="s">
        <v>8</v>
      </c>
      <c r="F1663" s="24" t="s">
        <v>9</v>
      </c>
      <c r="G1663" s="24" t="s">
        <v>8</v>
      </c>
      <c r="H1663" s="24" t="s">
        <v>47</v>
      </c>
      <c r="I1663" s="27">
        <v>128.15</v>
      </c>
    </row>
    <row r="1664" spans="1:9" ht="16">
      <c r="A1664" s="35" t="s">
        <v>50</v>
      </c>
      <c r="I1664" s="28">
        <f>I1660+I1661+I1662+I1663</f>
        <v>1363.51</v>
      </c>
    </row>
    <row r="1665" spans="1:1" ht="16">
      <c r="A1665" s="34" t="s">
        <v>1413</v>
      </c>
    </row>
    <row r="1666" spans="2:9" ht="16">
      <c r="B1666" s="24" t="s">
        <v>51</v>
      </c>
      <c r="C1666" s="24" t="s">
        <v>6</v>
      </c>
      <c r="D1666" s="24" t="s">
        <v>554</v>
      </c>
      <c r="E1666" s="24" t="s">
        <v>8</v>
      </c>
      <c r="F1666" s="24" t="s">
        <v>9</v>
      </c>
      <c r="G1666" s="24" t="s">
        <v>8</v>
      </c>
      <c r="H1666" s="24" t="s">
        <v>53</v>
      </c>
      <c r="I1666" s="27">
        <v>949.62</v>
      </c>
    </row>
    <row r="1667" spans="2:9" ht="16">
      <c r="B1667" s="24" t="s">
        <v>51</v>
      </c>
      <c r="C1667" s="24" t="s">
        <v>6</v>
      </c>
      <c r="D1667" s="24" t="s">
        <v>552</v>
      </c>
      <c r="E1667" s="24" t="s">
        <v>8</v>
      </c>
      <c r="F1667" s="24" t="s">
        <v>9</v>
      </c>
      <c r="G1667" s="24" t="s">
        <v>8</v>
      </c>
      <c r="H1667" s="24" t="s">
        <v>53</v>
      </c>
      <c r="I1667" s="27">
        <v>236.6</v>
      </c>
    </row>
    <row r="1668" spans="2:9" ht="16">
      <c r="B1668" s="24" t="s">
        <v>51</v>
      </c>
      <c r="C1668" s="24" t="s">
        <v>6</v>
      </c>
      <c r="D1668" s="24" t="s">
        <v>558</v>
      </c>
      <c r="E1668" s="24" t="s">
        <v>8</v>
      </c>
      <c r="F1668" s="24" t="s">
        <v>9</v>
      </c>
      <c r="G1668" s="24" t="s">
        <v>8</v>
      </c>
      <c r="H1668" s="24" t="s">
        <v>53</v>
      </c>
      <c r="I1668" s="27">
        <v>242.91</v>
      </c>
    </row>
    <row r="1669" spans="2:9" ht="16">
      <c r="B1669" s="24" t="s">
        <v>51</v>
      </c>
      <c r="C1669" s="24" t="s">
        <v>6</v>
      </c>
      <c r="D1669" s="24" t="s">
        <v>501</v>
      </c>
      <c r="E1669" s="24" t="s">
        <v>8</v>
      </c>
      <c r="F1669" s="24" t="s">
        <v>9</v>
      </c>
      <c r="G1669" s="24" t="s">
        <v>8</v>
      </c>
      <c r="H1669" s="24" t="s">
        <v>53</v>
      </c>
      <c r="I1669" s="27">
        <v>634.44</v>
      </c>
    </row>
    <row r="1670" spans="2:9" ht="16">
      <c r="B1670" s="24" t="s">
        <v>51</v>
      </c>
      <c r="C1670" s="24" t="s">
        <v>6</v>
      </c>
      <c r="D1670" s="24" t="s">
        <v>553</v>
      </c>
      <c r="E1670" s="24" t="s">
        <v>8</v>
      </c>
      <c r="F1670" s="24" t="s">
        <v>9</v>
      </c>
      <c r="G1670" s="24" t="s">
        <v>8</v>
      </c>
      <c r="H1670" s="24" t="s">
        <v>53</v>
      </c>
      <c r="I1670" s="27">
        <v>1022.77</v>
      </c>
    </row>
    <row r="1671" spans="1:9" ht="16">
      <c r="A1671" s="35" t="s">
        <v>67</v>
      </c>
      <c r="I1671" s="28">
        <f>I1665+I1666+I1667+I1668+I1669+I1670</f>
        <v>3086.34</v>
      </c>
    </row>
    <row r="1672" spans="1:9" ht="16">
      <c r="A1672" s="36" t="s">
        <v>1432</v>
      </c>
      <c r="I1672" s="28">
        <f>I1654+I1659+I1664+I1671</f>
        <v>12377.15</v>
      </c>
    </row>
    <row r="1673" spans="1:1" ht="16">
      <c r="A1673" s="33" t="s">
        <v>172</v>
      </c>
    </row>
    <row r="1674" spans="1:1" ht="16">
      <c r="A1674" s="34" t="s">
        <v>1433</v>
      </c>
    </row>
    <row r="1675" spans="2:9" ht="16">
      <c r="B1675" s="24" t="s">
        <v>957</v>
      </c>
      <c r="C1675" s="24" t="s">
        <v>6</v>
      </c>
      <c r="D1675" s="24" t="s">
        <v>553</v>
      </c>
      <c r="E1675" s="24" t="s">
        <v>8</v>
      </c>
      <c r="F1675" s="24" t="s">
        <v>9</v>
      </c>
      <c r="G1675" s="24" t="s">
        <v>8</v>
      </c>
      <c r="H1675" s="24" t="s">
        <v>958</v>
      </c>
      <c r="I1675" s="27">
        <v>345.0</v>
      </c>
    </row>
    <row r="1676" spans="2:9" ht="16">
      <c r="B1676" s="24" t="s">
        <v>957</v>
      </c>
      <c r="C1676" s="24" t="s">
        <v>6</v>
      </c>
      <c r="D1676" s="24" t="s">
        <v>555</v>
      </c>
      <c r="E1676" s="24" t="s">
        <v>8</v>
      </c>
      <c r="F1676" s="24" t="s">
        <v>9</v>
      </c>
      <c r="G1676" s="24" t="s">
        <v>8</v>
      </c>
      <c r="H1676" s="24" t="s">
        <v>1434</v>
      </c>
      <c r="I1676" s="27">
        <v>382.1</v>
      </c>
    </row>
    <row r="1677" spans="1:9" ht="16">
      <c r="A1677" s="35" t="s">
        <v>81</v>
      </c>
      <c r="I1677" s="28">
        <f>I1674+I1675+I1676</f>
        <v>727.1</v>
      </c>
    </row>
    <row r="1678" spans="1:1" ht="16">
      <c r="A1678" s="34" t="s">
        <v>1433</v>
      </c>
    </row>
    <row r="1679" spans="2:9" ht="16">
      <c r="B1679" s="24" t="s">
        <v>589</v>
      </c>
      <c r="C1679" s="24" t="s">
        <v>6</v>
      </c>
      <c r="D1679" s="24" t="s">
        <v>453</v>
      </c>
      <c r="E1679" s="24" t="s">
        <v>8</v>
      </c>
      <c r="F1679" s="24" t="s">
        <v>9</v>
      </c>
      <c r="G1679" s="24" t="s">
        <v>8</v>
      </c>
      <c r="H1679" s="24" t="s">
        <v>1435</v>
      </c>
      <c r="I1679" s="27">
        <v>72.39</v>
      </c>
    </row>
    <row r="1680" spans="2:9" ht="16">
      <c r="B1680" s="24" t="s">
        <v>589</v>
      </c>
      <c r="C1680" s="24" t="s">
        <v>6</v>
      </c>
      <c r="D1680" s="24" t="s">
        <v>453</v>
      </c>
      <c r="E1680" s="24" t="s">
        <v>8</v>
      </c>
      <c r="F1680" s="24" t="s">
        <v>9</v>
      </c>
      <c r="G1680" s="24" t="s">
        <v>8</v>
      </c>
      <c r="H1680" s="24" t="s">
        <v>1435</v>
      </c>
      <c r="I1680" s="27">
        <v>-72.39</v>
      </c>
    </row>
    <row r="1681" spans="2:9" ht="16">
      <c r="B1681" s="24" t="s">
        <v>589</v>
      </c>
      <c r="C1681" s="24" t="s">
        <v>6</v>
      </c>
      <c r="D1681" s="24" t="s">
        <v>453</v>
      </c>
      <c r="E1681" s="24" t="s">
        <v>8</v>
      </c>
      <c r="F1681" s="24" t="s">
        <v>9</v>
      </c>
      <c r="G1681" s="24" t="s">
        <v>8</v>
      </c>
      <c r="H1681" s="24" t="s">
        <v>591</v>
      </c>
      <c r="I1681" s="27">
        <v>77.63</v>
      </c>
    </row>
    <row r="1682" spans="2:9" ht="16">
      <c r="B1682" s="24" t="s">
        <v>589</v>
      </c>
      <c r="C1682" s="24" t="s">
        <v>6</v>
      </c>
      <c r="D1682" s="24" t="s">
        <v>453</v>
      </c>
      <c r="E1682" s="24" t="s">
        <v>8</v>
      </c>
      <c r="F1682" s="24" t="s">
        <v>9</v>
      </c>
      <c r="G1682" s="24" t="s">
        <v>8</v>
      </c>
      <c r="H1682" s="24" t="s">
        <v>591</v>
      </c>
      <c r="I1682" s="27">
        <v>-77.63</v>
      </c>
    </row>
    <row r="1683" spans="2:9" ht="16">
      <c r="B1683" s="24" t="s">
        <v>589</v>
      </c>
      <c r="C1683" s="24" t="s">
        <v>6</v>
      </c>
      <c r="D1683" s="24" t="s">
        <v>654</v>
      </c>
      <c r="E1683" s="24" t="s">
        <v>8</v>
      </c>
      <c r="F1683" s="24" t="s">
        <v>9</v>
      </c>
      <c r="G1683" s="24" t="s">
        <v>8</v>
      </c>
      <c r="H1683" s="24" t="s">
        <v>1436</v>
      </c>
      <c r="I1683" s="27">
        <v>-53.38</v>
      </c>
    </row>
    <row r="1684" spans="2:9" ht="16">
      <c r="B1684" s="24" t="s">
        <v>589</v>
      </c>
      <c r="C1684" s="24" t="s">
        <v>6</v>
      </c>
      <c r="D1684" s="24" t="s">
        <v>654</v>
      </c>
      <c r="E1684" s="24" t="s">
        <v>8</v>
      </c>
      <c r="F1684" s="24" t="s">
        <v>9</v>
      </c>
      <c r="G1684" s="24" t="s">
        <v>8</v>
      </c>
      <c r="H1684" s="24" t="s">
        <v>1436</v>
      </c>
      <c r="I1684" s="27">
        <v>53.38</v>
      </c>
    </row>
    <row r="1685" spans="2:9" ht="16">
      <c r="B1685" s="24" t="s">
        <v>589</v>
      </c>
      <c r="C1685" s="24" t="s">
        <v>6</v>
      </c>
      <c r="D1685" s="24" t="s">
        <v>1437</v>
      </c>
      <c r="E1685" s="24" t="s">
        <v>8</v>
      </c>
      <c r="F1685" s="24" t="s">
        <v>9</v>
      </c>
      <c r="G1685" s="24" t="s">
        <v>8</v>
      </c>
      <c r="H1685" s="24" t="s">
        <v>1438</v>
      </c>
      <c r="I1685" s="27">
        <v>419.88</v>
      </c>
    </row>
    <row r="1686" spans="2:9" ht="16">
      <c r="B1686" s="24" t="s">
        <v>589</v>
      </c>
      <c r="C1686" s="24" t="s">
        <v>6</v>
      </c>
      <c r="D1686" s="24" t="s">
        <v>1437</v>
      </c>
      <c r="E1686" s="24" t="s">
        <v>8</v>
      </c>
      <c r="F1686" s="24" t="s">
        <v>9</v>
      </c>
      <c r="G1686" s="24" t="s">
        <v>8</v>
      </c>
      <c r="H1686" s="24" t="s">
        <v>1438</v>
      </c>
      <c r="I1686" s="27">
        <v>-419.88</v>
      </c>
    </row>
    <row r="1687" spans="2:9" ht="16">
      <c r="B1687" s="24" t="s">
        <v>127</v>
      </c>
      <c r="C1687" s="24" t="s">
        <v>6</v>
      </c>
      <c r="D1687" s="24" t="s">
        <v>529</v>
      </c>
      <c r="E1687" s="24" t="s">
        <v>8</v>
      </c>
      <c r="F1687" s="24" t="s">
        <v>9</v>
      </c>
      <c r="G1687" s="24" t="s">
        <v>8</v>
      </c>
      <c r="H1687" s="24" t="s">
        <v>1439</v>
      </c>
      <c r="I1687" s="27">
        <v>102.75</v>
      </c>
    </row>
    <row r="1688" spans="2:9" ht="16">
      <c r="B1688" s="24" t="s">
        <v>1041</v>
      </c>
      <c r="C1688" s="24" t="s">
        <v>6</v>
      </c>
      <c r="D1688" s="24" t="s">
        <v>453</v>
      </c>
      <c r="E1688" s="24" t="s">
        <v>8</v>
      </c>
      <c r="F1688" s="24" t="s">
        <v>9</v>
      </c>
      <c r="G1688" s="24" t="s">
        <v>8</v>
      </c>
      <c r="H1688" s="24" t="s">
        <v>1440</v>
      </c>
      <c r="I1688" s="27">
        <v>8.1</v>
      </c>
    </row>
    <row r="1689" spans="2:9" ht="16">
      <c r="B1689" s="24" t="s">
        <v>1441</v>
      </c>
      <c r="C1689" s="24" t="s">
        <v>13</v>
      </c>
      <c r="D1689" s="24" t="s">
        <v>1442</v>
      </c>
      <c r="E1689" s="24" t="s">
        <v>1443</v>
      </c>
      <c r="F1689" s="24" t="s">
        <v>9</v>
      </c>
      <c r="G1689" s="24" t="s">
        <v>8</v>
      </c>
      <c r="H1689" s="24" t="s">
        <v>1444</v>
      </c>
      <c r="I1689" s="27">
        <v>17659.0</v>
      </c>
    </row>
    <row r="1690" spans="2:9" ht="16">
      <c r="B1690" s="24" t="s">
        <v>21</v>
      </c>
      <c r="C1690" s="24" t="s">
        <v>13</v>
      </c>
      <c r="D1690" s="24" t="s">
        <v>501</v>
      </c>
      <c r="E1690" s="24" t="s">
        <v>1445</v>
      </c>
      <c r="F1690" s="24" t="s">
        <v>9</v>
      </c>
      <c r="G1690" s="24" t="s">
        <v>8</v>
      </c>
      <c r="H1690" s="24" t="s">
        <v>837</v>
      </c>
      <c r="I1690" s="27">
        <v>2152.24</v>
      </c>
    </row>
    <row r="1691" spans="2:9" ht="16">
      <c r="B1691" s="24" t="s">
        <v>119</v>
      </c>
      <c r="C1691" s="24" t="s">
        <v>6</v>
      </c>
      <c r="D1691" s="24" t="s">
        <v>1058</v>
      </c>
      <c r="E1691" s="24" t="s">
        <v>8</v>
      </c>
      <c r="F1691" s="24" t="s">
        <v>9</v>
      </c>
      <c r="G1691" s="24" t="s">
        <v>8</v>
      </c>
      <c r="H1691" s="24" t="s">
        <v>1446</v>
      </c>
      <c r="I1691" s="27">
        <v>40.71</v>
      </c>
    </row>
    <row r="1692" spans="2:9" ht="16">
      <c r="B1692" s="24" t="s">
        <v>119</v>
      </c>
      <c r="C1692" s="24" t="s">
        <v>6</v>
      </c>
      <c r="D1692" s="24" t="s">
        <v>1058</v>
      </c>
      <c r="E1692" s="24" t="s">
        <v>8</v>
      </c>
      <c r="F1692" s="24" t="s">
        <v>9</v>
      </c>
      <c r="G1692" s="24" t="s">
        <v>8</v>
      </c>
      <c r="H1692" s="24" t="s">
        <v>1447</v>
      </c>
      <c r="I1692" s="27">
        <v>41.82</v>
      </c>
    </row>
    <row r="1693" spans="2:9" ht="16">
      <c r="B1693" s="24" t="s">
        <v>589</v>
      </c>
      <c r="C1693" s="24" t="s">
        <v>6</v>
      </c>
      <c r="D1693" s="24" t="s">
        <v>529</v>
      </c>
      <c r="E1693" s="24" t="s">
        <v>8</v>
      </c>
      <c r="F1693" s="24" t="s">
        <v>9</v>
      </c>
      <c r="G1693" s="24" t="s">
        <v>8</v>
      </c>
      <c r="H1693" s="24" t="s">
        <v>1448</v>
      </c>
      <c r="I1693" s="27">
        <v>-205.79</v>
      </c>
    </row>
    <row r="1694" spans="2:9" ht="16">
      <c r="B1694" s="24" t="s">
        <v>589</v>
      </c>
      <c r="C1694" s="24" t="s">
        <v>6</v>
      </c>
      <c r="D1694" s="24" t="s">
        <v>529</v>
      </c>
      <c r="E1694" s="24" t="s">
        <v>8</v>
      </c>
      <c r="F1694" s="24" t="s">
        <v>9</v>
      </c>
      <c r="G1694" s="24" t="s">
        <v>8</v>
      </c>
      <c r="H1694" s="24" t="s">
        <v>1448</v>
      </c>
      <c r="I1694" s="27">
        <v>205.79</v>
      </c>
    </row>
    <row r="1695" spans="2:9" ht="16">
      <c r="B1695" s="24" t="s">
        <v>390</v>
      </c>
      <c r="C1695" s="24" t="s">
        <v>6</v>
      </c>
      <c r="D1695" s="24" t="s">
        <v>901</v>
      </c>
      <c r="E1695" s="24" t="s">
        <v>8</v>
      </c>
      <c r="F1695" s="24" t="s">
        <v>9</v>
      </c>
      <c r="G1695" s="24" t="s">
        <v>8</v>
      </c>
      <c r="H1695" s="24" t="s">
        <v>1449</v>
      </c>
      <c r="I1695" s="27">
        <v>103.27</v>
      </c>
    </row>
    <row r="1696" spans="2:9" ht="16">
      <c r="B1696" s="24" t="s">
        <v>390</v>
      </c>
      <c r="C1696" s="24" t="s">
        <v>6</v>
      </c>
      <c r="D1696" s="24" t="s">
        <v>901</v>
      </c>
      <c r="E1696" s="24" t="s">
        <v>8</v>
      </c>
      <c r="F1696" s="24" t="s">
        <v>9</v>
      </c>
      <c r="G1696" s="24" t="s">
        <v>8</v>
      </c>
      <c r="H1696" s="24" t="s">
        <v>1450</v>
      </c>
      <c r="I1696" s="27">
        <v>5.46</v>
      </c>
    </row>
    <row r="1697" spans="2:9" ht="16">
      <c r="B1697" s="24" t="s">
        <v>1451</v>
      </c>
      <c r="C1697" s="24" t="s">
        <v>6</v>
      </c>
      <c r="D1697" s="24" t="s">
        <v>1452</v>
      </c>
      <c r="E1697" s="24" t="s">
        <v>8</v>
      </c>
      <c r="F1697" s="24" t="s">
        <v>9</v>
      </c>
      <c r="G1697" s="24" t="s">
        <v>8</v>
      </c>
      <c r="H1697" s="24" t="s">
        <v>1453</v>
      </c>
      <c r="I1697" s="27">
        <v>128.49</v>
      </c>
    </row>
    <row r="1698" spans="2:9" ht="16">
      <c r="B1698" s="24" t="s">
        <v>589</v>
      </c>
      <c r="C1698" s="24" t="s">
        <v>6</v>
      </c>
      <c r="D1698" s="24" t="s">
        <v>1279</v>
      </c>
      <c r="E1698" s="24" t="s">
        <v>8</v>
      </c>
      <c r="F1698" s="24" t="s">
        <v>9</v>
      </c>
      <c r="G1698" s="24" t="s">
        <v>8</v>
      </c>
      <c r="H1698" s="24" t="s">
        <v>1454</v>
      </c>
      <c r="I1698" s="27">
        <v>-72.82</v>
      </c>
    </row>
    <row r="1699" spans="2:9" ht="16">
      <c r="B1699" s="24" t="s">
        <v>589</v>
      </c>
      <c r="C1699" s="24" t="s">
        <v>6</v>
      </c>
      <c r="D1699" s="24" t="s">
        <v>1279</v>
      </c>
      <c r="E1699" s="24" t="s">
        <v>8</v>
      </c>
      <c r="F1699" s="24" t="s">
        <v>9</v>
      </c>
      <c r="G1699" s="24" t="s">
        <v>8</v>
      </c>
      <c r="H1699" s="24" t="s">
        <v>1454</v>
      </c>
      <c r="I1699" s="27">
        <v>72.82</v>
      </c>
    </row>
    <row r="1700" spans="2:9" ht="16">
      <c r="B1700" s="24" t="s">
        <v>1451</v>
      </c>
      <c r="C1700" s="24" t="s">
        <v>6</v>
      </c>
      <c r="D1700" s="24" t="s">
        <v>1324</v>
      </c>
      <c r="E1700" s="24" t="s">
        <v>8</v>
      </c>
      <c r="F1700" s="24" t="s">
        <v>9</v>
      </c>
      <c r="G1700" s="24" t="s">
        <v>8</v>
      </c>
      <c r="H1700" s="24" t="s">
        <v>1455</v>
      </c>
      <c r="I1700" s="27">
        <v>114.58</v>
      </c>
    </row>
    <row r="1701" spans="2:9" ht="16">
      <c r="B1701" s="24" t="s">
        <v>119</v>
      </c>
      <c r="C1701" s="24" t="s">
        <v>6</v>
      </c>
      <c r="D1701" s="24" t="s">
        <v>1456</v>
      </c>
      <c r="E1701" s="24" t="s">
        <v>8</v>
      </c>
      <c r="F1701" s="24" t="s">
        <v>9</v>
      </c>
      <c r="G1701" s="24" t="s">
        <v>8</v>
      </c>
      <c r="H1701" s="24" t="s">
        <v>1457</v>
      </c>
      <c r="I1701" s="27">
        <v>88.44</v>
      </c>
    </row>
    <row r="1702" spans="2:9" ht="16">
      <c r="B1702" s="24" t="s">
        <v>589</v>
      </c>
      <c r="C1702" s="24" t="s">
        <v>6</v>
      </c>
      <c r="D1702" s="24" t="s">
        <v>525</v>
      </c>
      <c r="E1702" s="24" t="s">
        <v>8</v>
      </c>
      <c r="F1702" s="24" t="s">
        <v>9</v>
      </c>
      <c r="G1702" s="24" t="s">
        <v>8</v>
      </c>
      <c r="H1702" s="24" t="s">
        <v>1458</v>
      </c>
      <c r="I1702" s="27">
        <v>369.42</v>
      </c>
    </row>
    <row r="1703" spans="2:9" ht="16">
      <c r="B1703" s="24" t="s">
        <v>390</v>
      </c>
      <c r="C1703" s="24" t="s">
        <v>6</v>
      </c>
      <c r="D1703" s="24" t="s">
        <v>1019</v>
      </c>
      <c r="E1703" s="24" t="s">
        <v>8</v>
      </c>
      <c r="F1703" s="24" t="s">
        <v>9</v>
      </c>
      <c r="G1703" s="24" t="s">
        <v>8</v>
      </c>
      <c r="H1703" s="24" t="s">
        <v>1459</v>
      </c>
      <c r="I1703" s="27">
        <v>30.73</v>
      </c>
    </row>
    <row r="1704" spans="2:9" ht="16">
      <c r="B1704" s="24" t="s">
        <v>119</v>
      </c>
      <c r="C1704" s="24" t="s">
        <v>6</v>
      </c>
      <c r="D1704" s="24" t="s">
        <v>648</v>
      </c>
      <c r="E1704" s="24" t="s">
        <v>8</v>
      </c>
      <c r="F1704" s="24" t="s">
        <v>9</v>
      </c>
      <c r="G1704" s="24" t="s">
        <v>8</v>
      </c>
      <c r="H1704" s="24" t="s">
        <v>644</v>
      </c>
      <c r="I1704" s="27">
        <v>26.06</v>
      </c>
    </row>
    <row r="1705" spans="2:9" ht="16">
      <c r="B1705" s="24" t="s">
        <v>119</v>
      </c>
      <c r="C1705" s="24" t="s">
        <v>6</v>
      </c>
      <c r="D1705" s="24" t="s">
        <v>908</v>
      </c>
      <c r="E1705" s="24" t="s">
        <v>8</v>
      </c>
      <c r="F1705" s="24" t="s">
        <v>9</v>
      </c>
      <c r="G1705" s="24" t="s">
        <v>8</v>
      </c>
      <c r="H1705" s="24" t="s">
        <v>1103</v>
      </c>
      <c r="I1705" s="27">
        <v>58.78</v>
      </c>
    </row>
    <row r="1706" spans="2:9" ht="16">
      <c r="B1706" s="24" t="s">
        <v>119</v>
      </c>
      <c r="C1706" s="24" t="s">
        <v>6</v>
      </c>
      <c r="D1706" s="24" t="s">
        <v>1279</v>
      </c>
      <c r="E1706" s="24" t="s">
        <v>8</v>
      </c>
      <c r="F1706" s="24" t="s">
        <v>9</v>
      </c>
      <c r="G1706" s="24" t="s">
        <v>8</v>
      </c>
      <c r="H1706" s="24" t="s">
        <v>649</v>
      </c>
      <c r="I1706" s="27">
        <v>48.63</v>
      </c>
    </row>
    <row r="1707" spans="2:9" ht="16">
      <c r="B1707" s="24" t="s">
        <v>119</v>
      </c>
      <c r="C1707" s="24" t="s">
        <v>6</v>
      </c>
      <c r="D1707" s="24" t="s">
        <v>551</v>
      </c>
      <c r="E1707" s="24" t="s">
        <v>8</v>
      </c>
      <c r="F1707" s="24" t="s">
        <v>9</v>
      </c>
      <c r="G1707" s="24" t="s">
        <v>8</v>
      </c>
      <c r="H1707" s="24" t="s">
        <v>1460</v>
      </c>
      <c r="I1707" s="27">
        <v>67.63</v>
      </c>
    </row>
    <row r="1708" spans="2:9" ht="16">
      <c r="B1708" s="24" t="s">
        <v>633</v>
      </c>
      <c r="C1708" s="24" t="s">
        <v>6</v>
      </c>
      <c r="D1708" s="24" t="s">
        <v>1461</v>
      </c>
      <c r="E1708" s="24" t="s">
        <v>8</v>
      </c>
      <c r="F1708" s="24" t="s">
        <v>9</v>
      </c>
      <c r="G1708" s="24" t="s">
        <v>8</v>
      </c>
      <c r="H1708" s="24" t="s">
        <v>1462</v>
      </c>
      <c r="I1708" s="27">
        <v>2600.0</v>
      </c>
    </row>
    <row r="1709" spans="2:9" ht="16">
      <c r="B1709" s="24" t="s">
        <v>127</v>
      </c>
      <c r="C1709" s="24" t="s">
        <v>6</v>
      </c>
      <c r="D1709" s="24" t="s">
        <v>1019</v>
      </c>
      <c r="E1709" s="24" t="s">
        <v>8</v>
      </c>
      <c r="F1709" s="24" t="s">
        <v>9</v>
      </c>
      <c r="G1709" s="24" t="s">
        <v>8</v>
      </c>
      <c r="H1709" s="24" t="s">
        <v>1463</v>
      </c>
      <c r="I1709" s="27">
        <v>22.5</v>
      </c>
    </row>
    <row r="1710" spans="1:9" ht="16">
      <c r="A1710" s="35" t="s">
        <v>40</v>
      </c>
      <c r="I1710" s="28">
        <f>I1678+I1679+I1680+I1681+I1682+I1683+I1684+I1685+I1686+I1687+I1688+I1689+I1690+I1691+I1692+I1693+I1694+I1695+I1696+I1697+I1698+I1699+I1700+I1701+I1702+I1703+I1704+I1705+I1706+I1707+I1708+I1709</f>
        <v>23668.609999999997</v>
      </c>
    </row>
    <row r="1711" spans="1:1" ht="16">
      <c r="A1711" s="34" t="s">
        <v>1433</v>
      </c>
    </row>
    <row r="1712" spans="2:9" ht="16">
      <c r="B1712" s="24" t="s">
        <v>794</v>
      </c>
      <c r="C1712" s="24" t="s">
        <v>6</v>
      </c>
      <c r="D1712" s="24" t="s">
        <v>551</v>
      </c>
      <c r="E1712" s="24" t="s">
        <v>8</v>
      </c>
      <c r="F1712" s="24" t="s">
        <v>42</v>
      </c>
      <c r="G1712" s="24" t="s">
        <v>8</v>
      </c>
      <c r="H1712" s="24" t="s">
        <v>1464</v>
      </c>
      <c r="I1712" s="27">
        <v>13.89</v>
      </c>
    </row>
    <row r="1713" spans="1:9" ht="16">
      <c r="A1713" s="35" t="s">
        <v>922</v>
      </c>
      <c r="I1713" s="28">
        <f>I1711+I1712</f>
        <v>13.89</v>
      </c>
    </row>
    <row r="1714" spans="1:1" ht="16">
      <c r="A1714" s="34" t="s">
        <v>1433</v>
      </c>
    </row>
    <row r="1715" spans="2:9" ht="16">
      <c r="B1715" s="24" t="s">
        <v>159</v>
      </c>
      <c r="C1715" s="24" t="s">
        <v>13</v>
      </c>
      <c r="D1715" s="24" t="s">
        <v>1461</v>
      </c>
      <c r="E1715" s="24" t="s">
        <v>1465</v>
      </c>
      <c r="F1715" s="24" t="s">
        <v>9</v>
      </c>
      <c r="G1715" s="24" t="s">
        <v>8</v>
      </c>
      <c r="H1715" s="24" t="s">
        <v>163</v>
      </c>
      <c r="I1715" s="27">
        <v>1600.0</v>
      </c>
    </row>
    <row r="1716" spans="2:9" ht="16">
      <c r="B1716" s="24" t="s">
        <v>1140</v>
      </c>
      <c r="C1716" s="24" t="s">
        <v>13</v>
      </c>
      <c r="D1716" s="24" t="s">
        <v>1105</v>
      </c>
      <c r="E1716" s="24" t="s">
        <v>8</v>
      </c>
      <c r="F1716" s="24" t="s">
        <v>9</v>
      </c>
      <c r="G1716" s="24" t="s">
        <v>8</v>
      </c>
      <c r="H1716" s="24" t="s">
        <v>1466</v>
      </c>
      <c r="I1716" s="27">
        <v>575.0</v>
      </c>
    </row>
    <row r="1717" spans="2:9" ht="16">
      <c r="B1717" s="24" t="s">
        <v>1467</v>
      </c>
      <c r="C1717" s="24" t="s">
        <v>13</v>
      </c>
      <c r="D1717" s="24" t="s">
        <v>1279</v>
      </c>
      <c r="E1717" s="24" t="s">
        <v>1468</v>
      </c>
      <c r="F1717" s="24" t="s">
        <v>9</v>
      </c>
      <c r="G1717" s="24" t="s">
        <v>8</v>
      </c>
      <c r="H1717" s="24" t="s">
        <v>1469</v>
      </c>
      <c r="I1717" s="27">
        <v>13671.6</v>
      </c>
    </row>
    <row r="1718" spans="2:9" ht="16">
      <c r="B1718" s="24" t="s">
        <v>1467</v>
      </c>
      <c r="C1718" s="24" t="s">
        <v>13</v>
      </c>
      <c r="D1718" s="24" t="s">
        <v>1470</v>
      </c>
      <c r="E1718" s="24" t="s">
        <v>1471</v>
      </c>
      <c r="F1718" s="24" t="s">
        <v>9</v>
      </c>
      <c r="G1718" s="24" t="s">
        <v>8</v>
      </c>
      <c r="H1718" s="24" t="s">
        <v>1469</v>
      </c>
      <c r="I1718" s="27">
        <v>9114.4</v>
      </c>
    </row>
    <row r="1719" spans="2:9" ht="16">
      <c r="B1719" s="24" t="s">
        <v>1472</v>
      </c>
      <c r="C1719" s="24" t="s">
        <v>13</v>
      </c>
      <c r="D1719" s="24" t="s">
        <v>918</v>
      </c>
      <c r="E1719" s="24" t="s">
        <v>1473</v>
      </c>
      <c r="F1719" s="24" t="s">
        <v>9</v>
      </c>
      <c r="G1719" s="24" t="s">
        <v>8</v>
      </c>
      <c r="H1719" s="24" t="s">
        <v>1474</v>
      </c>
      <c r="I1719" s="27">
        <v>11565.0</v>
      </c>
    </row>
    <row r="1720" spans="1:9" ht="16">
      <c r="A1720" s="35" t="s">
        <v>164</v>
      </c>
      <c r="I1720" s="28">
        <f>I1714+I1715+I1716+I1717+I1718+I1719</f>
        <v>36526.0</v>
      </c>
    </row>
    <row r="1721" spans="1:1" ht="16">
      <c r="A1721" s="34" t="s">
        <v>1433</v>
      </c>
    </row>
    <row r="1722" spans="2:9" ht="16">
      <c r="B1722" s="24" t="s">
        <v>45</v>
      </c>
      <c r="C1722" s="24" t="s">
        <v>6</v>
      </c>
      <c r="D1722" s="24" t="s">
        <v>451</v>
      </c>
      <c r="E1722" s="24" t="s">
        <v>8</v>
      </c>
      <c r="F1722" s="24" t="s">
        <v>9</v>
      </c>
      <c r="G1722" s="24" t="s">
        <v>8</v>
      </c>
      <c r="H1722" s="24" t="s">
        <v>47</v>
      </c>
      <c r="I1722" s="27">
        <v>1717.21</v>
      </c>
    </row>
    <row r="1723" spans="2:9" ht="16">
      <c r="B1723" s="24" t="s">
        <v>8</v>
      </c>
      <c r="C1723" s="24" t="s">
        <v>6</v>
      </c>
      <c r="D1723" s="24" t="s">
        <v>549</v>
      </c>
      <c r="E1723" s="24" t="s">
        <v>8</v>
      </c>
      <c r="F1723" s="24" t="s">
        <v>9</v>
      </c>
      <c r="G1723" s="24" t="s">
        <v>8</v>
      </c>
      <c r="H1723" s="24" t="s">
        <v>47</v>
      </c>
      <c r="I1723" s="27">
        <v>307.56</v>
      </c>
    </row>
    <row r="1724" spans="2:9" ht="16">
      <c r="B1724" s="24" t="s">
        <v>8</v>
      </c>
      <c r="C1724" s="24" t="s">
        <v>6</v>
      </c>
      <c r="D1724" s="24" t="s">
        <v>549</v>
      </c>
      <c r="E1724" s="24" t="s">
        <v>8</v>
      </c>
      <c r="F1724" s="24" t="s">
        <v>9</v>
      </c>
      <c r="G1724" s="24" t="s">
        <v>8</v>
      </c>
      <c r="H1724" s="24" t="s">
        <v>47</v>
      </c>
      <c r="I1724" s="27">
        <v>121.66</v>
      </c>
    </row>
    <row r="1725" spans="2:9" ht="16">
      <c r="B1725" s="24" t="s">
        <v>45</v>
      </c>
      <c r="C1725" s="24" t="s">
        <v>6</v>
      </c>
      <c r="D1725" s="24" t="s">
        <v>523</v>
      </c>
      <c r="E1725" s="24" t="s">
        <v>8</v>
      </c>
      <c r="F1725" s="24" t="s">
        <v>9</v>
      </c>
      <c r="G1725" s="24" t="s">
        <v>8</v>
      </c>
      <c r="H1725" s="24" t="s">
        <v>47</v>
      </c>
      <c r="I1725" s="27">
        <v>230.67</v>
      </c>
    </row>
    <row r="1726" spans="2:9" ht="16">
      <c r="B1726" s="24" t="s">
        <v>8</v>
      </c>
      <c r="C1726" s="24" t="s">
        <v>6</v>
      </c>
      <c r="D1726" s="24" t="s">
        <v>549</v>
      </c>
      <c r="E1726" s="24" t="s">
        <v>8</v>
      </c>
      <c r="F1726" s="24" t="s">
        <v>9</v>
      </c>
      <c r="G1726" s="24" t="s">
        <v>8</v>
      </c>
      <c r="H1726" s="24" t="s">
        <v>47</v>
      </c>
      <c r="I1726" s="27">
        <v>76.73</v>
      </c>
    </row>
    <row r="1727" spans="2:9" ht="16">
      <c r="B1727" s="24" t="s">
        <v>8</v>
      </c>
      <c r="C1727" s="24" t="s">
        <v>6</v>
      </c>
      <c r="D1727" s="24" t="s">
        <v>549</v>
      </c>
      <c r="E1727" s="24" t="s">
        <v>8</v>
      </c>
      <c r="F1727" s="24" t="s">
        <v>9</v>
      </c>
      <c r="G1727" s="24" t="s">
        <v>8</v>
      </c>
      <c r="H1727" s="24" t="s">
        <v>47</v>
      </c>
      <c r="I1727" s="27">
        <v>256.3</v>
      </c>
    </row>
    <row r="1728" spans="2:9" ht="16">
      <c r="B1728" s="24" t="s">
        <v>8</v>
      </c>
      <c r="C1728" s="24" t="s">
        <v>6</v>
      </c>
      <c r="D1728" s="24" t="s">
        <v>550</v>
      </c>
      <c r="E1728" s="24" t="s">
        <v>8</v>
      </c>
      <c r="F1728" s="24" t="s">
        <v>9</v>
      </c>
      <c r="G1728" s="24" t="s">
        <v>8</v>
      </c>
      <c r="H1728" s="24" t="s">
        <v>47</v>
      </c>
      <c r="I1728" s="27">
        <v>1883.78</v>
      </c>
    </row>
    <row r="1729" spans="1:9" ht="16">
      <c r="A1729" s="35" t="s">
        <v>50</v>
      </c>
      <c r="I1729" s="28">
        <f>I1721+I1722+I1723+I1724+I1725+I1726+I1727+I1728</f>
        <v>4593.91</v>
      </c>
    </row>
    <row r="1730" spans="1:1" ht="16">
      <c r="A1730" s="34" t="s">
        <v>1433</v>
      </c>
    </row>
    <row r="1731" spans="2:9" ht="16">
      <c r="B1731" s="24" t="s">
        <v>51</v>
      </c>
      <c r="C1731" s="24" t="s">
        <v>6</v>
      </c>
      <c r="D1731" s="24" t="s">
        <v>560</v>
      </c>
      <c r="E1731" s="24" t="s">
        <v>8</v>
      </c>
      <c r="F1731" s="24" t="s">
        <v>9</v>
      </c>
      <c r="G1731" s="24" t="s">
        <v>8</v>
      </c>
      <c r="H1731" s="24" t="s">
        <v>53</v>
      </c>
      <c r="I1731" s="27">
        <v>1201.32</v>
      </c>
    </row>
    <row r="1732" spans="2:9" ht="16">
      <c r="B1732" s="24" t="s">
        <v>51</v>
      </c>
      <c r="C1732" s="24" t="s">
        <v>6</v>
      </c>
      <c r="D1732" s="24" t="s">
        <v>554</v>
      </c>
      <c r="E1732" s="24" t="s">
        <v>8</v>
      </c>
      <c r="F1732" s="24" t="s">
        <v>9</v>
      </c>
      <c r="G1732" s="24" t="s">
        <v>8</v>
      </c>
      <c r="H1732" s="24" t="s">
        <v>53</v>
      </c>
      <c r="I1732" s="27">
        <v>381.11</v>
      </c>
    </row>
    <row r="1733" spans="2:9" ht="16">
      <c r="B1733" s="24" t="s">
        <v>51</v>
      </c>
      <c r="C1733" s="24" t="s">
        <v>6</v>
      </c>
      <c r="D1733" s="24" t="s">
        <v>501</v>
      </c>
      <c r="E1733" s="24" t="s">
        <v>8</v>
      </c>
      <c r="F1733" s="24" t="s">
        <v>9</v>
      </c>
      <c r="G1733" s="24" t="s">
        <v>8</v>
      </c>
      <c r="H1733" s="24" t="s">
        <v>53</v>
      </c>
      <c r="I1733" s="27">
        <v>626.55</v>
      </c>
    </row>
    <row r="1734" spans="2:9" ht="16">
      <c r="B1734" s="24" t="s">
        <v>8</v>
      </c>
      <c r="C1734" s="24" t="s">
        <v>6</v>
      </c>
      <c r="D1734" s="24" t="s">
        <v>1208</v>
      </c>
      <c r="E1734" s="24" t="s">
        <v>8</v>
      </c>
      <c r="F1734" s="24" t="s">
        <v>9</v>
      </c>
      <c r="G1734" s="24" t="s">
        <v>8</v>
      </c>
      <c r="H1734" s="24" t="s">
        <v>53</v>
      </c>
      <c r="I1734" s="27">
        <v>455.53</v>
      </c>
    </row>
    <row r="1735" spans="2:9" ht="16">
      <c r="B1735" s="24" t="s">
        <v>51</v>
      </c>
      <c r="C1735" s="24" t="s">
        <v>6</v>
      </c>
      <c r="D1735" s="24" t="s">
        <v>561</v>
      </c>
      <c r="E1735" s="24" t="s">
        <v>8</v>
      </c>
      <c r="F1735" s="24" t="s">
        <v>9</v>
      </c>
      <c r="G1735" s="24" t="s">
        <v>8</v>
      </c>
      <c r="H1735" s="24" t="s">
        <v>53</v>
      </c>
      <c r="I1735" s="27">
        <v>1939.39</v>
      </c>
    </row>
    <row r="1736" spans="2:9" ht="16">
      <c r="B1736" s="24" t="s">
        <v>51</v>
      </c>
      <c r="C1736" s="24" t="s">
        <v>6</v>
      </c>
      <c r="D1736" s="24" t="s">
        <v>555</v>
      </c>
      <c r="E1736" s="24" t="s">
        <v>8</v>
      </c>
      <c r="F1736" s="24" t="s">
        <v>9</v>
      </c>
      <c r="G1736" s="24" t="s">
        <v>8</v>
      </c>
      <c r="H1736" s="24" t="s">
        <v>53</v>
      </c>
      <c r="I1736" s="27">
        <v>1026.86</v>
      </c>
    </row>
    <row r="1737" spans="2:9" ht="16">
      <c r="B1737" s="24" t="s">
        <v>51</v>
      </c>
      <c r="C1737" s="24" t="s">
        <v>6</v>
      </c>
      <c r="D1737" s="24" t="s">
        <v>556</v>
      </c>
      <c r="E1737" s="24" t="s">
        <v>8</v>
      </c>
      <c r="F1737" s="24" t="s">
        <v>9</v>
      </c>
      <c r="G1737" s="24" t="s">
        <v>8</v>
      </c>
      <c r="H1737" s="24" t="s">
        <v>53</v>
      </c>
      <c r="I1737" s="27">
        <v>845.77</v>
      </c>
    </row>
    <row r="1738" spans="2:9" ht="16">
      <c r="B1738" s="24" t="s">
        <v>51</v>
      </c>
      <c r="C1738" s="24" t="s">
        <v>6</v>
      </c>
      <c r="D1738" s="24" t="s">
        <v>557</v>
      </c>
      <c r="E1738" s="24" t="s">
        <v>8</v>
      </c>
      <c r="F1738" s="24" t="s">
        <v>9</v>
      </c>
      <c r="G1738" s="24" t="s">
        <v>8</v>
      </c>
      <c r="H1738" s="24" t="s">
        <v>53</v>
      </c>
      <c r="I1738" s="27">
        <v>616.11</v>
      </c>
    </row>
    <row r="1739" spans="2:9" ht="16">
      <c r="B1739" s="24" t="s">
        <v>51</v>
      </c>
      <c r="C1739" s="24" t="s">
        <v>6</v>
      </c>
      <c r="D1739" s="24" t="s">
        <v>551</v>
      </c>
      <c r="E1739" s="24" t="s">
        <v>8</v>
      </c>
      <c r="F1739" s="24" t="s">
        <v>9</v>
      </c>
      <c r="G1739" s="24" t="s">
        <v>8</v>
      </c>
      <c r="H1739" s="24" t="s">
        <v>53</v>
      </c>
      <c r="I1739" s="27">
        <v>1311.0</v>
      </c>
    </row>
    <row r="1740" spans="2:9" ht="16">
      <c r="B1740" s="24" t="s">
        <v>51</v>
      </c>
      <c r="C1740" s="24" t="s">
        <v>6</v>
      </c>
      <c r="D1740" s="24" t="s">
        <v>559</v>
      </c>
      <c r="E1740" s="24" t="s">
        <v>8</v>
      </c>
      <c r="F1740" s="24" t="s">
        <v>9</v>
      </c>
      <c r="G1740" s="24" t="s">
        <v>8</v>
      </c>
      <c r="H1740" s="24" t="s">
        <v>53</v>
      </c>
      <c r="I1740" s="27">
        <v>2072.25</v>
      </c>
    </row>
    <row r="1741" spans="2:9" ht="16">
      <c r="B1741" s="24" t="s">
        <v>1475</v>
      </c>
      <c r="C1741" s="24" t="s">
        <v>6</v>
      </c>
      <c r="D1741" s="24" t="s">
        <v>1279</v>
      </c>
      <c r="E1741" s="24" t="s">
        <v>8</v>
      </c>
      <c r="F1741" s="24" t="s">
        <v>9</v>
      </c>
      <c r="G1741" s="24" t="s">
        <v>8</v>
      </c>
      <c r="H1741" s="24" t="s">
        <v>1476</v>
      </c>
      <c r="I1741" s="27">
        <v>305.81</v>
      </c>
    </row>
    <row r="1742" spans="2:9" ht="16">
      <c r="B1742" s="24" t="s">
        <v>1477</v>
      </c>
      <c r="C1742" s="24" t="s">
        <v>6</v>
      </c>
      <c r="D1742" s="24" t="s">
        <v>978</v>
      </c>
      <c r="E1742" s="24" t="s">
        <v>8</v>
      </c>
      <c r="F1742" s="24" t="s">
        <v>9</v>
      </c>
      <c r="G1742" s="24" t="s">
        <v>8</v>
      </c>
      <c r="H1742" s="24" t="s">
        <v>1478</v>
      </c>
      <c r="I1742" s="27">
        <v>226.22</v>
      </c>
    </row>
    <row r="1743" spans="2:9" ht="16">
      <c r="B1743" s="24" t="s">
        <v>51</v>
      </c>
      <c r="C1743" s="24" t="s">
        <v>6</v>
      </c>
      <c r="D1743" s="24" t="s">
        <v>551</v>
      </c>
      <c r="E1743" s="24" t="s">
        <v>8</v>
      </c>
      <c r="F1743" s="24" t="s">
        <v>9</v>
      </c>
      <c r="G1743" s="24" t="s">
        <v>8</v>
      </c>
      <c r="H1743" s="24" t="s">
        <v>1479</v>
      </c>
      <c r="I1743" s="27">
        <v>-305.81</v>
      </c>
    </row>
    <row r="1744" spans="2:9" ht="16">
      <c r="B1744" s="24" t="s">
        <v>51</v>
      </c>
      <c r="C1744" s="24" t="s">
        <v>6</v>
      </c>
      <c r="D1744" s="24" t="s">
        <v>551</v>
      </c>
      <c r="E1744" s="24" t="s">
        <v>8</v>
      </c>
      <c r="F1744" s="24" t="s">
        <v>9</v>
      </c>
      <c r="G1744" s="24" t="s">
        <v>8</v>
      </c>
      <c r="H1744" s="24" t="s">
        <v>1480</v>
      </c>
      <c r="I1744" s="27">
        <v>-226.22</v>
      </c>
    </row>
    <row r="1745" spans="2:9" ht="16">
      <c r="B1745" s="24" t="s">
        <v>51</v>
      </c>
      <c r="C1745" s="24" t="s">
        <v>6</v>
      </c>
      <c r="D1745" s="24" t="s">
        <v>554</v>
      </c>
      <c r="E1745" s="24" t="s">
        <v>8</v>
      </c>
      <c r="F1745" s="24" t="s">
        <v>9</v>
      </c>
      <c r="G1745" s="24" t="s">
        <v>8</v>
      </c>
      <c r="H1745" s="24" t="s">
        <v>1481</v>
      </c>
      <c r="I1745" s="27">
        <v>803.45</v>
      </c>
    </row>
    <row r="1746" spans="1:9" ht="16">
      <c r="A1746" s="35" t="s">
        <v>67</v>
      </c>
      <c r="I1746" s="28">
        <f>I1730+I1731+I1732+I1733+I1734+I1735+I1736+I1737+I1738+I1739+I1740+I1741+I1742+I1743+I1744+I1745</f>
        <v>11279.34</v>
      </c>
    </row>
    <row r="1747" spans="1:9" ht="16">
      <c r="A1747" s="36" t="s">
        <v>1482</v>
      </c>
      <c r="I1747" s="28">
        <f>I1677+I1710+I1713+I1720+I1729+I1746</f>
        <v>76808.84999999999</v>
      </c>
    </row>
    <row r="1748" spans="1:1" ht="16">
      <c r="A1748" s="33" t="s">
        <v>324</v>
      </c>
    </row>
    <row r="1749" spans="1:1" ht="16">
      <c r="A1749" s="34" t="s">
        <v>1483</v>
      </c>
    </row>
    <row r="1750" spans="2:9" ht="16">
      <c r="B1750" s="24" t="s">
        <v>21</v>
      </c>
      <c r="C1750" s="24" t="s">
        <v>13</v>
      </c>
      <c r="D1750" s="24" t="s">
        <v>481</v>
      </c>
      <c r="E1750" s="24" t="s">
        <v>1484</v>
      </c>
      <c r="F1750" s="24" t="s">
        <v>9</v>
      </c>
      <c r="G1750" s="24" t="s">
        <v>8</v>
      </c>
      <c r="H1750" s="24" t="s">
        <v>1485</v>
      </c>
      <c r="I1750" s="27">
        <v>22.0</v>
      </c>
    </row>
    <row r="1751" spans="2:9" ht="16">
      <c r="B1751" s="24" t="s">
        <v>36</v>
      </c>
      <c r="C1751" s="24" t="s">
        <v>6</v>
      </c>
      <c r="D1751" s="24" t="s">
        <v>1486</v>
      </c>
      <c r="E1751" s="24" t="s">
        <v>8</v>
      </c>
      <c r="F1751" s="24" t="s">
        <v>9</v>
      </c>
      <c r="G1751" s="24" t="s">
        <v>8</v>
      </c>
      <c r="H1751" s="24" t="s">
        <v>1487</v>
      </c>
      <c r="I1751" s="27">
        <v>58.77</v>
      </c>
    </row>
    <row r="1752" spans="2:9" ht="16">
      <c r="B1752" s="24" t="s">
        <v>119</v>
      </c>
      <c r="C1752" s="24" t="s">
        <v>6</v>
      </c>
      <c r="D1752" s="24" t="s">
        <v>1488</v>
      </c>
      <c r="E1752" s="24" t="s">
        <v>8</v>
      </c>
      <c r="F1752" s="24" t="s">
        <v>9</v>
      </c>
      <c r="G1752" s="24" t="s">
        <v>8</v>
      </c>
      <c r="H1752" s="24" t="s">
        <v>1489</v>
      </c>
      <c r="I1752" s="27">
        <v>81.15</v>
      </c>
    </row>
    <row r="1753" spans="2:9" ht="16">
      <c r="B1753" s="24" t="s">
        <v>127</v>
      </c>
      <c r="C1753" s="24" t="s">
        <v>6</v>
      </c>
      <c r="D1753" s="24" t="s">
        <v>1119</v>
      </c>
      <c r="E1753" s="24" t="s">
        <v>8</v>
      </c>
      <c r="F1753" s="24" t="s">
        <v>9</v>
      </c>
      <c r="G1753" s="24" t="s">
        <v>8</v>
      </c>
      <c r="H1753" s="24" t="s">
        <v>1490</v>
      </c>
      <c r="I1753" s="27">
        <v>129.49</v>
      </c>
    </row>
    <row r="1754" spans="1:9" ht="16">
      <c r="A1754" s="35" t="s">
        <v>40</v>
      </c>
      <c r="I1754" s="28">
        <f>I1749+I1750+I1751+I1752+I1753</f>
        <v>291.41</v>
      </c>
    </row>
    <row r="1755" spans="1:1" ht="16">
      <c r="A1755" s="34" t="s">
        <v>1483</v>
      </c>
    </row>
    <row r="1756" spans="2:9" ht="16">
      <c r="B1756" s="24" t="s">
        <v>127</v>
      </c>
      <c r="C1756" s="24" t="s">
        <v>6</v>
      </c>
      <c r="D1756" s="24" t="s">
        <v>1400</v>
      </c>
      <c r="E1756" s="24" t="s">
        <v>8</v>
      </c>
      <c r="F1756" s="24" t="s">
        <v>9</v>
      </c>
      <c r="G1756" s="24" t="s">
        <v>8</v>
      </c>
      <c r="H1756" s="24" t="s">
        <v>1491</v>
      </c>
      <c r="I1756" s="27">
        <v>57.89</v>
      </c>
    </row>
    <row r="1757" spans="1:9" ht="16">
      <c r="A1757" s="35" t="s">
        <v>267</v>
      </c>
      <c r="I1757" s="28">
        <f>I1755+I1756</f>
        <v>57.89</v>
      </c>
    </row>
    <row r="1758" spans="1:1" ht="16">
      <c r="A1758" s="34" t="s">
        <v>1483</v>
      </c>
    </row>
    <row r="1759" spans="2:9" ht="16">
      <c r="B1759" s="24" t="s">
        <v>45</v>
      </c>
      <c r="C1759" s="24" t="s">
        <v>6</v>
      </c>
      <c r="D1759" s="24" t="s">
        <v>523</v>
      </c>
      <c r="E1759" s="24" t="s">
        <v>8</v>
      </c>
      <c r="F1759" s="24" t="s">
        <v>9</v>
      </c>
      <c r="G1759" s="24" t="s">
        <v>8</v>
      </c>
      <c r="H1759" s="24" t="s">
        <v>47</v>
      </c>
      <c r="I1759" s="27">
        <v>1153.35</v>
      </c>
    </row>
    <row r="1760" spans="1:9" ht="16">
      <c r="A1760" s="35" t="s">
        <v>50</v>
      </c>
      <c r="I1760" s="28">
        <f>I1758+I1759</f>
        <v>1153.35</v>
      </c>
    </row>
    <row r="1761" spans="1:1" ht="16">
      <c r="A1761" s="34" t="s">
        <v>1483</v>
      </c>
    </row>
    <row r="1762" spans="2:9" ht="16">
      <c r="B1762" s="24" t="s">
        <v>51</v>
      </c>
      <c r="C1762" s="24" t="s">
        <v>6</v>
      </c>
      <c r="D1762" s="24" t="s">
        <v>501</v>
      </c>
      <c r="E1762" s="24" t="s">
        <v>8</v>
      </c>
      <c r="F1762" s="24" t="s">
        <v>9</v>
      </c>
      <c r="G1762" s="24" t="s">
        <v>8</v>
      </c>
      <c r="H1762" s="24" t="s">
        <v>53</v>
      </c>
      <c r="I1762" s="27">
        <v>1266.8</v>
      </c>
    </row>
    <row r="1763" spans="2:9" ht="16">
      <c r="B1763" s="24" t="s">
        <v>51</v>
      </c>
      <c r="C1763" s="24" t="s">
        <v>6</v>
      </c>
      <c r="D1763" s="24" t="s">
        <v>553</v>
      </c>
      <c r="E1763" s="24" t="s">
        <v>8</v>
      </c>
      <c r="F1763" s="24" t="s">
        <v>9</v>
      </c>
      <c r="G1763" s="24" t="s">
        <v>8</v>
      </c>
      <c r="H1763" s="24" t="s">
        <v>53</v>
      </c>
      <c r="I1763" s="27">
        <v>2123.13</v>
      </c>
    </row>
    <row r="1764" spans="1:9" ht="16">
      <c r="A1764" s="35" t="s">
        <v>67</v>
      </c>
      <c r="I1764" s="28">
        <f>I1761+I1762+I1763</f>
        <v>3389.9300000000003</v>
      </c>
    </row>
    <row r="1765" spans="1:9" ht="16">
      <c r="A1765" s="36" t="s">
        <v>1492</v>
      </c>
      <c r="I1765" s="28">
        <f>I1754+I1757+I1760+I1764</f>
        <v>4892.58</v>
      </c>
    </row>
    <row r="1766" spans="1:1" ht="16">
      <c r="A1766" s="33" t="s">
        <v>324</v>
      </c>
    </row>
    <row r="1767" spans="1:1" ht="16">
      <c r="A1767" s="34" t="s">
        <v>1493</v>
      </c>
    </row>
    <row r="1768" spans="2:9" ht="16">
      <c r="B1768" s="24" t="s">
        <v>119</v>
      </c>
      <c r="C1768" s="24" t="s">
        <v>6</v>
      </c>
      <c r="D1768" s="24" t="s">
        <v>908</v>
      </c>
      <c r="E1768" s="24" t="s">
        <v>8</v>
      </c>
      <c r="F1768" s="24" t="s">
        <v>9</v>
      </c>
      <c r="G1768" s="24" t="s">
        <v>8</v>
      </c>
      <c r="H1768" s="24" t="s">
        <v>1494</v>
      </c>
      <c r="I1768" s="27">
        <v>49.3</v>
      </c>
    </row>
    <row r="1769" spans="2:9" ht="16">
      <c r="B1769" s="24" t="s">
        <v>119</v>
      </c>
      <c r="C1769" s="24" t="s">
        <v>6</v>
      </c>
      <c r="D1769" s="24" t="s">
        <v>908</v>
      </c>
      <c r="E1769" s="24" t="s">
        <v>8</v>
      </c>
      <c r="F1769" s="24" t="s">
        <v>9</v>
      </c>
      <c r="G1769" s="24" t="s">
        <v>8</v>
      </c>
      <c r="H1769" s="24" t="s">
        <v>1495</v>
      </c>
      <c r="I1769" s="27">
        <v>54.47</v>
      </c>
    </row>
    <row r="1770" spans="2:9" ht="16">
      <c r="B1770" s="24" t="s">
        <v>21</v>
      </c>
      <c r="C1770" s="24" t="s">
        <v>13</v>
      </c>
      <c r="D1770" s="24" t="s">
        <v>481</v>
      </c>
      <c r="E1770" s="24" t="s">
        <v>1496</v>
      </c>
      <c r="F1770" s="24" t="s">
        <v>9</v>
      </c>
      <c r="G1770" s="24" t="s">
        <v>8</v>
      </c>
      <c r="H1770" s="24" t="s">
        <v>8</v>
      </c>
      <c r="I1770" s="27">
        <v>290.85</v>
      </c>
    </row>
    <row r="1771" spans="1:9" ht="16">
      <c r="A1771" s="35" t="s">
        <v>40</v>
      </c>
      <c r="I1771" s="28">
        <f>I1767+I1768+I1769+I1770</f>
        <v>394.62</v>
      </c>
    </row>
    <row r="1772" spans="1:1" ht="16">
      <c r="A1772" s="34" t="s">
        <v>1493</v>
      </c>
    </row>
    <row r="1773" spans="2:9" ht="16">
      <c r="B1773" s="24" t="s">
        <v>159</v>
      </c>
      <c r="C1773" s="24" t="s">
        <v>13</v>
      </c>
      <c r="D1773" s="24" t="s">
        <v>529</v>
      </c>
      <c r="E1773" s="24" t="s">
        <v>1497</v>
      </c>
      <c r="F1773" s="24" t="s">
        <v>9</v>
      </c>
      <c r="G1773" s="24" t="s">
        <v>8</v>
      </c>
      <c r="H1773" s="24" t="s">
        <v>1498</v>
      </c>
      <c r="I1773" s="27">
        <v>400.0</v>
      </c>
    </row>
    <row r="1774" spans="2:9" ht="16">
      <c r="B1774" s="24" t="s">
        <v>159</v>
      </c>
      <c r="C1774" s="24" t="s">
        <v>13</v>
      </c>
      <c r="D1774" s="24" t="s">
        <v>529</v>
      </c>
      <c r="E1774" s="24" t="s">
        <v>1497</v>
      </c>
      <c r="F1774" s="24" t="s">
        <v>9</v>
      </c>
      <c r="G1774" s="24" t="s">
        <v>8</v>
      </c>
      <c r="H1774" s="24" t="s">
        <v>1499</v>
      </c>
      <c r="I1774" s="27">
        <v>595.0</v>
      </c>
    </row>
    <row r="1775" spans="1:9" ht="16">
      <c r="A1775" s="35" t="s">
        <v>164</v>
      </c>
      <c r="I1775" s="28">
        <f>I1772+I1773+I1774</f>
        <v>995.0</v>
      </c>
    </row>
    <row r="1776" spans="1:1" ht="16">
      <c r="A1776" s="34" t="s">
        <v>1493</v>
      </c>
    </row>
    <row r="1777" spans="2:9" ht="16">
      <c r="B1777" s="24" t="s">
        <v>45</v>
      </c>
      <c r="C1777" s="24" t="s">
        <v>6</v>
      </c>
      <c r="D1777" s="24" t="s">
        <v>523</v>
      </c>
      <c r="E1777" s="24" t="s">
        <v>8</v>
      </c>
      <c r="F1777" s="24" t="s">
        <v>9</v>
      </c>
      <c r="G1777" s="24" t="s">
        <v>8</v>
      </c>
      <c r="H1777" s="24" t="s">
        <v>47</v>
      </c>
      <c r="I1777" s="27">
        <v>281.93</v>
      </c>
    </row>
    <row r="1778" spans="1:9" ht="16">
      <c r="A1778" s="35" t="s">
        <v>50</v>
      </c>
      <c r="I1778" s="28">
        <f>I1776+I1777</f>
        <v>281.93</v>
      </c>
    </row>
    <row r="1779" spans="1:1" ht="16">
      <c r="A1779" s="34" t="s">
        <v>1493</v>
      </c>
    </row>
    <row r="1780" spans="2:9" ht="16">
      <c r="B1780" s="24" t="s">
        <v>51</v>
      </c>
      <c r="C1780" s="24" t="s">
        <v>6</v>
      </c>
      <c r="D1780" s="24" t="s">
        <v>501</v>
      </c>
      <c r="E1780" s="24" t="s">
        <v>8</v>
      </c>
      <c r="F1780" s="24" t="s">
        <v>9</v>
      </c>
      <c r="G1780" s="24" t="s">
        <v>8</v>
      </c>
      <c r="H1780" s="24" t="s">
        <v>53</v>
      </c>
      <c r="I1780" s="27">
        <v>321.38</v>
      </c>
    </row>
    <row r="1781" spans="2:9" ht="16">
      <c r="B1781" s="24" t="s">
        <v>51</v>
      </c>
      <c r="C1781" s="24" t="s">
        <v>6</v>
      </c>
      <c r="D1781" s="24" t="s">
        <v>553</v>
      </c>
      <c r="E1781" s="24" t="s">
        <v>8</v>
      </c>
      <c r="F1781" s="24" t="s">
        <v>9</v>
      </c>
      <c r="G1781" s="24" t="s">
        <v>8</v>
      </c>
      <c r="H1781" s="24" t="s">
        <v>53</v>
      </c>
      <c r="I1781" s="27">
        <v>530.56</v>
      </c>
    </row>
    <row r="1782" spans="1:9" ht="16">
      <c r="A1782" s="35" t="s">
        <v>67</v>
      </c>
      <c r="I1782" s="28">
        <f>I1779+I1780+I1781</f>
        <v>851.9399999999999</v>
      </c>
    </row>
    <row r="1783" spans="1:9" ht="16">
      <c r="A1783" s="36" t="s">
        <v>1500</v>
      </c>
      <c r="I1783" s="28">
        <f>I1771+I1775+I1778+I1782</f>
        <v>2523.49</v>
      </c>
    </row>
    <row r="1784" spans="1:1" ht="16">
      <c r="A1784" s="33" t="s">
        <v>324</v>
      </c>
    </row>
    <row r="1785" spans="1:1" ht="16">
      <c r="A1785" s="34" t="s">
        <v>1501</v>
      </c>
    </row>
    <row r="1786" spans="2:9" ht="16">
      <c r="B1786" s="24" t="s">
        <v>117</v>
      </c>
      <c r="C1786" s="24" t="s">
        <v>6</v>
      </c>
      <c r="D1786" s="24" t="s">
        <v>552</v>
      </c>
      <c r="E1786" s="24" t="s">
        <v>8</v>
      </c>
      <c r="F1786" s="24" t="s">
        <v>9</v>
      </c>
      <c r="G1786" s="24" t="s">
        <v>8</v>
      </c>
      <c r="H1786" s="24" t="s">
        <v>1502</v>
      </c>
      <c r="I1786" s="27">
        <v>40.0</v>
      </c>
    </row>
    <row r="1787" spans="2:9" ht="16">
      <c r="B1787" s="24" t="s">
        <v>21</v>
      </c>
      <c r="C1787" s="24" t="s">
        <v>13</v>
      </c>
      <c r="D1787" s="24" t="s">
        <v>552</v>
      </c>
      <c r="E1787" s="24" t="s">
        <v>1503</v>
      </c>
      <c r="F1787" s="24" t="s">
        <v>9</v>
      </c>
      <c r="G1787" s="24" t="s">
        <v>8</v>
      </c>
      <c r="H1787" s="24" t="s">
        <v>8</v>
      </c>
      <c r="I1787" s="27">
        <v>441.45</v>
      </c>
    </row>
    <row r="1788" spans="1:9" ht="16">
      <c r="A1788" s="35" t="s">
        <v>40</v>
      </c>
      <c r="I1788" s="28">
        <f>I1785+I1786+I1787</f>
        <v>481.45</v>
      </c>
    </row>
    <row r="1789" spans="1:1" ht="16">
      <c r="A1789" s="34" t="s">
        <v>1501</v>
      </c>
    </row>
    <row r="1790" spans="2:9" ht="16">
      <c r="B1790" s="24" t="s">
        <v>45</v>
      </c>
      <c r="C1790" s="24" t="s">
        <v>6</v>
      </c>
      <c r="D1790" s="24" t="s">
        <v>523</v>
      </c>
      <c r="E1790" s="24" t="s">
        <v>8</v>
      </c>
      <c r="F1790" s="24" t="s">
        <v>9</v>
      </c>
      <c r="G1790" s="24" t="s">
        <v>8</v>
      </c>
      <c r="H1790" s="24" t="s">
        <v>47</v>
      </c>
      <c r="I1790" s="27">
        <v>76.89</v>
      </c>
    </row>
    <row r="1791" spans="1:9" ht="16">
      <c r="A1791" s="35" t="s">
        <v>50</v>
      </c>
      <c r="I1791" s="28">
        <f>I1789+I1790</f>
        <v>76.89</v>
      </c>
    </row>
    <row r="1792" spans="1:1" ht="16">
      <c r="A1792" s="34" t="s">
        <v>1501</v>
      </c>
    </row>
    <row r="1793" spans="2:9" ht="16">
      <c r="B1793" s="24" t="s">
        <v>51</v>
      </c>
      <c r="C1793" s="24" t="s">
        <v>6</v>
      </c>
      <c r="D1793" s="24" t="s">
        <v>553</v>
      </c>
      <c r="E1793" s="24" t="s">
        <v>8</v>
      </c>
      <c r="F1793" s="24" t="s">
        <v>9</v>
      </c>
      <c r="G1793" s="24" t="s">
        <v>8</v>
      </c>
      <c r="H1793" s="24" t="s">
        <v>53</v>
      </c>
      <c r="I1793" s="27">
        <v>305.32</v>
      </c>
    </row>
    <row r="1794" spans="1:9" ht="16">
      <c r="A1794" s="35" t="s">
        <v>67</v>
      </c>
      <c r="I1794" s="28">
        <f>I1792+I1793</f>
        <v>305.32</v>
      </c>
    </row>
    <row r="1795" spans="1:9" ht="16">
      <c r="A1795" s="36" t="s">
        <v>1504</v>
      </c>
      <c r="I1795" s="28">
        <f>I1788+I1791+I1794</f>
        <v>863.6600000000001</v>
      </c>
    </row>
    <row r="1796" spans="1:1" ht="16">
      <c r="A1796" s="33" t="s">
        <v>172</v>
      </c>
    </row>
    <row r="1797" spans="1:1" ht="16">
      <c r="A1797" s="34" t="s">
        <v>1505</v>
      </c>
    </row>
    <row r="1798" spans="2:9" ht="16">
      <c r="B1798" s="24" t="s">
        <v>77</v>
      </c>
      <c r="C1798" s="24" t="s">
        <v>13</v>
      </c>
      <c r="D1798" s="24" t="s">
        <v>1506</v>
      </c>
      <c r="E1798" s="24" t="s">
        <v>1507</v>
      </c>
      <c r="F1798" s="24" t="s">
        <v>9</v>
      </c>
      <c r="G1798" s="24" t="s">
        <v>8</v>
      </c>
      <c r="H1798" s="24" t="s">
        <v>1258</v>
      </c>
      <c r="I1798" s="27">
        <v>769.41</v>
      </c>
    </row>
    <row r="1799" spans="2:9" ht="16">
      <c r="B1799" s="24" t="s">
        <v>77</v>
      </c>
      <c r="C1799" s="24" t="s">
        <v>13</v>
      </c>
      <c r="D1799" s="24" t="s">
        <v>1508</v>
      </c>
      <c r="E1799" s="24" t="s">
        <v>1509</v>
      </c>
      <c r="F1799" s="24" t="s">
        <v>9</v>
      </c>
      <c r="G1799" s="24" t="s">
        <v>8</v>
      </c>
      <c r="H1799" s="24" t="s">
        <v>1260</v>
      </c>
      <c r="I1799" s="27">
        <v>360.1</v>
      </c>
    </row>
    <row r="1800" spans="1:9" ht="16">
      <c r="A1800" s="35" t="s">
        <v>81</v>
      </c>
      <c r="I1800" s="28">
        <f>I1797+I1798+I1799</f>
        <v>1129.51</v>
      </c>
    </row>
    <row r="1801" spans="1:1" ht="16">
      <c r="A1801" s="34" t="s">
        <v>1505</v>
      </c>
    </row>
    <row r="1802" spans="2:9" ht="16">
      <c r="B1802" s="24" t="s">
        <v>21</v>
      </c>
      <c r="C1802" s="24" t="s">
        <v>13</v>
      </c>
      <c r="D1802" s="24" t="s">
        <v>1510</v>
      </c>
      <c r="E1802" s="24" t="s">
        <v>1511</v>
      </c>
      <c r="F1802" s="24" t="s">
        <v>9</v>
      </c>
      <c r="G1802" s="24" t="s">
        <v>8</v>
      </c>
      <c r="H1802" s="24" t="s">
        <v>1512</v>
      </c>
      <c r="I1802" s="27">
        <v>2683.51</v>
      </c>
    </row>
    <row r="1803" spans="2:9" ht="16">
      <c r="B1803" s="24" t="s">
        <v>21</v>
      </c>
      <c r="C1803" s="24" t="s">
        <v>13</v>
      </c>
      <c r="D1803" s="24" t="s">
        <v>1513</v>
      </c>
      <c r="E1803" s="24" t="s">
        <v>1514</v>
      </c>
      <c r="F1803" s="24" t="s">
        <v>9</v>
      </c>
      <c r="G1803" s="24" t="s">
        <v>8</v>
      </c>
      <c r="H1803" s="24" t="s">
        <v>1515</v>
      </c>
      <c r="I1803" s="27">
        <v>130.13</v>
      </c>
    </row>
    <row r="1804" spans="2:9" ht="16">
      <c r="B1804" s="24" t="s">
        <v>21</v>
      </c>
      <c r="C1804" s="24" t="s">
        <v>13</v>
      </c>
      <c r="D1804" s="24" t="s">
        <v>1516</v>
      </c>
      <c r="E1804" s="24" t="s">
        <v>1517</v>
      </c>
      <c r="F1804" s="24" t="s">
        <v>9</v>
      </c>
      <c r="G1804" s="24" t="s">
        <v>8</v>
      </c>
      <c r="H1804" s="24" t="s">
        <v>1518</v>
      </c>
      <c r="I1804" s="27">
        <v>69.02</v>
      </c>
    </row>
    <row r="1805" spans="2:9" ht="16">
      <c r="B1805" s="24" t="s">
        <v>21</v>
      </c>
      <c r="C1805" s="24" t="s">
        <v>13</v>
      </c>
      <c r="D1805" s="24" t="s">
        <v>1510</v>
      </c>
      <c r="E1805" s="24" t="s">
        <v>1519</v>
      </c>
      <c r="F1805" s="24" t="s">
        <v>9</v>
      </c>
      <c r="G1805" s="24" t="s">
        <v>8</v>
      </c>
      <c r="H1805" s="24" t="s">
        <v>834</v>
      </c>
      <c r="I1805" s="27">
        <v>3204.36</v>
      </c>
    </row>
    <row r="1806" spans="2:9" ht="16">
      <c r="B1806" s="24" t="s">
        <v>21</v>
      </c>
      <c r="C1806" s="24" t="s">
        <v>13</v>
      </c>
      <c r="D1806" s="24" t="s">
        <v>1510</v>
      </c>
      <c r="E1806" s="24" t="s">
        <v>1520</v>
      </c>
      <c r="F1806" s="24" t="s">
        <v>9</v>
      </c>
      <c r="G1806" s="24" t="s">
        <v>8</v>
      </c>
      <c r="H1806" s="24" t="s">
        <v>837</v>
      </c>
      <c r="I1806" s="27">
        <v>3212.92</v>
      </c>
    </row>
    <row r="1807" spans="2:9" ht="16">
      <c r="B1807" s="24" t="s">
        <v>21</v>
      </c>
      <c r="C1807" s="24" t="s">
        <v>13</v>
      </c>
      <c r="D1807" s="24" t="s">
        <v>1521</v>
      </c>
      <c r="E1807" s="24" t="s">
        <v>1522</v>
      </c>
      <c r="F1807" s="24" t="s">
        <v>9</v>
      </c>
      <c r="G1807" s="24" t="s">
        <v>8</v>
      </c>
      <c r="H1807" s="24" t="s">
        <v>837</v>
      </c>
      <c r="I1807" s="27">
        <v>492.8</v>
      </c>
    </row>
    <row r="1808" spans="2:9" ht="16">
      <c r="B1808" s="24" t="s">
        <v>21</v>
      </c>
      <c r="C1808" s="24" t="s">
        <v>13</v>
      </c>
      <c r="D1808" s="24" t="s">
        <v>1508</v>
      </c>
      <c r="E1808" s="24" t="s">
        <v>1523</v>
      </c>
      <c r="F1808" s="24" t="s">
        <v>9</v>
      </c>
      <c r="G1808" s="24" t="s">
        <v>8</v>
      </c>
      <c r="H1808" s="24" t="s">
        <v>1524</v>
      </c>
      <c r="I1808" s="27">
        <v>77.4</v>
      </c>
    </row>
    <row r="1809" spans="2:9" ht="16">
      <c r="B1809" s="24" t="s">
        <v>21</v>
      </c>
      <c r="C1809" s="24" t="s">
        <v>13</v>
      </c>
      <c r="D1809" s="24" t="s">
        <v>1508</v>
      </c>
      <c r="E1809" s="24" t="s">
        <v>1525</v>
      </c>
      <c r="F1809" s="24" t="s">
        <v>9</v>
      </c>
      <c r="G1809" s="24" t="s">
        <v>8</v>
      </c>
      <c r="H1809" s="24" t="s">
        <v>1526</v>
      </c>
      <c r="I1809" s="27">
        <v>33.0</v>
      </c>
    </row>
    <row r="1810" spans="2:9" ht="16">
      <c r="B1810" s="24" t="s">
        <v>155</v>
      </c>
      <c r="C1810" s="24" t="s">
        <v>13</v>
      </c>
      <c r="D1810" s="24" t="s">
        <v>1510</v>
      </c>
      <c r="E1810" s="24" t="s">
        <v>1527</v>
      </c>
      <c r="F1810" s="24" t="s">
        <v>9</v>
      </c>
      <c r="G1810" s="24" t="s">
        <v>8</v>
      </c>
      <c r="H1810" s="24" t="s">
        <v>1528</v>
      </c>
      <c r="I1810" s="27">
        <v>80.27</v>
      </c>
    </row>
    <row r="1811" spans="2:9" ht="16">
      <c r="B1811" s="24" t="s">
        <v>21</v>
      </c>
      <c r="C1811" s="24" t="s">
        <v>13</v>
      </c>
      <c r="D1811" s="24" t="s">
        <v>1521</v>
      </c>
      <c r="E1811" s="24" t="s">
        <v>1529</v>
      </c>
      <c r="F1811" s="24" t="s">
        <v>9</v>
      </c>
      <c r="G1811" s="24" t="s">
        <v>8</v>
      </c>
      <c r="H1811" s="24" t="s">
        <v>1530</v>
      </c>
      <c r="I1811" s="27">
        <v>492.8</v>
      </c>
    </row>
    <row r="1812" spans="2:9" ht="16">
      <c r="B1812" s="24" t="s">
        <v>21</v>
      </c>
      <c r="C1812" s="24" t="s">
        <v>13</v>
      </c>
      <c r="D1812" s="24" t="s">
        <v>1531</v>
      </c>
      <c r="E1812" s="24" t="s">
        <v>1532</v>
      </c>
      <c r="F1812" s="24" t="s">
        <v>9</v>
      </c>
      <c r="G1812" s="24" t="s">
        <v>8</v>
      </c>
      <c r="H1812" s="24" t="s">
        <v>1533</v>
      </c>
      <c r="I1812" s="27">
        <v>633.97</v>
      </c>
    </row>
    <row r="1813" spans="2:9" ht="16">
      <c r="B1813" s="24" t="s">
        <v>127</v>
      </c>
      <c r="C1813" s="24" t="s">
        <v>6</v>
      </c>
      <c r="D1813" s="24" t="s">
        <v>1135</v>
      </c>
      <c r="E1813" s="24" t="s">
        <v>8</v>
      </c>
      <c r="F1813" s="24" t="s">
        <v>9</v>
      </c>
      <c r="G1813" s="24" t="s">
        <v>8</v>
      </c>
      <c r="H1813" s="24" t="s">
        <v>1534</v>
      </c>
      <c r="I1813" s="27">
        <v>87.4</v>
      </c>
    </row>
    <row r="1814" spans="2:9" ht="16">
      <c r="B1814" s="24" t="s">
        <v>21</v>
      </c>
      <c r="C1814" s="24" t="s">
        <v>13</v>
      </c>
      <c r="D1814" s="24" t="s">
        <v>1535</v>
      </c>
      <c r="E1814" s="24" t="s">
        <v>1536</v>
      </c>
      <c r="F1814" s="24" t="s">
        <v>9</v>
      </c>
      <c r="G1814" s="24" t="s">
        <v>8</v>
      </c>
      <c r="H1814" s="24" t="s">
        <v>1537</v>
      </c>
      <c r="I1814" s="27">
        <v>498.8</v>
      </c>
    </row>
    <row r="1815" spans="2:9" ht="16">
      <c r="B1815" s="24" t="s">
        <v>21</v>
      </c>
      <c r="C1815" s="24" t="s">
        <v>13</v>
      </c>
      <c r="D1815" s="24" t="s">
        <v>1538</v>
      </c>
      <c r="E1815" s="24" t="s">
        <v>1539</v>
      </c>
      <c r="F1815" s="24" t="s">
        <v>9</v>
      </c>
      <c r="G1815" s="24" t="s">
        <v>8</v>
      </c>
      <c r="H1815" s="24" t="s">
        <v>1540</v>
      </c>
      <c r="I1815" s="27">
        <v>155.35</v>
      </c>
    </row>
    <row r="1816" spans="2:9" ht="16">
      <c r="B1816" s="24" t="s">
        <v>119</v>
      </c>
      <c r="C1816" s="24" t="s">
        <v>6</v>
      </c>
      <c r="D1816" s="24" t="s">
        <v>1541</v>
      </c>
      <c r="E1816" s="24" t="s">
        <v>8</v>
      </c>
      <c r="F1816" s="24" t="s">
        <v>9</v>
      </c>
      <c r="G1816" s="24" t="s">
        <v>8</v>
      </c>
      <c r="H1816" s="24" t="s">
        <v>1542</v>
      </c>
      <c r="I1816" s="27">
        <v>27.83</v>
      </c>
    </row>
    <row r="1817" spans="2:9" ht="16">
      <c r="B1817" s="24" t="s">
        <v>119</v>
      </c>
      <c r="C1817" s="24" t="s">
        <v>6</v>
      </c>
      <c r="D1817" s="24" t="s">
        <v>1541</v>
      </c>
      <c r="E1817" s="24" t="s">
        <v>8</v>
      </c>
      <c r="F1817" s="24" t="s">
        <v>9</v>
      </c>
      <c r="G1817" s="24" t="s">
        <v>8</v>
      </c>
      <c r="H1817" s="24" t="s">
        <v>1543</v>
      </c>
      <c r="I1817" s="27">
        <v>27.29</v>
      </c>
    </row>
    <row r="1818" spans="2:9" ht="16">
      <c r="B1818" s="24" t="s">
        <v>127</v>
      </c>
      <c r="C1818" s="24" t="s">
        <v>6</v>
      </c>
      <c r="D1818" s="24" t="s">
        <v>1541</v>
      </c>
      <c r="E1818" s="24" t="s">
        <v>8</v>
      </c>
      <c r="F1818" s="24" t="s">
        <v>9</v>
      </c>
      <c r="G1818" s="24" t="s">
        <v>8</v>
      </c>
      <c r="H1818" s="24" t="s">
        <v>1544</v>
      </c>
      <c r="I1818" s="27">
        <v>26.22</v>
      </c>
    </row>
    <row r="1819" spans="2:9" ht="16">
      <c r="B1819" s="24" t="s">
        <v>127</v>
      </c>
      <c r="C1819" s="24" t="s">
        <v>6</v>
      </c>
      <c r="D1819" s="24" t="s">
        <v>1545</v>
      </c>
      <c r="E1819" s="24" t="s">
        <v>8</v>
      </c>
      <c r="F1819" s="24" t="s">
        <v>9</v>
      </c>
      <c r="G1819" s="24" t="s">
        <v>8</v>
      </c>
      <c r="H1819" s="24" t="s">
        <v>1546</v>
      </c>
      <c r="I1819" s="27">
        <v>26.23</v>
      </c>
    </row>
    <row r="1820" spans="2:9" ht="16">
      <c r="B1820" s="24" t="s">
        <v>119</v>
      </c>
      <c r="C1820" s="24" t="s">
        <v>6</v>
      </c>
      <c r="D1820" s="24" t="s">
        <v>1547</v>
      </c>
      <c r="E1820" s="24" t="s">
        <v>8</v>
      </c>
      <c r="F1820" s="24" t="s">
        <v>9</v>
      </c>
      <c r="G1820" s="24" t="s">
        <v>8</v>
      </c>
      <c r="H1820" s="24" t="s">
        <v>1548</v>
      </c>
      <c r="I1820" s="27">
        <v>14.19</v>
      </c>
    </row>
    <row r="1821" spans="2:9" ht="16">
      <c r="B1821" s="24" t="s">
        <v>127</v>
      </c>
      <c r="C1821" s="24" t="s">
        <v>6</v>
      </c>
      <c r="D1821" s="24" t="s">
        <v>1549</v>
      </c>
      <c r="E1821" s="24" t="s">
        <v>8</v>
      </c>
      <c r="F1821" s="24" t="s">
        <v>9</v>
      </c>
      <c r="G1821" s="24" t="s">
        <v>8</v>
      </c>
      <c r="H1821" s="24" t="s">
        <v>1550</v>
      </c>
      <c r="I1821" s="27">
        <v>28.02</v>
      </c>
    </row>
    <row r="1822" spans="2:9" ht="16">
      <c r="B1822" s="24" t="s">
        <v>127</v>
      </c>
      <c r="C1822" s="24" t="s">
        <v>6</v>
      </c>
      <c r="D1822" s="24" t="s">
        <v>1551</v>
      </c>
      <c r="E1822" s="24" t="s">
        <v>8</v>
      </c>
      <c r="F1822" s="24" t="s">
        <v>9</v>
      </c>
      <c r="G1822" s="24" t="s">
        <v>8</v>
      </c>
      <c r="H1822" s="24" t="s">
        <v>1552</v>
      </c>
      <c r="I1822" s="27">
        <v>27.96</v>
      </c>
    </row>
    <row r="1823" spans="2:9" ht="16">
      <c r="B1823" s="24" t="s">
        <v>36</v>
      </c>
      <c r="C1823" s="24" t="s">
        <v>6</v>
      </c>
      <c r="D1823" s="24" t="s">
        <v>1553</v>
      </c>
      <c r="E1823" s="24" t="s">
        <v>8</v>
      </c>
      <c r="F1823" s="24" t="s">
        <v>9</v>
      </c>
      <c r="G1823" s="24" t="s">
        <v>8</v>
      </c>
      <c r="H1823" s="24" t="s">
        <v>1554</v>
      </c>
      <c r="I1823" s="27">
        <v>332.96</v>
      </c>
    </row>
    <row r="1824" spans="2:9" ht="16">
      <c r="B1824" s="24" t="s">
        <v>119</v>
      </c>
      <c r="C1824" s="24" t="s">
        <v>6</v>
      </c>
      <c r="D1824" s="24" t="s">
        <v>1553</v>
      </c>
      <c r="E1824" s="24" t="s">
        <v>8</v>
      </c>
      <c r="F1824" s="24" t="s">
        <v>9</v>
      </c>
      <c r="G1824" s="24" t="s">
        <v>8</v>
      </c>
      <c r="H1824" s="24" t="s">
        <v>1555</v>
      </c>
      <c r="I1824" s="27">
        <v>131.0</v>
      </c>
    </row>
    <row r="1825" spans="2:9" ht="16">
      <c r="B1825" s="24" t="s">
        <v>8</v>
      </c>
      <c r="C1825" s="24" t="s">
        <v>6</v>
      </c>
      <c r="D1825" s="24" t="s">
        <v>1545</v>
      </c>
      <c r="E1825" s="24" t="s">
        <v>8</v>
      </c>
      <c r="F1825" s="24" t="s">
        <v>9</v>
      </c>
      <c r="G1825" s="24" t="s">
        <v>8</v>
      </c>
      <c r="H1825" s="24" t="s">
        <v>1556</v>
      </c>
      <c r="I1825" s="27">
        <v>23.16</v>
      </c>
    </row>
    <row r="1826" spans="2:9" ht="16">
      <c r="B1826" s="24" t="s">
        <v>21</v>
      </c>
      <c r="C1826" s="24" t="s">
        <v>13</v>
      </c>
      <c r="D1826" s="24" t="s">
        <v>1551</v>
      </c>
      <c r="E1826" s="24" t="s">
        <v>1557</v>
      </c>
      <c r="F1826" s="24" t="s">
        <v>9</v>
      </c>
      <c r="G1826" s="24" t="s">
        <v>8</v>
      </c>
      <c r="H1826" s="24" t="s">
        <v>1558</v>
      </c>
      <c r="I1826" s="27">
        <v>1237.58</v>
      </c>
    </row>
    <row r="1827" spans="2:9" ht="16">
      <c r="B1827" s="24" t="s">
        <v>21</v>
      </c>
      <c r="C1827" s="24" t="s">
        <v>13</v>
      </c>
      <c r="D1827" s="24" t="s">
        <v>1553</v>
      </c>
      <c r="E1827" s="24" t="s">
        <v>1559</v>
      </c>
      <c r="F1827" s="24" t="s">
        <v>9</v>
      </c>
      <c r="G1827" s="24" t="s">
        <v>8</v>
      </c>
      <c r="H1827" s="24" t="s">
        <v>1560</v>
      </c>
      <c r="I1827" s="27">
        <v>644.17</v>
      </c>
    </row>
    <row r="1828" spans="2:9" ht="16">
      <c r="B1828" s="24" t="s">
        <v>21</v>
      </c>
      <c r="C1828" s="24" t="s">
        <v>13</v>
      </c>
      <c r="D1828" s="24" t="s">
        <v>1553</v>
      </c>
      <c r="E1828" s="24" t="s">
        <v>1561</v>
      </c>
      <c r="F1828" s="24" t="s">
        <v>9</v>
      </c>
      <c r="G1828" s="24" t="s">
        <v>8</v>
      </c>
      <c r="H1828" s="24" t="s">
        <v>1562</v>
      </c>
      <c r="I1828" s="27">
        <v>138.7</v>
      </c>
    </row>
    <row r="1829" spans="2:9" ht="16">
      <c r="B1829" s="24" t="s">
        <v>21</v>
      </c>
      <c r="C1829" s="24" t="s">
        <v>13</v>
      </c>
      <c r="D1829" s="24" t="s">
        <v>1531</v>
      </c>
      <c r="E1829" s="24" t="s">
        <v>1563</v>
      </c>
      <c r="F1829" s="24" t="s">
        <v>9</v>
      </c>
      <c r="G1829" s="24" t="s">
        <v>8</v>
      </c>
      <c r="H1829" s="24" t="s">
        <v>1564</v>
      </c>
      <c r="I1829" s="27">
        <v>383.21</v>
      </c>
    </row>
    <row r="1830" spans="2:9" ht="16">
      <c r="B1830" s="24" t="s">
        <v>21</v>
      </c>
      <c r="C1830" s="24" t="s">
        <v>13</v>
      </c>
      <c r="D1830" s="24" t="s">
        <v>1516</v>
      </c>
      <c r="E1830" s="24" t="s">
        <v>1565</v>
      </c>
      <c r="F1830" s="24" t="s">
        <v>9</v>
      </c>
      <c r="G1830" s="24" t="s">
        <v>8</v>
      </c>
      <c r="H1830" s="24" t="s">
        <v>1566</v>
      </c>
      <c r="I1830" s="27">
        <v>44.12</v>
      </c>
    </row>
    <row r="1831" spans="2:9" ht="16">
      <c r="B1831" s="24" t="s">
        <v>21</v>
      </c>
      <c r="C1831" s="24" t="s">
        <v>13</v>
      </c>
      <c r="D1831" s="24" t="s">
        <v>1383</v>
      </c>
      <c r="E1831" s="24" t="s">
        <v>1567</v>
      </c>
      <c r="F1831" s="24" t="s">
        <v>9</v>
      </c>
      <c r="G1831" s="24" t="s">
        <v>8</v>
      </c>
      <c r="H1831" s="24" t="s">
        <v>1568</v>
      </c>
      <c r="I1831" s="27">
        <v>69.7</v>
      </c>
    </row>
    <row r="1832" spans="2:9" ht="16">
      <c r="B1832" s="24" t="s">
        <v>1569</v>
      </c>
      <c r="C1832" s="24" t="s">
        <v>6</v>
      </c>
      <c r="D1832" s="24" t="s">
        <v>1570</v>
      </c>
      <c r="E1832" s="24" t="s">
        <v>8</v>
      </c>
      <c r="F1832" s="24" t="s">
        <v>9</v>
      </c>
      <c r="G1832" s="24" t="s">
        <v>8</v>
      </c>
      <c r="H1832" s="24" t="s">
        <v>1571</v>
      </c>
      <c r="I1832" s="27">
        <v>70.67</v>
      </c>
    </row>
    <row r="1833" spans="2:9" ht="16">
      <c r="B1833" s="24" t="s">
        <v>119</v>
      </c>
      <c r="C1833" s="24" t="s">
        <v>6</v>
      </c>
      <c r="D1833" s="24" t="s">
        <v>1572</v>
      </c>
      <c r="E1833" s="24" t="s">
        <v>8</v>
      </c>
      <c r="F1833" s="24" t="s">
        <v>9</v>
      </c>
      <c r="G1833" s="24" t="s">
        <v>8</v>
      </c>
      <c r="H1833" s="24" t="s">
        <v>1573</v>
      </c>
      <c r="I1833" s="27">
        <v>16.38</v>
      </c>
    </row>
    <row r="1834" spans="2:9" ht="16">
      <c r="B1834" s="24" t="s">
        <v>21</v>
      </c>
      <c r="C1834" s="24" t="s">
        <v>13</v>
      </c>
      <c r="D1834" s="24" t="s">
        <v>1574</v>
      </c>
      <c r="E1834" s="24" t="s">
        <v>1575</v>
      </c>
      <c r="F1834" s="24" t="s">
        <v>9</v>
      </c>
      <c r="G1834" s="24" t="s">
        <v>8</v>
      </c>
      <c r="H1834" s="24" t="s">
        <v>527</v>
      </c>
      <c r="I1834" s="27">
        <v>5627.22</v>
      </c>
    </row>
    <row r="1835" spans="2:9" ht="16">
      <c r="B1835" s="24" t="s">
        <v>21</v>
      </c>
      <c r="C1835" s="24" t="s">
        <v>13</v>
      </c>
      <c r="D1835" s="24" t="s">
        <v>1135</v>
      </c>
      <c r="E1835" s="24" t="s">
        <v>1576</v>
      </c>
      <c r="F1835" s="24" t="s">
        <v>9</v>
      </c>
      <c r="G1835" s="24" t="s">
        <v>8</v>
      </c>
      <c r="H1835" s="24" t="s">
        <v>527</v>
      </c>
      <c r="I1835" s="27">
        <v>3886.09</v>
      </c>
    </row>
    <row r="1836" spans="2:9" ht="16">
      <c r="B1836" s="24" t="s">
        <v>21</v>
      </c>
      <c r="C1836" s="24" t="s">
        <v>13</v>
      </c>
      <c r="D1836" s="24" t="s">
        <v>928</v>
      </c>
      <c r="E1836" s="24" t="s">
        <v>1577</v>
      </c>
      <c r="F1836" s="24" t="s">
        <v>9</v>
      </c>
      <c r="G1836" s="24" t="s">
        <v>8</v>
      </c>
      <c r="H1836" s="24" t="s">
        <v>527</v>
      </c>
      <c r="I1836" s="27">
        <v>115.2</v>
      </c>
    </row>
    <row r="1837" spans="2:9" ht="16">
      <c r="B1837" s="24" t="s">
        <v>21</v>
      </c>
      <c r="C1837" s="24" t="s">
        <v>13</v>
      </c>
      <c r="D1837" s="24" t="s">
        <v>1516</v>
      </c>
      <c r="E1837" s="24" t="s">
        <v>1578</v>
      </c>
      <c r="F1837" s="24" t="s">
        <v>9</v>
      </c>
      <c r="G1837" s="24" t="s">
        <v>8</v>
      </c>
      <c r="H1837" s="24" t="s">
        <v>527</v>
      </c>
      <c r="I1837" s="27">
        <v>430.0</v>
      </c>
    </row>
    <row r="1838" spans="2:9" ht="16">
      <c r="B1838" s="24" t="s">
        <v>21</v>
      </c>
      <c r="C1838" s="24" t="s">
        <v>13</v>
      </c>
      <c r="D1838" s="24" t="s">
        <v>1135</v>
      </c>
      <c r="E1838" s="24" t="s">
        <v>1579</v>
      </c>
      <c r="F1838" s="24" t="s">
        <v>9</v>
      </c>
      <c r="G1838" s="24" t="s">
        <v>8</v>
      </c>
      <c r="H1838" s="24" t="s">
        <v>527</v>
      </c>
      <c r="I1838" s="27">
        <v>3182.08</v>
      </c>
    </row>
    <row r="1839" spans="2:9" ht="16">
      <c r="B1839" s="24" t="s">
        <v>21</v>
      </c>
      <c r="C1839" s="24" t="s">
        <v>13</v>
      </c>
      <c r="D1839" s="24" t="s">
        <v>928</v>
      </c>
      <c r="E1839" s="24" t="s">
        <v>1580</v>
      </c>
      <c r="F1839" s="24" t="s">
        <v>9</v>
      </c>
      <c r="G1839" s="24" t="s">
        <v>8</v>
      </c>
      <c r="H1839" s="24" t="s">
        <v>527</v>
      </c>
      <c r="I1839" s="27">
        <v>84.48</v>
      </c>
    </row>
    <row r="1840" spans="1:9" ht="16">
      <c r="A1840" s="35" t="s">
        <v>40</v>
      </c>
      <c r="I1840" s="28">
        <f>I1801+I1802+I1803+I1804+I1805+I1806+I1807+I1808+I1809+I1810+I1811+I1812+I1813+I1814+I1815+I1816+I1817+I1818+I1819+I1820+I1821+I1822+I1823+I1824+I1825+I1826+I1827+I1828+I1829+I1830+I1831+I1832+I1833+I1834+I1835+I1836+I1837+I1838+I1839</f>
        <v>28446.19</v>
      </c>
    </row>
    <row r="1841" spans="1:1" ht="16">
      <c r="A1841" s="34" t="s">
        <v>1505</v>
      </c>
    </row>
    <row r="1842" spans="2:9" ht="16">
      <c r="B1842" s="24" t="s">
        <v>536</v>
      </c>
      <c r="C1842" s="24" t="s">
        <v>13</v>
      </c>
      <c r="D1842" s="24" t="s">
        <v>1581</v>
      </c>
      <c r="E1842" s="24" t="s">
        <v>1582</v>
      </c>
      <c r="F1842" s="24" t="s">
        <v>9</v>
      </c>
      <c r="G1842" s="24" t="s">
        <v>8</v>
      </c>
      <c r="H1842" s="24" t="s">
        <v>1583</v>
      </c>
      <c r="I1842" s="27">
        <v>47018.16</v>
      </c>
    </row>
    <row r="1843" spans="2:9" ht="16">
      <c r="B1843" s="24" t="s">
        <v>1382</v>
      </c>
      <c r="C1843" s="24" t="s">
        <v>13</v>
      </c>
      <c r="D1843" s="24" t="s">
        <v>1584</v>
      </c>
      <c r="E1843" s="24" t="s">
        <v>1585</v>
      </c>
      <c r="F1843" s="24" t="s">
        <v>9</v>
      </c>
      <c r="G1843" s="24" t="s">
        <v>8</v>
      </c>
      <c r="H1843" s="24" t="s">
        <v>1586</v>
      </c>
      <c r="I1843" s="27">
        <v>17014.5</v>
      </c>
    </row>
    <row r="1844" spans="2:9" ht="16">
      <c r="B1844" s="24" t="s">
        <v>536</v>
      </c>
      <c r="C1844" s="24" t="s">
        <v>13</v>
      </c>
      <c r="D1844" s="24" t="s">
        <v>1587</v>
      </c>
      <c r="E1844" s="24" t="s">
        <v>1588</v>
      </c>
      <c r="F1844" s="24" t="s">
        <v>9</v>
      </c>
      <c r="G1844" s="24" t="s">
        <v>8</v>
      </c>
      <c r="H1844" s="24" t="s">
        <v>1589</v>
      </c>
      <c r="I1844" s="27">
        <v>14090.04</v>
      </c>
    </row>
    <row r="1845" spans="2:9" ht="16">
      <c r="B1845" s="24" t="s">
        <v>1382</v>
      </c>
      <c r="C1845" s="24" t="s">
        <v>13</v>
      </c>
      <c r="D1845" s="24" t="s">
        <v>1587</v>
      </c>
      <c r="E1845" s="24" t="s">
        <v>1590</v>
      </c>
      <c r="F1845" s="24" t="s">
        <v>9</v>
      </c>
      <c r="G1845" s="24" t="s">
        <v>8</v>
      </c>
      <c r="H1845" s="24" t="s">
        <v>1591</v>
      </c>
      <c r="I1845" s="27">
        <v>13365.55</v>
      </c>
    </row>
    <row r="1846" spans="2:9" ht="16">
      <c r="B1846" s="24" t="s">
        <v>1382</v>
      </c>
      <c r="C1846" s="24" t="s">
        <v>13</v>
      </c>
      <c r="D1846" s="24" t="s">
        <v>1587</v>
      </c>
      <c r="E1846" s="24" t="s">
        <v>1592</v>
      </c>
      <c r="F1846" s="24" t="s">
        <v>9</v>
      </c>
      <c r="G1846" s="24" t="s">
        <v>8</v>
      </c>
      <c r="H1846" s="24" t="s">
        <v>1593</v>
      </c>
      <c r="I1846" s="27">
        <v>1598.95</v>
      </c>
    </row>
    <row r="1847" spans="2:9" ht="16">
      <c r="B1847" s="24" t="s">
        <v>536</v>
      </c>
      <c r="C1847" s="24" t="s">
        <v>13</v>
      </c>
      <c r="D1847" s="24" t="s">
        <v>1587</v>
      </c>
      <c r="E1847" s="24" t="s">
        <v>1594</v>
      </c>
      <c r="F1847" s="24" t="s">
        <v>9</v>
      </c>
      <c r="G1847" s="24" t="s">
        <v>8</v>
      </c>
      <c r="H1847" s="24" t="s">
        <v>1595</v>
      </c>
      <c r="I1847" s="27">
        <v>6789.8</v>
      </c>
    </row>
    <row r="1848" spans="1:9" ht="16">
      <c r="A1848" s="35" t="s">
        <v>164</v>
      </c>
      <c r="I1848" s="28">
        <f>I1841+I1842+I1843+I1844+I1845+I1846+I1847</f>
        <v>99877.00000000001</v>
      </c>
    </row>
    <row r="1849" spans="1:1" ht="16">
      <c r="A1849" s="34" t="s">
        <v>1505</v>
      </c>
    </row>
    <row r="1850" spans="2:9" ht="16">
      <c r="B1850" s="24" t="s">
        <v>45</v>
      </c>
      <c r="C1850" s="24" t="s">
        <v>6</v>
      </c>
      <c r="D1850" s="24" t="s">
        <v>1596</v>
      </c>
      <c r="E1850" s="24" t="s">
        <v>8</v>
      </c>
      <c r="F1850" s="24" t="s">
        <v>9</v>
      </c>
      <c r="G1850" s="24" t="s">
        <v>8</v>
      </c>
      <c r="H1850" s="24" t="s">
        <v>47</v>
      </c>
      <c r="I1850" s="27">
        <v>11943.24</v>
      </c>
    </row>
    <row r="1851" spans="2:9" ht="16">
      <c r="B1851" s="24" t="s">
        <v>8</v>
      </c>
      <c r="C1851" s="24" t="s">
        <v>6</v>
      </c>
      <c r="D1851" s="24" t="s">
        <v>1597</v>
      </c>
      <c r="E1851" s="24" t="s">
        <v>8</v>
      </c>
      <c r="F1851" s="24" t="s">
        <v>9</v>
      </c>
      <c r="G1851" s="24" t="s">
        <v>8</v>
      </c>
      <c r="H1851" s="24" t="s">
        <v>47</v>
      </c>
      <c r="I1851" s="27">
        <v>344.24</v>
      </c>
    </row>
    <row r="1852" spans="2:9" ht="16">
      <c r="B1852" s="24" t="s">
        <v>8</v>
      </c>
      <c r="C1852" s="24" t="s">
        <v>6</v>
      </c>
      <c r="D1852" s="24" t="s">
        <v>1205</v>
      </c>
      <c r="E1852" s="24" t="s">
        <v>8</v>
      </c>
      <c r="F1852" s="24" t="s">
        <v>9</v>
      </c>
      <c r="G1852" s="24" t="s">
        <v>8</v>
      </c>
      <c r="H1852" s="24" t="s">
        <v>47</v>
      </c>
      <c r="I1852" s="27">
        <v>4278.54</v>
      </c>
    </row>
    <row r="1853" spans="1:9" ht="16">
      <c r="A1853" s="35" t="s">
        <v>50</v>
      </c>
      <c r="I1853" s="28">
        <f>I1849+I1850+I1851+I1852</f>
        <v>16566.02</v>
      </c>
    </row>
    <row r="1854" spans="1:1" ht="16">
      <c r="A1854" s="34" t="s">
        <v>1505</v>
      </c>
    </row>
    <row r="1855" spans="2:9" ht="16">
      <c r="B1855" s="24" t="s">
        <v>8</v>
      </c>
      <c r="C1855" s="24" t="s">
        <v>150</v>
      </c>
      <c r="D1855" s="24" t="s">
        <v>1598</v>
      </c>
      <c r="E1855" s="24" t="s">
        <v>798</v>
      </c>
      <c r="F1855" s="24" t="s">
        <v>9</v>
      </c>
      <c r="G1855" s="24" t="s">
        <v>8</v>
      </c>
      <c r="H1855" s="24" t="s">
        <v>1599</v>
      </c>
      <c r="I1855" s="27">
        <v>447.07</v>
      </c>
    </row>
    <row r="1856" spans="2:9" ht="16">
      <c r="B1856" s="24" t="s">
        <v>8</v>
      </c>
      <c r="C1856" s="24" t="s">
        <v>150</v>
      </c>
      <c r="D1856" s="24" t="s">
        <v>1598</v>
      </c>
      <c r="E1856" s="24" t="s">
        <v>1600</v>
      </c>
      <c r="F1856" s="24" t="s">
        <v>9</v>
      </c>
      <c r="G1856" s="24" t="s">
        <v>8</v>
      </c>
      <c r="H1856" s="24" t="s">
        <v>1601</v>
      </c>
      <c r="I1856" s="27">
        <v>245.96</v>
      </c>
    </row>
    <row r="1857" spans="2:9" ht="16">
      <c r="B1857" s="24" t="s">
        <v>961</v>
      </c>
      <c r="C1857" s="24" t="s">
        <v>6</v>
      </c>
      <c r="D1857" s="24" t="s">
        <v>1547</v>
      </c>
      <c r="E1857" s="24" t="s">
        <v>8</v>
      </c>
      <c r="F1857" s="24" t="s">
        <v>9</v>
      </c>
      <c r="G1857" s="24" t="s">
        <v>8</v>
      </c>
      <c r="H1857" s="24" t="s">
        <v>53</v>
      </c>
      <c r="I1857" s="27">
        <v>5656.96</v>
      </c>
    </row>
    <row r="1858" spans="2:9" ht="16">
      <c r="B1858" s="24" t="s">
        <v>961</v>
      </c>
      <c r="C1858" s="24" t="s">
        <v>6</v>
      </c>
      <c r="D1858" s="24" t="s">
        <v>1596</v>
      </c>
      <c r="E1858" s="24" t="s">
        <v>8</v>
      </c>
      <c r="F1858" s="24" t="s">
        <v>9</v>
      </c>
      <c r="G1858" s="24" t="s">
        <v>8</v>
      </c>
      <c r="H1858" s="24" t="s">
        <v>53</v>
      </c>
      <c r="I1858" s="27">
        <v>208.1</v>
      </c>
    </row>
    <row r="1859" spans="2:9" ht="16">
      <c r="B1859" s="24" t="s">
        <v>961</v>
      </c>
      <c r="C1859" s="24" t="s">
        <v>6</v>
      </c>
      <c r="D1859" s="24" t="s">
        <v>1086</v>
      </c>
      <c r="E1859" s="24" t="s">
        <v>8</v>
      </c>
      <c r="F1859" s="24" t="s">
        <v>9</v>
      </c>
      <c r="G1859" s="24" t="s">
        <v>8</v>
      </c>
      <c r="H1859" s="24" t="s">
        <v>53</v>
      </c>
      <c r="I1859" s="27">
        <v>-693.03</v>
      </c>
    </row>
    <row r="1860" spans="2:9" ht="16">
      <c r="B1860" s="24" t="s">
        <v>961</v>
      </c>
      <c r="C1860" s="24" t="s">
        <v>6</v>
      </c>
      <c r="D1860" s="24" t="s">
        <v>1538</v>
      </c>
      <c r="E1860" s="24" t="s">
        <v>8</v>
      </c>
      <c r="F1860" s="24" t="s">
        <v>9</v>
      </c>
      <c r="G1860" s="24" t="s">
        <v>8</v>
      </c>
      <c r="H1860" s="24" t="s">
        <v>53</v>
      </c>
      <c r="I1860" s="27">
        <v>5365.01</v>
      </c>
    </row>
    <row r="1861" spans="2:9" ht="16">
      <c r="B1861" s="24" t="s">
        <v>961</v>
      </c>
      <c r="C1861" s="24" t="s">
        <v>6</v>
      </c>
      <c r="D1861" s="24" t="s">
        <v>1602</v>
      </c>
      <c r="E1861" s="24" t="s">
        <v>8</v>
      </c>
      <c r="F1861" s="24" t="s">
        <v>9</v>
      </c>
      <c r="G1861" s="24" t="s">
        <v>8</v>
      </c>
      <c r="H1861" s="24" t="s">
        <v>53</v>
      </c>
      <c r="I1861" s="27">
        <v>3386.41</v>
      </c>
    </row>
    <row r="1862" spans="2:9" ht="16">
      <c r="B1862" s="24" t="s">
        <v>961</v>
      </c>
      <c r="C1862" s="24" t="s">
        <v>6</v>
      </c>
      <c r="D1862" s="24" t="s">
        <v>1584</v>
      </c>
      <c r="E1862" s="24" t="s">
        <v>8</v>
      </c>
      <c r="F1862" s="24" t="s">
        <v>9</v>
      </c>
      <c r="G1862" s="24" t="s">
        <v>8</v>
      </c>
      <c r="H1862" s="24" t="s">
        <v>53</v>
      </c>
      <c r="I1862" s="27">
        <v>5087.3</v>
      </c>
    </row>
    <row r="1863" spans="2:9" ht="16">
      <c r="B1863" s="24" t="s">
        <v>961</v>
      </c>
      <c r="C1863" s="24" t="s">
        <v>6</v>
      </c>
      <c r="D1863" s="24" t="s">
        <v>1086</v>
      </c>
      <c r="E1863" s="24" t="s">
        <v>8</v>
      </c>
      <c r="F1863" s="24" t="s">
        <v>9</v>
      </c>
      <c r="G1863" s="24" t="s">
        <v>8</v>
      </c>
      <c r="H1863" s="24" t="s">
        <v>53</v>
      </c>
      <c r="I1863" s="27">
        <v>7892.45</v>
      </c>
    </row>
    <row r="1864" spans="2:9" ht="16">
      <c r="B1864" s="24" t="s">
        <v>961</v>
      </c>
      <c r="C1864" s="24" t="s">
        <v>6</v>
      </c>
      <c r="D1864" s="24" t="s">
        <v>1603</v>
      </c>
      <c r="E1864" s="24" t="s">
        <v>8</v>
      </c>
      <c r="F1864" s="24" t="s">
        <v>9</v>
      </c>
      <c r="G1864" s="24" t="s">
        <v>8</v>
      </c>
      <c r="H1864" s="24" t="s">
        <v>53</v>
      </c>
      <c r="I1864" s="27">
        <v>5662.6</v>
      </c>
    </row>
    <row r="1865" spans="2:9" ht="16">
      <c r="B1865" s="24" t="s">
        <v>961</v>
      </c>
      <c r="C1865" s="24" t="s">
        <v>6</v>
      </c>
      <c r="D1865" s="24" t="s">
        <v>1581</v>
      </c>
      <c r="E1865" s="24" t="s">
        <v>8</v>
      </c>
      <c r="F1865" s="24" t="s">
        <v>9</v>
      </c>
      <c r="G1865" s="24" t="s">
        <v>8</v>
      </c>
      <c r="H1865" s="24" t="s">
        <v>53</v>
      </c>
      <c r="I1865" s="27">
        <v>13378.24</v>
      </c>
    </row>
    <row r="1866" spans="2:9" ht="16">
      <c r="B1866" s="24" t="s">
        <v>51</v>
      </c>
      <c r="C1866" s="24" t="s">
        <v>6</v>
      </c>
      <c r="D1866" s="24" t="s">
        <v>1209</v>
      </c>
      <c r="E1866" s="24" t="s">
        <v>8</v>
      </c>
      <c r="F1866" s="24" t="s">
        <v>9</v>
      </c>
      <c r="G1866" s="24" t="s">
        <v>8</v>
      </c>
      <c r="H1866" s="24" t="s">
        <v>53</v>
      </c>
      <c r="I1866" s="27">
        <v>148.0</v>
      </c>
    </row>
    <row r="1867" spans="1:9" ht="16">
      <c r="A1867" s="35" t="s">
        <v>67</v>
      </c>
      <c r="I1867" s="28">
        <f>I1854+I1855+I1856+I1857+I1858+I1859+I1860+I1861+I1862+I1863+I1864+I1865+I1866</f>
        <v>46785.07</v>
      </c>
    </row>
    <row r="1868" spans="1:9" ht="16">
      <c r="A1868" s="36" t="s">
        <v>1604</v>
      </c>
      <c r="I1868" s="28">
        <f>I1800+I1840+I1848+I1853+I1867</f>
        <v>192803.79</v>
      </c>
    </row>
    <row r="1869" spans="1:1" ht="16">
      <c r="A1869" s="33" t="s">
        <v>1216</v>
      </c>
    </row>
    <row r="1870" spans="1:1" ht="16">
      <c r="A1870" s="34" t="s">
        <v>1605</v>
      </c>
    </row>
    <row r="1871" spans="2:9" ht="16">
      <c r="B1871" s="24" t="s">
        <v>961</v>
      </c>
      <c r="C1871" s="24" t="s">
        <v>6</v>
      </c>
      <c r="D1871" s="24" t="s">
        <v>962</v>
      </c>
      <c r="E1871" s="24" t="s">
        <v>8</v>
      </c>
      <c r="F1871" s="24" t="s">
        <v>9</v>
      </c>
      <c r="G1871" s="24" t="s">
        <v>8</v>
      </c>
      <c r="H1871" s="24" t="s">
        <v>1606</v>
      </c>
      <c r="I1871" s="27">
        <v>2006.15</v>
      </c>
    </row>
    <row r="1872" spans="1:9" ht="16">
      <c r="A1872" s="35" t="s">
        <v>964</v>
      </c>
      <c r="I1872" s="28">
        <f>I1870+I1871</f>
        <v>2006.15</v>
      </c>
    </row>
    <row r="1873" spans="1:1" ht="16">
      <c r="A1873" s="34" t="s">
        <v>1605</v>
      </c>
    </row>
    <row r="1874" spans="2:9" ht="16">
      <c r="B1874" s="24" t="s">
        <v>1607</v>
      </c>
      <c r="C1874" s="24" t="s">
        <v>13</v>
      </c>
      <c r="D1874" s="24" t="s">
        <v>1208</v>
      </c>
      <c r="E1874" s="24" t="s">
        <v>1608</v>
      </c>
      <c r="F1874" s="24" t="s">
        <v>9</v>
      </c>
      <c r="G1874" s="24" t="s">
        <v>8</v>
      </c>
      <c r="H1874" s="24" t="s">
        <v>1609</v>
      </c>
      <c r="I1874" s="27">
        <v>9643.0</v>
      </c>
    </row>
    <row r="1875" spans="1:9" ht="16">
      <c r="A1875" s="35" t="s">
        <v>1610</v>
      </c>
      <c r="I1875" s="28">
        <f>I1873+I1874</f>
        <v>9643.0</v>
      </c>
    </row>
    <row r="1876" spans="1:1" ht="16">
      <c r="A1876" s="34" t="s">
        <v>1605</v>
      </c>
    </row>
    <row r="1877" spans="2:9" ht="16">
      <c r="B1877" s="24" t="s">
        <v>86</v>
      </c>
      <c r="C1877" s="24" t="s">
        <v>13</v>
      </c>
      <c r="D1877" s="24" t="s">
        <v>1611</v>
      </c>
      <c r="E1877" s="24" t="s">
        <v>1612</v>
      </c>
      <c r="F1877" s="24" t="s">
        <v>9</v>
      </c>
      <c r="G1877" s="24" t="s">
        <v>8</v>
      </c>
      <c r="H1877" s="24" t="s">
        <v>1613</v>
      </c>
      <c r="I1877" s="27">
        <v>1340.0</v>
      </c>
    </row>
    <row r="1878" spans="2:9" ht="16">
      <c r="B1878" s="24" t="s">
        <v>17</v>
      </c>
      <c r="C1878" s="24" t="s">
        <v>6</v>
      </c>
      <c r="D1878" s="24" t="s">
        <v>1535</v>
      </c>
      <c r="E1878" s="24" t="s">
        <v>8</v>
      </c>
      <c r="F1878" s="24" t="s">
        <v>9</v>
      </c>
      <c r="G1878" s="24" t="s">
        <v>8</v>
      </c>
      <c r="H1878" s="24" t="s">
        <v>1614</v>
      </c>
      <c r="I1878" s="27">
        <v>229.62</v>
      </c>
    </row>
    <row r="1879" spans="2:9" ht="16">
      <c r="B1879" s="24" t="s">
        <v>86</v>
      </c>
      <c r="C1879" s="24" t="s">
        <v>13</v>
      </c>
      <c r="D1879" s="24" t="s">
        <v>1615</v>
      </c>
      <c r="E1879" s="24" t="s">
        <v>1616</v>
      </c>
      <c r="F1879" s="24" t="s">
        <v>9</v>
      </c>
      <c r="G1879" s="24" t="s">
        <v>8</v>
      </c>
      <c r="H1879" s="24" t="s">
        <v>834</v>
      </c>
      <c r="I1879" s="27">
        <v>2068.06</v>
      </c>
    </row>
    <row r="1880" spans="2:9" ht="16">
      <c r="B1880" s="24" t="s">
        <v>155</v>
      </c>
      <c r="C1880" s="24" t="s">
        <v>13</v>
      </c>
      <c r="D1880" s="24" t="s">
        <v>1006</v>
      </c>
      <c r="E1880" s="24" t="s">
        <v>1617</v>
      </c>
      <c r="F1880" s="24" t="s">
        <v>9</v>
      </c>
      <c r="G1880" s="24" t="s">
        <v>8</v>
      </c>
      <c r="H1880" s="24" t="s">
        <v>1307</v>
      </c>
      <c r="I1880" s="27">
        <v>275.55</v>
      </c>
    </row>
    <row r="1881" spans="2:9" ht="16">
      <c r="B1881" s="24" t="s">
        <v>86</v>
      </c>
      <c r="C1881" s="24" t="s">
        <v>13</v>
      </c>
      <c r="D1881" s="24" t="s">
        <v>1618</v>
      </c>
      <c r="E1881" s="24" t="s">
        <v>1619</v>
      </c>
      <c r="F1881" s="24" t="s">
        <v>9</v>
      </c>
      <c r="G1881" s="24" t="s">
        <v>8</v>
      </c>
      <c r="H1881" s="24" t="s">
        <v>1620</v>
      </c>
      <c r="I1881" s="27">
        <v>1894.5</v>
      </c>
    </row>
    <row r="1882" spans="2:9" ht="16">
      <c r="B1882" s="24" t="s">
        <v>86</v>
      </c>
      <c r="C1882" s="24" t="s">
        <v>13</v>
      </c>
      <c r="D1882" s="24" t="s">
        <v>1618</v>
      </c>
      <c r="E1882" s="24" t="s">
        <v>1621</v>
      </c>
      <c r="F1882" s="24" t="s">
        <v>9</v>
      </c>
      <c r="G1882" s="24" t="s">
        <v>8</v>
      </c>
      <c r="H1882" s="24" t="s">
        <v>1622</v>
      </c>
      <c r="I1882" s="27">
        <v>3753.0</v>
      </c>
    </row>
    <row r="1883" spans="2:9" ht="16">
      <c r="B1883" s="24" t="s">
        <v>119</v>
      </c>
      <c r="C1883" s="24" t="s">
        <v>6</v>
      </c>
      <c r="D1883" s="24" t="s">
        <v>1510</v>
      </c>
      <c r="E1883" s="24" t="s">
        <v>8</v>
      </c>
      <c r="F1883" s="24" t="s">
        <v>9</v>
      </c>
      <c r="G1883" s="24" t="s">
        <v>8</v>
      </c>
      <c r="H1883" s="24" t="s">
        <v>1623</v>
      </c>
      <c r="I1883" s="27">
        <v>23.95</v>
      </c>
    </row>
    <row r="1884" spans="2:9" ht="16">
      <c r="B1884" s="24" t="s">
        <v>86</v>
      </c>
      <c r="C1884" s="24" t="s">
        <v>13</v>
      </c>
      <c r="D1884" s="24" t="s">
        <v>1618</v>
      </c>
      <c r="E1884" s="24" t="s">
        <v>1624</v>
      </c>
      <c r="F1884" s="24" t="s">
        <v>9</v>
      </c>
      <c r="G1884" s="24" t="s">
        <v>8</v>
      </c>
      <c r="H1884" s="24" t="s">
        <v>1625</v>
      </c>
      <c r="I1884" s="27">
        <v>4353.9</v>
      </c>
    </row>
    <row r="1885" spans="2:9" ht="16">
      <c r="B1885" s="24" t="s">
        <v>8</v>
      </c>
      <c r="C1885" s="24" t="s">
        <v>6</v>
      </c>
      <c r="D1885" s="24" t="s">
        <v>1209</v>
      </c>
      <c r="E1885" s="24" t="s">
        <v>8</v>
      </c>
      <c r="F1885" s="24" t="s">
        <v>9</v>
      </c>
      <c r="G1885" s="24" t="s">
        <v>8</v>
      </c>
      <c r="H1885" s="24" t="s">
        <v>1626</v>
      </c>
      <c r="I1885" s="27">
        <v>19.48</v>
      </c>
    </row>
    <row r="1886" spans="2:9" ht="16">
      <c r="B1886" s="24" t="s">
        <v>119</v>
      </c>
      <c r="C1886" s="24" t="s">
        <v>6</v>
      </c>
      <c r="D1886" s="24" t="s">
        <v>1574</v>
      </c>
      <c r="E1886" s="24" t="s">
        <v>8</v>
      </c>
      <c r="F1886" s="24" t="s">
        <v>9</v>
      </c>
      <c r="G1886" s="24" t="s">
        <v>8</v>
      </c>
      <c r="H1886" s="24" t="s">
        <v>1627</v>
      </c>
      <c r="I1886" s="27">
        <v>21.21</v>
      </c>
    </row>
    <row r="1887" spans="2:9" ht="16">
      <c r="B1887" s="24" t="s">
        <v>119</v>
      </c>
      <c r="C1887" s="24" t="s">
        <v>6</v>
      </c>
      <c r="D1887" s="24" t="s">
        <v>1628</v>
      </c>
      <c r="E1887" s="24" t="s">
        <v>8</v>
      </c>
      <c r="F1887" s="24" t="s">
        <v>9</v>
      </c>
      <c r="G1887" s="24" t="s">
        <v>8</v>
      </c>
      <c r="H1887" s="24" t="s">
        <v>1629</v>
      </c>
      <c r="I1887" s="27">
        <v>15.2</v>
      </c>
    </row>
    <row r="1888" spans="2:9" ht="16">
      <c r="B1888" s="24" t="s">
        <v>21</v>
      </c>
      <c r="C1888" s="24" t="s">
        <v>13</v>
      </c>
      <c r="D1888" s="24" t="s">
        <v>1630</v>
      </c>
      <c r="E1888" s="24" t="s">
        <v>1631</v>
      </c>
      <c r="F1888" s="24" t="s">
        <v>9</v>
      </c>
      <c r="G1888" s="24" t="s">
        <v>8</v>
      </c>
      <c r="H1888" s="24" t="s">
        <v>1632</v>
      </c>
      <c r="I1888" s="27">
        <v>152.73</v>
      </c>
    </row>
    <row r="1889" spans="2:9" ht="16">
      <c r="B1889" s="24" t="s">
        <v>86</v>
      </c>
      <c r="C1889" s="24" t="s">
        <v>13</v>
      </c>
      <c r="D1889" s="24" t="s">
        <v>1633</v>
      </c>
      <c r="E1889" s="24" t="s">
        <v>1634</v>
      </c>
      <c r="F1889" s="24" t="s">
        <v>9</v>
      </c>
      <c r="G1889" s="24" t="s">
        <v>8</v>
      </c>
      <c r="H1889" s="24" t="s">
        <v>1635</v>
      </c>
      <c r="I1889" s="27">
        <v>125.82</v>
      </c>
    </row>
    <row r="1890" spans="2:9" ht="16">
      <c r="B1890" s="24" t="s">
        <v>86</v>
      </c>
      <c r="C1890" s="24" t="s">
        <v>13</v>
      </c>
      <c r="D1890" s="24" t="s">
        <v>1636</v>
      </c>
      <c r="E1890" s="24" t="s">
        <v>1637</v>
      </c>
      <c r="F1890" s="24" t="s">
        <v>9</v>
      </c>
      <c r="G1890" s="24" t="s">
        <v>8</v>
      </c>
      <c r="H1890" s="24" t="s">
        <v>1638</v>
      </c>
      <c r="I1890" s="27">
        <v>79.61</v>
      </c>
    </row>
    <row r="1891" spans="2:9" ht="16">
      <c r="B1891" s="24" t="s">
        <v>119</v>
      </c>
      <c r="C1891" s="24" t="s">
        <v>6</v>
      </c>
      <c r="D1891" s="24" t="s">
        <v>1639</v>
      </c>
      <c r="E1891" s="24" t="s">
        <v>8</v>
      </c>
      <c r="F1891" s="24" t="s">
        <v>9</v>
      </c>
      <c r="G1891" s="24" t="s">
        <v>8</v>
      </c>
      <c r="H1891" s="24" t="s">
        <v>1640</v>
      </c>
      <c r="I1891" s="27">
        <v>28.87</v>
      </c>
    </row>
    <row r="1892" spans="2:9" ht="16">
      <c r="B1892" s="24" t="s">
        <v>119</v>
      </c>
      <c r="C1892" s="24" t="s">
        <v>6</v>
      </c>
      <c r="D1892" s="24" t="s">
        <v>1641</v>
      </c>
      <c r="E1892" s="24" t="s">
        <v>8</v>
      </c>
      <c r="F1892" s="24" t="s">
        <v>9</v>
      </c>
      <c r="G1892" s="24" t="s">
        <v>8</v>
      </c>
      <c r="H1892" s="24" t="s">
        <v>1642</v>
      </c>
      <c r="I1892" s="27">
        <v>41.46</v>
      </c>
    </row>
    <row r="1893" spans="2:9" ht="16">
      <c r="B1893" s="24" t="s">
        <v>119</v>
      </c>
      <c r="C1893" s="24" t="s">
        <v>6</v>
      </c>
      <c r="D1893" s="24" t="s">
        <v>1643</v>
      </c>
      <c r="E1893" s="24" t="s">
        <v>8</v>
      </c>
      <c r="F1893" s="24" t="s">
        <v>9</v>
      </c>
      <c r="G1893" s="24" t="s">
        <v>8</v>
      </c>
      <c r="H1893" s="24" t="s">
        <v>1642</v>
      </c>
      <c r="I1893" s="27">
        <v>32.99</v>
      </c>
    </row>
    <row r="1894" spans="2:9" ht="16">
      <c r="B1894" s="24" t="s">
        <v>86</v>
      </c>
      <c r="C1894" s="24" t="s">
        <v>13</v>
      </c>
      <c r="D1894" s="24" t="s">
        <v>1135</v>
      </c>
      <c r="E1894" s="24" t="s">
        <v>1644</v>
      </c>
      <c r="F1894" s="24" t="s">
        <v>9</v>
      </c>
      <c r="G1894" s="24" t="s">
        <v>8</v>
      </c>
      <c r="H1894" s="24" t="s">
        <v>527</v>
      </c>
      <c r="I1894" s="27">
        <v>1223.52</v>
      </c>
    </row>
    <row r="1895" spans="2:9" ht="16">
      <c r="B1895" s="24" t="s">
        <v>86</v>
      </c>
      <c r="C1895" s="24" t="s">
        <v>13</v>
      </c>
      <c r="D1895" s="24" t="s">
        <v>1645</v>
      </c>
      <c r="E1895" s="24" t="s">
        <v>1646</v>
      </c>
      <c r="F1895" s="24" t="s">
        <v>9</v>
      </c>
      <c r="G1895" s="24" t="s">
        <v>8</v>
      </c>
      <c r="H1895" s="24" t="s">
        <v>527</v>
      </c>
      <c r="I1895" s="27">
        <v>386.5</v>
      </c>
    </row>
    <row r="1896" spans="2:9" ht="16">
      <c r="B1896" s="24" t="s">
        <v>86</v>
      </c>
      <c r="C1896" s="24" t="s">
        <v>13</v>
      </c>
      <c r="D1896" s="24" t="s">
        <v>1598</v>
      </c>
      <c r="E1896" s="24" t="s">
        <v>1647</v>
      </c>
      <c r="F1896" s="24" t="s">
        <v>9</v>
      </c>
      <c r="G1896" s="24" t="s">
        <v>8</v>
      </c>
      <c r="H1896" s="24" t="s">
        <v>527</v>
      </c>
      <c r="I1896" s="27">
        <v>5679.72</v>
      </c>
    </row>
    <row r="1897" spans="2:9" ht="16">
      <c r="B1897" s="24" t="s">
        <v>86</v>
      </c>
      <c r="C1897" s="24" t="s">
        <v>13</v>
      </c>
      <c r="D1897" s="24" t="s">
        <v>1598</v>
      </c>
      <c r="E1897" s="24" t="s">
        <v>1648</v>
      </c>
      <c r="F1897" s="24" t="s">
        <v>9</v>
      </c>
      <c r="G1897" s="24" t="s">
        <v>8</v>
      </c>
      <c r="H1897" s="24" t="s">
        <v>527</v>
      </c>
      <c r="I1897" s="27">
        <v>7894.45</v>
      </c>
    </row>
    <row r="1898" spans="2:9" ht="16">
      <c r="B1898" s="24" t="s">
        <v>86</v>
      </c>
      <c r="C1898" s="24" t="s">
        <v>13</v>
      </c>
      <c r="D1898" s="24" t="s">
        <v>1641</v>
      </c>
      <c r="E1898" s="24" t="s">
        <v>1649</v>
      </c>
      <c r="F1898" s="24" t="s">
        <v>9</v>
      </c>
      <c r="G1898" s="24" t="s">
        <v>8</v>
      </c>
      <c r="H1898" s="24" t="s">
        <v>527</v>
      </c>
      <c r="I1898" s="27">
        <v>2042.2</v>
      </c>
    </row>
    <row r="1899" spans="2:9" ht="16">
      <c r="B1899" s="24" t="s">
        <v>86</v>
      </c>
      <c r="C1899" s="24" t="s">
        <v>13</v>
      </c>
      <c r="D1899" s="24" t="s">
        <v>1135</v>
      </c>
      <c r="E1899" s="24" t="s">
        <v>1650</v>
      </c>
      <c r="F1899" s="24" t="s">
        <v>9</v>
      </c>
      <c r="G1899" s="24" t="s">
        <v>8</v>
      </c>
      <c r="H1899" s="24" t="s">
        <v>527</v>
      </c>
      <c r="I1899" s="27">
        <v>1292.01</v>
      </c>
    </row>
    <row r="1900" spans="2:9" ht="16">
      <c r="B1900" s="24" t="s">
        <v>86</v>
      </c>
      <c r="C1900" s="24" t="s">
        <v>13</v>
      </c>
      <c r="D1900" s="24" t="s">
        <v>1135</v>
      </c>
      <c r="E1900" s="24" t="s">
        <v>1651</v>
      </c>
      <c r="F1900" s="24" t="s">
        <v>9</v>
      </c>
      <c r="G1900" s="24" t="s">
        <v>8</v>
      </c>
      <c r="H1900" s="24" t="s">
        <v>527</v>
      </c>
      <c r="I1900" s="27">
        <v>2417.3</v>
      </c>
    </row>
    <row r="1901" spans="1:9" ht="16">
      <c r="A1901" s="35" t="s">
        <v>40</v>
      </c>
      <c r="I1901" s="28">
        <f>I1876+I1877+I1878+I1879+I1880+I1881+I1882+I1883+I1884+I1885+I1886+I1887+I1888+I1889+I1890+I1891+I1892+I1893+I1894+I1895+I1896+I1897+I1898+I1899+I1900</f>
        <v>35391.65</v>
      </c>
    </row>
    <row r="1902" spans="1:1" ht="16">
      <c r="A1902" s="34" t="s">
        <v>1605</v>
      </c>
    </row>
    <row r="1903" spans="2:9" ht="16">
      <c r="B1903" s="24" t="s">
        <v>1652</v>
      </c>
      <c r="C1903" s="24" t="s">
        <v>13</v>
      </c>
      <c r="D1903" s="24" t="s">
        <v>980</v>
      </c>
      <c r="E1903" s="24" t="s">
        <v>1653</v>
      </c>
      <c r="F1903" s="24" t="s">
        <v>9</v>
      </c>
      <c r="G1903" s="24" t="s">
        <v>8</v>
      </c>
      <c r="H1903" s="24" t="s">
        <v>1654</v>
      </c>
      <c r="I1903" s="27">
        <v>1300.0</v>
      </c>
    </row>
    <row r="1904" spans="1:9" ht="16">
      <c r="A1904" s="35" t="s">
        <v>154</v>
      </c>
      <c r="I1904" s="28">
        <f>I1902+I1903</f>
        <v>1300.0</v>
      </c>
    </row>
    <row r="1905" spans="1:1" ht="16">
      <c r="A1905" s="34" t="s">
        <v>1605</v>
      </c>
    </row>
    <row r="1906" spans="2:9" ht="16">
      <c r="B1906" s="24" t="s">
        <v>961</v>
      </c>
      <c r="C1906" s="24" t="s">
        <v>6</v>
      </c>
      <c r="D1906" s="24" t="s">
        <v>1655</v>
      </c>
      <c r="E1906" s="24" t="s">
        <v>8</v>
      </c>
      <c r="F1906" s="24" t="s">
        <v>9</v>
      </c>
      <c r="G1906" s="24" t="s">
        <v>8</v>
      </c>
      <c r="H1906" s="24" t="s">
        <v>53</v>
      </c>
      <c r="I1906" s="27">
        <v>9.22</v>
      </c>
    </row>
    <row r="1907" spans="1:9" ht="16">
      <c r="A1907" s="35" t="s">
        <v>1656</v>
      </c>
      <c r="I1907" s="28">
        <f>I1905+I1906</f>
        <v>9.22</v>
      </c>
    </row>
    <row r="1908" spans="1:1" ht="16">
      <c r="A1908" s="34" t="s">
        <v>1605</v>
      </c>
    </row>
    <row r="1909" spans="2:9" ht="16">
      <c r="B1909" s="24" t="s">
        <v>1607</v>
      </c>
      <c r="C1909" s="24" t="s">
        <v>141</v>
      </c>
      <c r="D1909" s="24" t="s">
        <v>1657</v>
      </c>
      <c r="E1909" s="24" t="s">
        <v>1658</v>
      </c>
      <c r="F1909" s="24" t="s">
        <v>9</v>
      </c>
      <c r="G1909" s="24" t="s">
        <v>8</v>
      </c>
      <c r="H1909" s="24" t="s">
        <v>1659</v>
      </c>
      <c r="I1909" s="27">
        <v>-1247.0</v>
      </c>
    </row>
    <row r="1910" spans="1:9" ht="16">
      <c r="A1910" s="35" t="s">
        <v>1660</v>
      </c>
      <c r="I1910" s="28">
        <f>I1908+I1909</f>
        <v>-1247.0</v>
      </c>
    </row>
    <row r="1911" spans="1:1" ht="16">
      <c r="A1911" s="34" t="s">
        <v>1605</v>
      </c>
    </row>
    <row r="1912" spans="2:9" ht="16">
      <c r="B1912" s="24" t="s">
        <v>589</v>
      </c>
      <c r="C1912" s="24" t="s">
        <v>6</v>
      </c>
      <c r="D1912" s="24" t="s">
        <v>1661</v>
      </c>
      <c r="E1912" s="24" t="s">
        <v>1662</v>
      </c>
      <c r="F1912" s="24" t="s">
        <v>9</v>
      </c>
      <c r="G1912" s="24" t="s">
        <v>8</v>
      </c>
      <c r="H1912" s="24" t="s">
        <v>1663</v>
      </c>
      <c r="I1912" s="27">
        <v>48.64</v>
      </c>
    </row>
    <row r="1913" spans="1:9" ht="16">
      <c r="A1913" s="35" t="s">
        <v>267</v>
      </c>
      <c r="I1913" s="28">
        <f>I1911+I1912</f>
        <v>48.64</v>
      </c>
    </row>
    <row r="1914" spans="1:1" ht="16">
      <c r="A1914" s="34" t="s">
        <v>1605</v>
      </c>
    </row>
    <row r="1915" spans="2:9" ht="16">
      <c r="B1915" s="24" t="s">
        <v>1382</v>
      </c>
      <c r="C1915" s="24" t="s">
        <v>13</v>
      </c>
      <c r="D1915" s="24" t="s">
        <v>1584</v>
      </c>
      <c r="E1915" s="24" t="s">
        <v>1664</v>
      </c>
      <c r="F1915" s="24" t="s">
        <v>9</v>
      </c>
      <c r="G1915" s="24" t="s">
        <v>8</v>
      </c>
      <c r="H1915" s="24" t="s">
        <v>1665</v>
      </c>
      <c r="I1915" s="27">
        <v>42906.75</v>
      </c>
    </row>
    <row r="1916" spans="2:9" ht="16">
      <c r="B1916" s="24" t="s">
        <v>1382</v>
      </c>
      <c r="C1916" s="24" t="s">
        <v>13</v>
      </c>
      <c r="D1916" s="24" t="s">
        <v>1666</v>
      </c>
      <c r="E1916" s="24" t="s">
        <v>1667</v>
      </c>
      <c r="F1916" s="24" t="s">
        <v>9</v>
      </c>
      <c r="G1916" s="24" t="s">
        <v>8</v>
      </c>
      <c r="H1916" s="24" t="s">
        <v>1668</v>
      </c>
      <c r="I1916" s="27">
        <v>24462.0</v>
      </c>
    </row>
    <row r="1917" spans="2:9" ht="16">
      <c r="B1917" s="24" t="s">
        <v>1382</v>
      </c>
      <c r="C1917" s="24" t="s">
        <v>13</v>
      </c>
      <c r="D1917" s="24" t="s">
        <v>1669</v>
      </c>
      <c r="E1917" s="24" t="s">
        <v>1670</v>
      </c>
      <c r="F1917" s="24" t="s">
        <v>9</v>
      </c>
      <c r="G1917" s="24" t="s">
        <v>8</v>
      </c>
      <c r="H1917" s="24" t="s">
        <v>1671</v>
      </c>
      <c r="I1917" s="27">
        <v>2258.25</v>
      </c>
    </row>
    <row r="1918" spans="1:9" ht="16">
      <c r="A1918" s="35" t="s">
        <v>164</v>
      </c>
      <c r="I1918" s="28">
        <f>I1914+I1915+I1916+I1917</f>
        <v>69627.0</v>
      </c>
    </row>
    <row r="1919" spans="1:1" ht="16">
      <c r="A1919" s="34" t="s">
        <v>1605</v>
      </c>
    </row>
    <row r="1920" spans="2:9" ht="16">
      <c r="B1920" s="24" t="s">
        <v>8</v>
      </c>
      <c r="C1920" s="24" t="s">
        <v>6</v>
      </c>
      <c r="D1920" s="24" t="s">
        <v>1597</v>
      </c>
      <c r="E1920" s="24" t="s">
        <v>8</v>
      </c>
      <c r="F1920" s="24" t="s">
        <v>9</v>
      </c>
      <c r="G1920" s="24" t="s">
        <v>8</v>
      </c>
      <c r="H1920" s="24" t="s">
        <v>47</v>
      </c>
      <c r="I1920" s="27">
        <v>158.88</v>
      </c>
    </row>
    <row r="1921" spans="2:9" ht="16">
      <c r="B1921" s="24" t="s">
        <v>45</v>
      </c>
      <c r="C1921" s="24" t="s">
        <v>6</v>
      </c>
      <c r="D1921" s="24" t="s">
        <v>1596</v>
      </c>
      <c r="E1921" s="24" t="s">
        <v>8</v>
      </c>
      <c r="F1921" s="24" t="s">
        <v>9</v>
      </c>
      <c r="G1921" s="24" t="s">
        <v>8</v>
      </c>
      <c r="H1921" s="24" t="s">
        <v>47</v>
      </c>
      <c r="I1921" s="27">
        <v>5302.64</v>
      </c>
    </row>
    <row r="1922" spans="2:9" ht="16">
      <c r="B1922" s="24" t="s">
        <v>8</v>
      </c>
      <c r="C1922" s="24" t="s">
        <v>6</v>
      </c>
      <c r="D1922" s="24" t="s">
        <v>1672</v>
      </c>
      <c r="E1922" s="24" t="s">
        <v>8</v>
      </c>
      <c r="F1922" s="24" t="s">
        <v>9</v>
      </c>
      <c r="G1922" s="24" t="s">
        <v>8</v>
      </c>
      <c r="H1922" s="24" t="s">
        <v>47</v>
      </c>
      <c r="I1922" s="27">
        <v>100.54</v>
      </c>
    </row>
    <row r="1923" spans="2:9" ht="16">
      <c r="B1923" s="24" t="s">
        <v>8</v>
      </c>
      <c r="C1923" s="24" t="s">
        <v>6</v>
      </c>
      <c r="D1923" s="24" t="s">
        <v>1673</v>
      </c>
      <c r="E1923" s="24" t="s">
        <v>8</v>
      </c>
      <c r="F1923" s="24" t="s">
        <v>9</v>
      </c>
      <c r="G1923" s="24" t="s">
        <v>8</v>
      </c>
      <c r="H1923" s="24" t="s">
        <v>47</v>
      </c>
      <c r="I1923" s="27">
        <v>317.76</v>
      </c>
    </row>
    <row r="1924" spans="2:9" ht="16">
      <c r="B1924" s="24" t="s">
        <v>45</v>
      </c>
      <c r="C1924" s="24" t="s">
        <v>6</v>
      </c>
      <c r="D1924" s="24" t="s">
        <v>928</v>
      </c>
      <c r="E1924" s="24" t="s">
        <v>8</v>
      </c>
      <c r="F1924" s="24" t="s">
        <v>9</v>
      </c>
      <c r="G1924" s="24" t="s">
        <v>8</v>
      </c>
      <c r="H1924" s="24" t="s">
        <v>47</v>
      </c>
      <c r="I1924" s="27">
        <v>185.36</v>
      </c>
    </row>
    <row r="1925" spans="2:9" ht="16">
      <c r="B1925" s="24" t="s">
        <v>8</v>
      </c>
      <c r="C1925" s="24" t="s">
        <v>6</v>
      </c>
      <c r="D1925" s="24" t="s">
        <v>1205</v>
      </c>
      <c r="E1925" s="24" t="s">
        <v>8</v>
      </c>
      <c r="F1925" s="24" t="s">
        <v>9</v>
      </c>
      <c r="G1925" s="24" t="s">
        <v>8</v>
      </c>
      <c r="H1925" s="24" t="s">
        <v>47</v>
      </c>
      <c r="I1925" s="27">
        <v>9540.3</v>
      </c>
    </row>
    <row r="1926" spans="2:9" ht="16">
      <c r="B1926" s="24" t="s">
        <v>45</v>
      </c>
      <c r="C1926" s="24" t="s">
        <v>13</v>
      </c>
      <c r="D1926" s="24" t="s">
        <v>1674</v>
      </c>
      <c r="E1926" s="24" t="s">
        <v>8</v>
      </c>
      <c r="F1926" s="24" t="s">
        <v>9</v>
      </c>
      <c r="G1926" s="24" t="s">
        <v>8</v>
      </c>
      <c r="H1926" s="24" t="s">
        <v>8</v>
      </c>
      <c r="I1926" s="27">
        <v>1014.24</v>
      </c>
    </row>
    <row r="1927" spans="1:9" ht="16">
      <c r="A1927" s="35" t="s">
        <v>50</v>
      </c>
      <c r="I1927" s="28">
        <f>I1919+I1920+I1921+I1922+I1923+I1924+I1925+I1926</f>
        <v>16619.72</v>
      </c>
    </row>
    <row r="1928" spans="1:1" ht="16">
      <c r="A1928" s="34" t="s">
        <v>1605</v>
      </c>
    </row>
    <row r="1929" spans="2:9" ht="16">
      <c r="B1929" s="24" t="s">
        <v>8</v>
      </c>
      <c r="C1929" s="24" t="s">
        <v>150</v>
      </c>
      <c r="D1929" s="24" t="s">
        <v>1598</v>
      </c>
      <c r="E1929" s="24" t="s">
        <v>1600</v>
      </c>
      <c r="F1929" s="24" t="s">
        <v>9</v>
      </c>
      <c r="G1929" s="24" t="s">
        <v>8</v>
      </c>
      <c r="H1929" s="24" t="s">
        <v>1675</v>
      </c>
      <c r="I1929" s="27">
        <v>302.74</v>
      </c>
    </row>
    <row r="1930" spans="2:9" ht="16">
      <c r="B1930" s="24" t="s">
        <v>8</v>
      </c>
      <c r="C1930" s="24" t="s">
        <v>150</v>
      </c>
      <c r="D1930" s="24" t="s">
        <v>1598</v>
      </c>
      <c r="E1930" s="24" t="s">
        <v>1676</v>
      </c>
      <c r="F1930" s="24" t="s">
        <v>9</v>
      </c>
      <c r="G1930" s="24" t="s">
        <v>8</v>
      </c>
      <c r="H1930" s="24" t="s">
        <v>1677</v>
      </c>
      <c r="I1930" s="27">
        <v>1562.54</v>
      </c>
    </row>
    <row r="1931" spans="2:9" ht="16">
      <c r="B1931" s="24" t="s">
        <v>8</v>
      </c>
      <c r="C1931" s="24" t="s">
        <v>150</v>
      </c>
      <c r="D1931" s="24" t="s">
        <v>1598</v>
      </c>
      <c r="E1931" s="24" t="s">
        <v>1678</v>
      </c>
      <c r="F1931" s="24" t="s">
        <v>9</v>
      </c>
      <c r="G1931" s="24" t="s">
        <v>8</v>
      </c>
      <c r="H1931" s="24" t="s">
        <v>1679</v>
      </c>
      <c r="I1931" s="27">
        <v>269.24</v>
      </c>
    </row>
    <row r="1932" spans="2:9" ht="16">
      <c r="B1932" s="24" t="s">
        <v>8</v>
      </c>
      <c r="C1932" s="24" t="s">
        <v>150</v>
      </c>
      <c r="D1932" s="24" t="s">
        <v>1598</v>
      </c>
      <c r="E1932" s="24" t="s">
        <v>798</v>
      </c>
      <c r="F1932" s="24" t="s">
        <v>9</v>
      </c>
      <c r="G1932" s="24" t="s">
        <v>8</v>
      </c>
      <c r="H1932" s="24" t="s">
        <v>1680</v>
      </c>
      <c r="I1932" s="27">
        <v>412.71</v>
      </c>
    </row>
    <row r="1933" spans="2:9" ht="16">
      <c r="B1933" s="24" t="s">
        <v>51</v>
      </c>
      <c r="C1933" s="24" t="s">
        <v>6</v>
      </c>
      <c r="D1933" s="24" t="s">
        <v>1681</v>
      </c>
      <c r="E1933" s="24" t="s">
        <v>8</v>
      </c>
      <c r="F1933" s="24" t="s">
        <v>9</v>
      </c>
      <c r="G1933" s="24" t="s">
        <v>8</v>
      </c>
      <c r="H1933" s="24" t="s">
        <v>53</v>
      </c>
      <c r="I1933" s="27">
        <v>208.1</v>
      </c>
    </row>
    <row r="1934" spans="2:9" ht="16">
      <c r="B1934" s="24" t="s">
        <v>961</v>
      </c>
      <c r="C1934" s="24" t="s">
        <v>6</v>
      </c>
      <c r="D1934" s="24" t="s">
        <v>1682</v>
      </c>
      <c r="E1934" s="24" t="s">
        <v>8</v>
      </c>
      <c r="F1934" s="24" t="s">
        <v>9</v>
      </c>
      <c r="G1934" s="24" t="s">
        <v>8</v>
      </c>
      <c r="H1934" s="24" t="s">
        <v>53</v>
      </c>
      <c r="I1934" s="27">
        <v>98.65</v>
      </c>
    </row>
    <row r="1935" spans="2:9" ht="16">
      <c r="B1935" s="24" t="s">
        <v>961</v>
      </c>
      <c r="C1935" s="24" t="s">
        <v>6</v>
      </c>
      <c r="D1935" s="24" t="s">
        <v>1655</v>
      </c>
      <c r="E1935" s="24" t="s">
        <v>8</v>
      </c>
      <c r="F1935" s="24" t="s">
        <v>9</v>
      </c>
      <c r="G1935" s="24" t="s">
        <v>8</v>
      </c>
      <c r="H1935" s="24" t="s">
        <v>53</v>
      </c>
      <c r="I1935" s="27">
        <v>70.0</v>
      </c>
    </row>
    <row r="1936" spans="2:9" ht="16">
      <c r="B1936" s="24" t="s">
        <v>961</v>
      </c>
      <c r="C1936" s="24" t="s">
        <v>6</v>
      </c>
      <c r="D1936" s="24" t="s">
        <v>1683</v>
      </c>
      <c r="E1936" s="24" t="s">
        <v>8</v>
      </c>
      <c r="F1936" s="24" t="s">
        <v>9</v>
      </c>
      <c r="G1936" s="24" t="s">
        <v>8</v>
      </c>
      <c r="H1936" s="24" t="s">
        <v>53</v>
      </c>
      <c r="I1936" s="27">
        <v>98.65</v>
      </c>
    </row>
    <row r="1937" spans="2:9" ht="16">
      <c r="B1937" s="24" t="s">
        <v>961</v>
      </c>
      <c r="C1937" s="24" t="s">
        <v>6</v>
      </c>
      <c r="D1937" s="24" t="s">
        <v>1547</v>
      </c>
      <c r="E1937" s="24" t="s">
        <v>8</v>
      </c>
      <c r="F1937" s="24" t="s">
        <v>9</v>
      </c>
      <c r="G1937" s="24" t="s">
        <v>8</v>
      </c>
      <c r="H1937" s="24" t="s">
        <v>53</v>
      </c>
      <c r="I1937" s="27">
        <v>8675.81</v>
      </c>
    </row>
    <row r="1938" spans="2:9" ht="16">
      <c r="B1938" s="24" t="s">
        <v>961</v>
      </c>
      <c r="C1938" s="24" t="s">
        <v>6</v>
      </c>
      <c r="D1938" s="24" t="s">
        <v>1684</v>
      </c>
      <c r="E1938" s="24" t="s">
        <v>8</v>
      </c>
      <c r="F1938" s="24" t="s">
        <v>9</v>
      </c>
      <c r="G1938" s="24" t="s">
        <v>8</v>
      </c>
      <c r="H1938" s="24" t="s">
        <v>53</v>
      </c>
      <c r="I1938" s="27">
        <v>1332.08</v>
      </c>
    </row>
    <row r="1939" spans="2:9" ht="16">
      <c r="B1939" s="24" t="s">
        <v>8</v>
      </c>
      <c r="C1939" s="24" t="s">
        <v>6</v>
      </c>
      <c r="D1939" s="24" t="s">
        <v>1685</v>
      </c>
      <c r="E1939" s="24" t="s">
        <v>8</v>
      </c>
      <c r="F1939" s="24" t="s">
        <v>9</v>
      </c>
      <c r="G1939" s="24" t="s">
        <v>8</v>
      </c>
      <c r="H1939" s="24" t="s">
        <v>53</v>
      </c>
      <c r="I1939" s="27">
        <v>531.12</v>
      </c>
    </row>
    <row r="1940" spans="2:9" ht="16">
      <c r="B1940" s="24" t="s">
        <v>51</v>
      </c>
      <c r="C1940" s="24" t="s">
        <v>6</v>
      </c>
      <c r="D1940" s="24" t="s">
        <v>1209</v>
      </c>
      <c r="E1940" s="24" t="s">
        <v>8</v>
      </c>
      <c r="F1940" s="24" t="s">
        <v>9</v>
      </c>
      <c r="G1940" s="24" t="s">
        <v>8</v>
      </c>
      <c r="H1940" s="24" t="s">
        <v>53</v>
      </c>
      <c r="I1940" s="27">
        <v>793.31</v>
      </c>
    </row>
    <row r="1941" spans="2:9" ht="16">
      <c r="B1941" s="24" t="s">
        <v>961</v>
      </c>
      <c r="C1941" s="24" t="s">
        <v>6</v>
      </c>
      <c r="D1941" s="24" t="s">
        <v>1581</v>
      </c>
      <c r="E1941" s="24" t="s">
        <v>8</v>
      </c>
      <c r="F1941" s="24" t="s">
        <v>9</v>
      </c>
      <c r="G1941" s="24" t="s">
        <v>8</v>
      </c>
      <c r="H1941" s="24" t="s">
        <v>53</v>
      </c>
      <c r="I1941" s="27">
        <v>5325.97</v>
      </c>
    </row>
    <row r="1942" spans="2:9" ht="16">
      <c r="B1942" s="24" t="s">
        <v>961</v>
      </c>
      <c r="C1942" s="24" t="s">
        <v>6</v>
      </c>
      <c r="D1942" s="24" t="s">
        <v>1538</v>
      </c>
      <c r="E1942" s="24" t="s">
        <v>8</v>
      </c>
      <c r="F1942" s="24" t="s">
        <v>9</v>
      </c>
      <c r="G1942" s="24" t="s">
        <v>8</v>
      </c>
      <c r="H1942" s="24" t="s">
        <v>53</v>
      </c>
      <c r="I1942" s="27">
        <v>12162.51</v>
      </c>
    </row>
    <row r="1943" spans="2:9" ht="16">
      <c r="B1943" s="24" t="s">
        <v>51</v>
      </c>
      <c r="C1943" s="24" t="s">
        <v>6</v>
      </c>
      <c r="D1943" s="24" t="s">
        <v>931</v>
      </c>
      <c r="E1943" s="24" t="s">
        <v>8</v>
      </c>
      <c r="F1943" s="24" t="s">
        <v>9</v>
      </c>
      <c r="G1943" s="24" t="s">
        <v>8</v>
      </c>
      <c r="H1943" s="24" t="s">
        <v>53</v>
      </c>
      <c r="I1943" s="27">
        <v>364.18</v>
      </c>
    </row>
    <row r="1944" spans="2:9" ht="16">
      <c r="B1944" s="24" t="s">
        <v>961</v>
      </c>
      <c r="C1944" s="24" t="s">
        <v>6</v>
      </c>
      <c r="D1944" s="24" t="s">
        <v>1686</v>
      </c>
      <c r="E1944" s="24" t="s">
        <v>8</v>
      </c>
      <c r="F1944" s="24" t="s">
        <v>9</v>
      </c>
      <c r="G1944" s="24" t="s">
        <v>8</v>
      </c>
      <c r="H1944" s="24" t="s">
        <v>53</v>
      </c>
      <c r="I1944" s="27">
        <v>429.12</v>
      </c>
    </row>
    <row r="1945" spans="2:9" ht="16">
      <c r="B1945" s="24" t="s">
        <v>961</v>
      </c>
      <c r="C1945" s="24" t="s">
        <v>6</v>
      </c>
      <c r="D1945" s="24" t="s">
        <v>1584</v>
      </c>
      <c r="E1945" s="24" t="s">
        <v>8</v>
      </c>
      <c r="F1945" s="24" t="s">
        <v>9</v>
      </c>
      <c r="G1945" s="24" t="s">
        <v>8</v>
      </c>
      <c r="H1945" s="24" t="s">
        <v>53</v>
      </c>
      <c r="I1945" s="27">
        <v>322.03</v>
      </c>
    </row>
    <row r="1946" spans="2:9" ht="16">
      <c r="B1946" s="24" t="s">
        <v>961</v>
      </c>
      <c r="C1946" s="24" t="s">
        <v>6</v>
      </c>
      <c r="D1946" s="24" t="s">
        <v>1086</v>
      </c>
      <c r="E1946" s="24" t="s">
        <v>8</v>
      </c>
      <c r="F1946" s="24" t="s">
        <v>9</v>
      </c>
      <c r="G1946" s="24" t="s">
        <v>8</v>
      </c>
      <c r="H1946" s="24" t="s">
        <v>53</v>
      </c>
      <c r="I1946" s="27">
        <v>-2891.52</v>
      </c>
    </row>
    <row r="1947" spans="2:9" ht="16">
      <c r="B1947" s="24" t="s">
        <v>961</v>
      </c>
      <c r="C1947" s="24" t="s">
        <v>6</v>
      </c>
      <c r="D1947" s="24" t="s">
        <v>1687</v>
      </c>
      <c r="E1947" s="24" t="s">
        <v>8</v>
      </c>
      <c r="F1947" s="24" t="s">
        <v>9</v>
      </c>
      <c r="G1947" s="24" t="s">
        <v>8</v>
      </c>
      <c r="H1947" s="24" t="s">
        <v>53</v>
      </c>
      <c r="I1947" s="27">
        <v>226.81</v>
      </c>
    </row>
    <row r="1948" spans="2:9" ht="16">
      <c r="B1948" s="24" t="s">
        <v>961</v>
      </c>
      <c r="C1948" s="24" t="s">
        <v>6</v>
      </c>
      <c r="D1948" s="24" t="s">
        <v>1688</v>
      </c>
      <c r="E1948" s="24" t="s">
        <v>8</v>
      </c>
      <c r="F1948" s="24" t="s">
        <v>9</v>
      </c>
      <c r="G1948" s="24" t="s">
        <v>8</v>
      </c>
      <c r="H1948" s="24" t="s">
        <v>53</v>
      </c>
      <c r="I1948" s="27">
        <v>104.06</v>
      </c>
    </row>
    <row r="1949" spans="2:9" ht="16">
      <c r="B1949" s="24" t="s">
        <v>961</v>
      </c>
      <c r="C1949" s="24" t="s">
        <v>6</v>
      </c>
      <c r="D1949" s="24" t="s">
        <v>1086</v>
      </c>
      <c r="E1949" s="24" t="s">
        <v>8</v>
      </c>
      <c r="F1949" s="24" t="s">
        <v>9</v>
      </c>
      <c r="G1949" s="24" t="s">
        <v>8</v>
      </c>
      <c r="H1949" s="24" t="s">
        <v>53</v>
      </c>
      <c r="I1949" s="27">
        <v>8457.7</v>
      </c>
    </row>
    <row r="1950" spans="2:9" ht="16">
      <c r="B1950" s="24" t="s">
        <v>961</v>
      </c>
      <c r="C1950" s="24" t="s">
        <v>6</v>
      </c>
      <c r="D1950" s="24" t="s">
        <v>1596</v>
      </c>
      <c r="E1950" s="24" t="s">
        <v>8</v>
      </c>
      <c r="F1950" s="24" t="s">
        <v>9</v>
      </c>
      <c r="G1950" s="24" t="s">
        <v>8</v>
      </c>
      <c r="H1950" s="24" t="s">
        <v>53</v>
      </c>
      <c r="I1950" s="27">
        <v>306.78</v>
      </c>
    </row>
    <row r="1951" spans="2:9" ht="16">
      <c r="B1951" s="24" t="s">
        <v>961</v>
      </c>
      <c r="C1951" s="24" t="s">
        <v>6</v>
      </c>
      <c r="D1951" s="24" t="s">
        <v>1602</v>
      </c>
      <c r="E1951" s="24" t="s">
        <v>8</v>
      </c>
      <c r="F1951" s="24" t="s">
        <v>9</v>
      </c>
      <c r="G1951" s="24" t="s">
        <v>8</v>
      </c>
      <c r="H1951" s="24" t="s">
        <v>53</v>
      </c>
      <c r="I1951" s="27">
        <v>526.3</v>
      </c>
    </row>
    <row r="1952" spans="2:9" ht="16">
      <c r="B1952" s="24" t="s">
        <v>961</v>
      </c>
      <c r="C1952" s="24" t="s">
        <v>6</v>
      </c>
      <c r="D1952" s="24" t="s">
        <v>1603</v>
      </c>
      <c r="E1952" s="24" t="s">
        <v>8</v>
      </c>
      <c r="F1952" s="24" t="s">
        <v>9</v>
      </c>
      <c r="G1952" s="24" t="s">
        <v>8</v>
      </c>
      <c r="H1952" s="24" t="s">
        <v>53</v>
      </c>
      <c r="I1952" s="27">
        <v>1113.45</v>
      </c>
    </row>
    <row r="1953" spans="2:9" ht="16">
      <c r="B1953" s="24" t="s">
        <v>8</v>
      </c>
      <c r="C1953" s="24" t="s">
        <v>150</v>
      </c>
      <c r="D1953" s="24" t="s">
        <v>1598</v>
      </c>
      <c r="E1953" s="24" t="s">
        <v>1689</v>
      </c>
      <c r="F1953" s="24" t="s">
        <v>9</v>
      </c>
      <c r="G1953" s="24" t="s">
        <v>8</v>
      </c>
      <c r="H1953" s="24" t="s">
        <v>1690</v>
      </c>
      <c r="I1953" s="27">
        <v>344.29</v>
      </c>
    </row>
    <row r="1954" spans="1:9" ht="16">
      <c r="A1954" s="35" t="s">
        <v>67</v>
      </c>
      <c r="I1954" s="28">
        <f>I1928+I1929+I1930+I1931+I1932+I1933+I1934+I1935+I1936+I1937+I1938+I1939+I1940+I1941+I1942+I1943+I1944+I1945+I1946+I1947+I1948+I1949+I1950+I1951+I1952+I1953</f>
        <v>41146.630000000005</v>
      </c>
    </row>
    <row r="1955" spans="1:9" ht="16">
      <c r="A1955" s="36" t="s">
        <v>1691</v>
      </c>
      <c r="I1955" s="28">
        <f>I1872+I1875+I1901+I1904+I1907+I1910+I1913+I1918+I1927+I1954</f>
        <v>174545.01</v>
      </c>
    </row>
    <row r="1956" spans="1:1" ht="16">
      <c r="A1956" s="33" t="s">
        <v>172</v>
      </c>
    </row>
    <row r="1957" spans="1:1" ht="16">
      <c r="A1957" s="34" t="s">
        <v>1692</v>
      </c>
    </row>
    <row r="1958" spans="2:9" ht="16">
      <c r="B1958" s="24" t="s">
        <v>77</v>
      </c>
      <c r="C1958" s="24" t="s">
        <v>13</v>
      </c>
      <c r="D1958" s="24" t="s">
        <v>1075</v>
      </c>
      <c r="E1958" s="24" t="s">
        <v>1693</v>
      </c>
      <c r="F1958" s="24" t="s">
        <v>9</v>
      </c>
      <c r="G1958" s="24" t="s">
        <v>8</v>
      </c>
      <c r="H1958" s="24" t="s">
        <v>1694</v>
      </c>
      <c r="I1958" s="27">
        <v>1503.65</v>
      </c>
    </row>
    <row r="1959" spans="1:9" ht="16">
      <c r="A1959" s="35" t="s">
        <v>81</v>
      </c>
      <c r="I1959" s="28">
        <f>I1957+I1958</f>
        <v>1503.65</v>
      </c>
    </row>
    <row r="1960" spans="1:1" ht="16">
      <c r="A1960" s="34" t="s">
        <v>1692</v>
      </c>
    </row>
    <row r="1961" spans="2:9" ht="16">
      <c r="B1961" s="24" t="s">
        <v>961</v>
      </c>
      <c r="C1961" s="24" t="s">
        <v>6</v>
      </c>
      <c r="D1961" s="24" t="s">
        <v>962</v>
      </c>
      <c r="E1961" s="24" t="s">
        <v>8</v>
      </c>
      <c r="F1961" s="24" t="s">
        <v>9</v>
      </c>
      <c r="G1961" s="24" t="s">
        <v>8</v>
      </c>
      <c r="H1961" s="24" t="s">
        <v>1266</v>
      </c>
      <c r="I1961" s="27">
        <v>737.37</v>
      </c>
    </row>
    <row r="1962" spans="1:9" ht="16">
      <c r="A1962" s="35" t="s">
        <v>964</v>
      </c>
      <c r="I1962" s="28">
        <f>I1960+I1961</f>
        <v>737.37</v>
      </c>
    </row>
    <row r="1963" spans="1:1" ht="16">
      <c r="A1963" s="34" t="s">
        <v>1692</v>
      </c>
    </row>
    <row r="1964" spans="2:9" ht="16">
      <c r="B1964" s="24" t="s">
        <v>1607</v>
      </c>
      <c r="C1964" s="24" t="s">
        <v>13</v>
      </c>
      <c r="D1964" s="24" t="s">
        <v>1695</v>
      </c>
      <c r="E1964" s="24" t="s">
        <v>1696</v>
      </c>
      <c r="F1964" s="24" t="s">
        <v>9</v>
      </c>
      <c r="G1964" s="24" t="s">
        <v>8</v>
      </c>
      <c r="H1964" s="24" t="s">
        <v>1609</v>
      </c>
      <c r="I1964" s="27">
        <v>6095.0</v>
      </c>
    </row>
    <row r="1965" spans="1:9" ht="16">
      <c r="A1965" s="35" t="s">
        <v>1610</v>
      </c>
      <c r="I1965" s="28">
        <f>I1963+I1964</f>
        <v>6095.0</v>
      </c>
    </row>
    <row r="1966" spans="1:1" ht="16">
      <c r="A1966" s="34" t="s">
        <v>1692</v>
      </c>
    </row>
    <row r="1967" spans="2:9" ht="16">
      <c r="B1967" s="24" t="s">
        <v>21</v>
      </c>
      <c r="C1967" s="24" t="s">
        <v>13</v>
      </c>
      <c r="D1967" s="24" t="s">
        <v>451</v>
      </c>
      <c r="E1967" s="24" t="s">
        <v>1697</v>
      </c>
      <c r="F1967" s="24" t="s">
        <v>9</v>
      </c>
      <c r="G1967" s="24" t="s">
        <v>8</v>
      </c>
      <c r="H1967" s="24" t="s">
        <v>1698</v>
      </c>
      <c r="I1967" s="27">
        <v>1551.29</v>
      </c>
    </row>
    <row r="1968" spans="2:9" ht="16">
      <c r="B1968" s="24" t="s">
        <v>21</v>
      </c>
      <c r="C1968" s="24" t="s">
        <v>13</v>
      </c>
      <c r="D1968" s="24" t="s">
        <v>560</v>
      </c>
      <c r="E1968" s="24" t="s">
        <v>1699</v>
      </c>
      <c r="F1968" s="24" t="s">
        <v>9</v>
      </c>
      <c r="G1968" s="24" t="s">
        <v>8</v>
      </c>
      <c r="H1968" s="24" t="s">
        <v>1700</v>
      </c>
      <c r="I1968" s="27">
        <v>29.44</v>
      </c>
    </row>
    <row r="1969" spans="2:9" ht="16">
      <c r="B1969" s="24" t="s">
        <v>1288</v>
      </c>
      <c r="C1969" s="24" t="s">
        <v>6</v>
      </c>
      <c r="D1969" s="24" t="s">
        <v>1701</v>
      </c>
      <c r="E1969" s="24" t="s">
        <v>8</v>
      </c>
      <c r="F1969" s="24" t="s">
        <v>9</v>
      </c>
      <c r="G1969" s="24" t="s">
        <v>8</v>
      </c>
      <c r="H1969" s="24" t="s">
        <v>1702</v>
      </c>
      <c r="I1969" s="27">
        <v>8.53</v>
      </c>
    </row>
    <row r="1970" spans="2:9" ht="16">
      <c r="B1970" s="24" t="s">
        <v>186</v>
      </c>
      <c r="C1970" s="24" t="s">
        <v>13</v>
      </c>
      <c r="D1970" s="24" t="s">
        <v>1510</v>
      </c>
      <c r="E1970" s="24" t="s">
        <v>1703</v>
      </c>
      <c r="F1970" s="24" t="s">
        <v>9</v>
      </c>
      <c r="G1970" s="24" t="s">
        <v>8</v>
      </c>
      <c r="H1970" s="24" t="s">
        <v>1704</v>
      </c>
      <c r="I1970" s="27">
        <v>1378.58</v>
      </c>
    </row>
    <row r="1971" spans="2:9" ht="16">
      <c r="B1971" s="24" t="s">
        <v>186</v>
      </c>
      <c r="C1971" s="24" t="s">
        <v>13</v>
      </c>
      <c r="D1971" s="24" t="s">
        <v>1179</v>
      </c>
      <c r="E1971" s="24" t="s">
        <v>1705</v>
      </c>
      <c r="F1971" s="24" t="s">
        <v>9</v>
      </c>
      <c r="G1971" s="24" t="s">
        <v>8</v>
      </c>
      <c r="H1971" s="24" t="s">
        <v>1706</v>
      </c>
      <c r="I1971" s="27">
        <v>718.35</v>
      </c>
    </row>
    <row r="1972" spans="2:9" ht="16">
      <c r="B1972" s="24" t="s">
        <v>186</v>
      </c>
      <c r="C1972" s="24" t="s">
        <v>13</v>
      </c>
      <c r="D1972" s="24" t="s">
        <v>1207</v>
      </c>
      <c r="E1972" s="24" t="s">
        <v>1707</v>
      </c>
      <c r="F1972" s="24" t="s">
        <v>9</v>
      </c>
      <c r="G1972" s="24" t="s">
        <v>8</v>
      </c>
      <c r="H1972" s="24" t="s">
        <v>1706</v>
      </c>
      <c r="I1972" s="27">
        <v>1590.79</v>
      </c>
    </row>
    <row r="1973" spans="2:9" ht="16">
      <c r="B1973" s="24" t="s">
        <v>8</v>
      </c>
      <c r="C1973" s="24" t="s">
        <v>6</v>
      </c>
      <c r="D1973" s="24" t="s">
        <v>460</v>
      </c>
      <c r="E1973" s="24" t="s">
        <v>8</v>
      </c>
      <c r="F1973" s="24" t="s">
        <v>9</v>
      </c>
      <c r="G1973" s="24" t="s">
        <v>8</v>
      </c>
      <c r="H1973" s="24" t="s">
        <v>1708</v>
      </c>
      <c r="I1973" s="27">
        <v>396.42</v>
      </c>
    </row>
    <row r="1974" spans="2:9" ht="16">
      <c r="B1974" s="24" t="s">
        <v>8</v>
      </c>
      <c r="C1974" s="24" t="s">
        <v>6</v>
      </c>
      <c r="D1974" s="24" t="s">
        <v>460</v>
      </c>
      <c r="E1974" s="24" t="s">
        <v>8</v>
      </c>
      <c r="F1974" s="24" t="s">
        <v>9</v>
      </c>
      <c r="G1974" s="24" t="s">
        <v>8</v>
      </c>
      <c r="H1974" s="24" t="s">
        <v>1709</v>
      </c>
      <c r="I1974" s="27">
        <v>396.42</v>
      </c>
    </row>
    <row r="1975" spans="2:9" ht="16">
      <c r="B1975" s="24" t="s">
        <v>36</v>
      </c>
      <c r="C1975" s="24" t="s">
        <v>6</v>
      </c>
      <c r="D1975" s="24" t="s">
        <v>654</v>
      </c>
      <c r="E1975" s="24" t="s">
        <v>8</v>
      </c>
      <c r="F1975" s="24" t="s">
        <v>9</v>
      </c>
      <c r="G1975" s="24" t="s">
        <v>8</v>
      </c>
      <c r="H1975" s="24" t="s">
        <v>1710</v>
      </c>
      <c r="I1975" s="27">
        <v>109.82</v>
      </c>
    </row>
    <row r="1976" spans="2:9" ht="16">
      <c r="B1976" s="24" t="s">
        <v>36</v>
      </c>
      <c r="C1976" s="24" t="s">
        <v>6</v>
      </c>
      <c r="D1976" s="24" t="s">
        <v>1324</v>
      </c>
      <c r="E1976" s="24" t="s">
        <v>8</v>
      </c>
      <c r="F1976" s="24" t="s">
        <v>9</v>
      </c>
      <c r="G1976" s="24" t="s">
        <v>8</v>
      </c>
      <c r="H1976" s="24" t="s">
        <v>1711</v>
      </c>
      <c r="I1976" s="27">
        <v>201.35</v>
      </c>
    </row>
    <row r="1977" spans="2:9" ht="16">
      <c r="B1977" s="24" t="s">
        <v>21</v>
      </c>
      <c r="C1977" s="24" t="s">
        <v>13</v>
      </c>
      <c r="D1977" s="24" t="s">
        <v>998</v>
      </c>
      <c r="E1977" s="24" t="s">
        <v>1712</v>
      </c>
      <c r="F1977" s="24" t="s">
        <v>9</v>
      </c>
      <c r="G1977" s="24" t="s">
        <v>8</v>
      </c>
      <c r="H1977" s="24" t="s">
        <v>834</v>
      </c>
      <c r="I1977" s="27">
        <v>2188.91</v>
      </c>
    </row>
    <row r="1978" spans="2:9" ht="16">
      <c r="B1978" s="24" t="s">
        <v>21</v>
      </c>
      <c r="C1978" s="24" t="s">
        <v>13</v>
      </c>
      <c r="D1978" s="24" t="s">
        <v>1304</v>
      </c>
      <c r="E1978" s="24" t="s">
        <v>1713</v>
      </c>
      <c r="F1978" s="24" t="s">
        <v>9</v>
      </c>
      <c r="G1978" s="24" t="s">
        <v>8</v>
      </c>
      <c r="H1978" s="24" t="s">
        <v>834</v>
      </c>
      <c r="I1978" s="27">
        <v>83.8</v>
      </c>
    </row>
    <row r="1979" spans="2:9" ht="16">
      <c r="B1979" s="24" t="s">
        <v>21</v>
      </c>
      <c r="C1979" s="24" t="s">
        <v>13</v>
      </c>
      <c r="D1979" s="24" t="s">
        <v>1206</v>
      </c>
      <c r="E1979" s="24" t="s">
        <v>1714</v>
      </c>
      <c r="F1979" s="24" t="s">
        <v>9</v>
      </c>
      <c r="G1979" s="24" t="s">
        <v>8</v>
      </c>
      <c r="H1979" s="24" t="s">
        <v>834</v>
      </c>
      <c r="I1979" s="27">
        <v>6070.53</v>
      </c>
    </row>
    <row r="1980" spans="2:9" ht="16">
      <c r="B1980" s="24" t="s">
        <v>21</v>
      </c>
      <c r="C1980" s="24" t="s">
        <v>13</v>
      </c>
      <c r="D1980" s="24" t="s">
        <v>1715</v>
      </c>
      <c r="E1980" s="24" t="s">
        <v>1716</v>
      </c>
      <c r="F1980" s="24" t="s">
        <v>9</v>
      </c>
      <c r="G1980" s="24" t="s">
        <v>8</v>
      </c>
      <c r="H1980" s="24" t="s">
        <v>834</v>
      </c>
      <c r="I1980" s="27">
        <v>407.8</v>
      </c>
    </row>
    <row r="1981" spans="2:9" ht="16">
      <c r="B1981" s="24" t="s">
        <v>21</v>
      </c>
      <c r="C1981" s="24" t="s">
        <v>13</v>
      </c>
      <c r="D1981" s="24" t="s">
        <v>460</v>
      </c>
      <c r="E1981" s="24" t="s">
        <v>1717</v>
      </c>
      <c r="F1981" s="24" t="s">
        <v>9</v>
      </c>
      <c r="G1981" s="24" t="s">
        <v>8</v>
      </c>
      <c r="H1981" s="24" t="s">
        <v>837</v>
      </c>
      <c r="I1981" s="27">
        <v>863.12</v>
      </c>
    </row>
    <row r="1982" spans="2:9" ht="16">
      <c r="B1982" s="24" t="s">
        <v>21</v>
      </c>
      <c r="C1982" s="24" t="s">
        <v>13</v>
      </c>
      <c r="D1982" s="24" t="s">
        <v>1356</v>
      </c>
      <c r="E1982" s="24" t="s">
        <v>1718</v>
      </c>
      <c r="F1982" s="24" t="s">
        <v>9</v>
      </c>
      <c r="G1982" s="24" t="s">
        <v>8</v>
      </c>
      <c r="H1982" s="24" t="s">
        <v>837</v>
      </c>
      <c r="I1982" s="27">
        <v>1101.88</v>
      </c>
    </row>
    <row r="1983" spans="2:9" ht="16">
      <c r="B1983" s="24" t="s">
        <v>21</v>
      </c>
      <c r="C1983" s="24" t="s">
        <v>13</v>
      </c>
      <c r="D1983" s="24" t="s">
        <v>1179</v>
      </c>
      <c r="E1983" s="24" t="s">
        <v>1719</v>
      </c>
      <c r="F1983" s="24" t="s">
        <v>9</v>
      </c>
      <c r="G1983" s="24" t="s">
        <v>8</v>
      </c>
      <c r="H1983" s="24" t="s">
        <v>837</v>
      </c>
      <c r="I1983" s="27">
        <v>3136.1</v>
      </c>
    </row>
    <row r="1984" spans="2:9" ht="16">
      <c r="B1984" s="24" t="s">
        <v>21</v>
      </c>
      <c r="C1984" s="24" t="s">
        <v>13</v>
      </c>
      <c r="D1984" s="24" t="s">
        <v>931</v>
      </c>
      <c r="E1984" s="24" t="s">
        <v>1720</v>
      </c>
      <c r="F1984" s="24" t="s">
        <v>9</v>
      </c>
      <c r="G1984" s="24" t="s">
        <v>8</v>
      </c>
      <c r="H1984" s="24" t="s">
        <v>837</v>
      </c>
      <c r="I1984" s="27">
        <v>6092.22</v>
      </c>
    </row>
    <row r="1985" spans="2:9" ht="16">
      <c r="B1985" s="24" t="s">
        <v>21</v>
      </c>
      <c r="C1985" s="24" t="s">
        <v>13</v>
      </c>
      <c r="D1985" s="24" t="s">
        <v>1304</v>
      </c>
      <c r="E1985" s="24" t="s">
        <v>1721</v>
      </c>
      <c r="F1985" s="24" t="s">
        <v>9</v>
      </c>
      <c r="G1985" s="24" t="s">
        <v>8</v>
      </c>
      <c r="H1985" s="24" t="s">
        <v>837</v>
      </c>
      <c r="I1985" s="27">
        <v>570.7</v>
      </c>
    </row>
    <row r="1986" spans="2:9" ht="16">
      <c r="B1986" s="24" t="s">
        <v>155</v>
      </c>
      <c r="C1986" s="24" t="s">
        <v>13</v>
      </c>
      <c r="D1986" s="24" t="s">
        <v>1356</v>
      </c>
      <c r="E1986" s="24" t="s">
        <v>1722</v>
      </c>
      <c r="F1986" s="24" t="s">
        <v>9</v>
      </c>
      <c r="G1986" s="24" t="s">
        <v>8</v>
      </c>
      <c r="H1986" s="24" t="s">
        <v>1723</v>
      </c>
      <c r="I1986" s="27">
        <v>69.75</v>
      </c>
    </row>
    <row r="1987" spans="2:9" ht="16">
      <c r="B1987" s="24" t="s">
        <v>21</v>
      </c>
      <c r="C1987" s="24" t="s">
        <v>13</v>
      </c>
      <c r="D1987" s="24" t="s">
        <v>613</v>
      </c>
      <c r="E1987" s="24" t="s">
        <v>1724</v>
      </c>
      <c r="F1987" s="24" t="s">
        <v>9</v>
      </c>
      <c r="G1987" s="24" t="s">
        <v>8</v>
      </c>
      <c r="H1987" s="24" t="s">
        <v>1725</v>
      </c>
      <c r="I1987" s="27">
        <v>81.42</v>
      </c>
    </row>
    <row r="1988" spans="2:9" ht="16">
      <c r="B1988" s="24" t="s">
        <v>119</v>
      </c>
      <c r="C1988" s="24" t="s">
        <v>6</v>
      </c>
      <c r="D1988" s="24" t="s">
        <v>1349</v>
      </c>
      <c r="E1988" s="24" t="s">
        <v>8</v>
      </c>
      <c r="F1988" s="24" t="s">
        <v>9</v>
      </c>
      <c r="G1988" s="24" t="s">
        <v>8</v>
      </c>
      <c r="H1988" s="24" t="s">
        <v>1726</v>
      </c>
      <c r="I1988" s="27">
        <v>139.44</v>
      </c>
    </row>
    <row r="1989" spans="2:9" ht="16">
      <c r="B1989" s="24" t="s">
        <v>17</v>
      </c>
      <c r="C1989" s="24" t="s">
        <v>6</v>
      </c>
      <c r="D1989" s="24" t="s">
        <v>1239</v>
      </c>
      <c r="E1989" s="24" t="s">
        <v>8</v>
      </c>
      <c r="F1989" s="24" t="s">
        <v>9</v>
      </c>
      <c r="G1989" s="24" t="s">
        <v>8</v>
      </c>
      <c r="H1989" s="24" t="s">
        <v>1727</v>
      </c>
      <c r="I1989" s="27">
        <v>33.88</v>
      </c>
    </row>
    <row r="1990" spans="2:9" ht="16">
      <c r="B1990" s="24" t="s">
        <v>8</v>
      </c>
      <c r="C1990" s="24" t="s">
        <v>6</v>
      </c>
      <c r="D1990" s="24" t="s">
        <v>1701</v>
      </c>
      <c r="E1990" s="24" t="s">
        <v>8</v>
      </c>
      <c r="F1990" s="24" t="s">
        <v>9</v>
      </c>
      <c r="G1990" s="24" t="s">
        <v>8</v>
      </c>
      <c r="H1990" s="24" t="s">
        <v>1728</v>
      </c>
      <c r="I1990" s="27">
        <v>17.5</v>
      </c>
    </row>
    <row r="1991" spans="2:9" ht="16">
      <c r="B1991" s="24" t="s">
        <v>316</v>
      </c>
      <c r="C1991" s="24" t="s">
        <v>6</v>
      </c>
      <c r="D1991" s="24" t="s">
        <v>1701</v>
      </c>
      <c r="E1991" s="24" t="s">
        <v>8</v>
      </c>
      <c r="F1991" s="24" t="s">
        <v>9</v>
      </c>
      <c r="G1991" s="24" t="s">
        <v>8</v>
      </c>
      <c r="H1991" s="24" t="s">
        <v>1729</v>
      </c>
      <c r="I1991" s="27">
        <v>11.49</v>
      </c>
    </row>
    <row r="1992" spans="2:9" ht="16">
      <c r="B1992" s="24" t="s">
        <v>119</v>
      </c>
      <c r="C1992" s="24" t="s">
        <v>6</v>
      </c>
      <c r="D1992" s="24" t="s">
        <v>1106</v>
      </c>
      <c r="E1992" s="24" t="s">
        <v>8</v>
      </c>
      <c r="F1992" s="24" t="s">
        <v>9</v>
      </c>
      <c r="G1992" s="24" t="s">
        <v>8</v>
      </c>
      <c r="H1992" s="24" t="s">
        <v>1730</v>
      </c>
      <c r="I1992" s="27">
        <v>146.0</v>
      </c>
    </row>
    <row r="1993" spans="2:9" ht="16">
      <c r="B1993" s="24" t="s">
        <v>127</v>
      </c>
      <c r="C1993" s="24" t="s">
        <v>6</v>
      </c>
      <c r="D1993" s="24" t="s">
        <v>1106</v>
      </c>
      <c r="E1993" s="24" t="s">
        <v>8</v>
      </c>
      <c r="F1993" s="24" t="s">
        <v>9</v>
      </c>
      <c r="G1993" s="24" t="s">
        <v>8</v>
      </c>
      <c r="H1993" s="24" t="s">
        <v>1731</v>
      </c>
      <c r="I1993" s="27">
        <v>34.27</v>
      </c>
    </row>
    <row r="1994" spans="2:9" ht="16">
      <c r="B1994" s="24" t="s">
        <v>21</v>
      </c>
      <c r="C1994" s="24" t="s">
        <v>13</v>
      </c>
      <c r="D1994" s="24" t="s">
        <v>1732</v>
      </c>
      <c r="E1994" s="24" t="s">
        <v>1733</v>
      </c>
      <c r="F1994" s="24" t="s">
        <v>9</v>
      </c>
      <c r="G1994" s="24" t="s">
        <v>8</v>
      </c>
      <c r="H1994" s="24" t="s">
        <v>1734</v>
      </c>
      <c r="I1994" s="27">
        <v>271.1</v>
      </c>
    </row>
    <row r="1995" spans="2:9" ht="16">
      <c r="B1995" s="24" t="s">
        <v>21</v>
      </c>
      <c r="C1995" s="24" t="s">
        <v>13</v>
      </c>
      <c r="D1995" s="24" t="s">
        <v>1202</v>
      </c>
      <c r="E1995" s="24" t="s">
        <v>1735</v>
      </c>
      <c r="F1995" s="24" t="s">
        <v>9</v>
      </c>
      <c r="G1995" s="24" t="s">
        <v>8</v>
      </c>
      <c r="H1995" s="24" t="s">
        <v>1736</v>
      </c>
      <c r="I1995" s="27">
        <v>103.25</v>
      </c>
    </row>
    <row r="1996" spans="2:9" ht="16">
      <c r="B1996" s="24" t="s">
        <v>21</v>
      </c>
      <c r="C1996" s="24" t="s">
        <v>13</v>
      </c>
      <c r="D1996" s="24" t="s">
        <v>1135</v>
      </c>
      <c r="E1996" s="24" t="s">
        <v>1737</v>
      </c>
      <c r="F1996" s="24" t="s">
        <v>9</v>
      </c>
      <c r="G1996" s="24" t="s">
        <v>8</v>
      </c>
      <c r="H1996" s="24" t="s">
        <v>1738</v>
      </c>
      <c r="I1996" s="27">
        <v>337.12</v>
      </c>
    </row>
    <row r="1997" spans="2:9" ht="16">
      <c r="B1997" s="24" t="s">
        <v>21</v>
      </c>
      <c r="C1997" s="24" t="s">
        <v>13</v>
      </c>
      <c r="D1997" s="24" t="s">
        <v>1135</v>
      </c>
      <c r="E1997" s="24" t="s">
        <v>1739</v>
      </c>
      <c r="F1997" s="24" t="s">
        <v>9</v>
      </c>
      <c r="G1997" s="24" t="s">
        <v>8</v>
      </c>
      <c r="H1997" s="24" t="s">
        <v>1740</v>
      </c>
      <c r="I1997" s="27">
        <v>285.3</v>
      </c>
    </row>
    <row r="1998" spans="2:9" ht="16">
      <c r="B1998" s="24" t="s">
        <v>186</v>
      </c>
      <c r="C1998" s="24" t="s">
        <v>13</v>
      </c>
      <c r="D1998" s="24" t="s">
        <v>1135</v>
      </c>
      <c r="E1998" s="24" t="s">
        <v>1741</v>
      </c>
      <c r="F1998" s="24" t="s">
        <v>9</v>
      </c>
      <c r="G1998" s="24" t="s">
        <v>8</v>
      </c>
      <c r="H1998" s="24" t="s">
        <v>1742</v>
      </c>
      <c r="I1998" s="27">
        <v>2842.47</v>
      </c>
    </row>
    <row r="1999" spans="2:9" ht="16">
      <c r="B1999" s="24" t="s">
        <v>21</v>
      </c>
      <c r="C1999" s="24" t="s">
        <v>13</v>
      </c>
      <c r="D1999" s="24" t="s">
        <v>1513</v>
      </c>
      <c r="E1999" s="24" t="s">
        <v>1743</v>
      </c>
      <c r="F1999" s="24" t="s">
        <v>9</v>
      </c>
      <c r="G1999" s="24" t="s">
        <v>8</v>
      </c>
      <c r="H1999" s="24" t="s">
        <v>1744</v>
      </c>
      <c r="I1999" s="27">
        <v>218.5</v>
      </c>
    </row>
    <row r="2000" spans="2:9" ht="16">
      <c r="B2000" s="24" t="s">
        <v>21</v>
      </c>
      <c r="C2000" s="24" t="s">
        <v>141</v>
      </c>
      <c r="D2000" s="24" t="s">
        <v>1618</v>
      </c>
      <c r="E2000" s="24" t="s">
        <v>1745</v>
      </c>
      <c r="F2000" s="24" t="s">
        <v>9</v>
      </c>
      <c r="G2000" s="24" t="s">
        <v>8</v>
      </c>
      <c r="H2000" s="24" t="s">
        <v>1746</v>
      </c>
      <c r="I2000" s="27">
        <v>-665.7</v>
      </c>
    </row>
    <row r="2001" spans="2:9" ht="16">
      <c r="B2001" s="24" t="s">
        <v>21</v>
      </c>
      <c r="C2001" s="24" t="s">
        <v>13</v>
      </c>
      <c r="D2001" s="24" t="s">
        <v>1028</v>
      </c>
      <c r="E2001" s="24" t="s">
        <v>1747</v>
      </c>
      <c r="F2001" s="24" t="s">
        <v>9</v>
      </c>
      <c r="G2001" s="24" t="s">
        <v>8</v>
      </c>
      <c r="H2001" s="24" t="s">
        <v>1748</v>
      </c>
      <c r="I2001" s="27">
        <v>92.0</v>
      </c>
    </row>
    <row r="2002" spans="2:9" ht="16">
      <c r="B2002" s="24" t="s">
        <v>119</v>
      </c>
      <c r="C2002" s="24" t="s">
        <v>6</v>
      </c>
      <c r="D2002" s="24" t="s">
        <v>918</v>
      </c>
      <c r="E2002" s="24" t="s">
        <v>8</v>
      </c>
      <c r="F2002" s="24" t="s">
        <v>9</v>
      </c>
      <c r="G2002" s="24" t="s">
        <v>8</v>
      </c>
      <c r="H2002" s="24" t="s">
        <v>1749</v>
      </c>
      <c r="I2002" s="27">
        <v>214.66</v>
      </c>
    </row>
    <row r="2003" spans="2:9" ht="16">
      <c r="B2003" s="24" t="s">
        <v>119</v>
      </c>
      <c r="C2003" s="24" t="s">
        <v>6</v>
      </c>
      <c r="D2003" s="24" t="s">
        <v>1618</v>
      </c>
      <c r="E2003" s="24" t="s">
        <v>8</v>
      </c>
      <c r="F2003" s="24" t="s">
        <v>9</v>
      </c>
      <c r="G2003" s="24" t="s">
        <v>8</v>
      </c>
      <c r="H2003" s="24" t="s">
        <v>524</v>
      </c>
      <c r="I2003" s="27">
        <v>112.65</v>
      </c>
    </row>
    <row r="2004" spans="2:9" ht="16">
      <c r="B2004" s="24" t="s">
        <v>21</v>
      </c>
      <c r="C2004" s="24" t="s">
        <v>13</v>
      </c>
      <c r="D2004" s="24" t="s">
        <v>1141</v>
      </c>
      <c r="E2004" s="24" t="s">
        <v>1750</v>
      </c>
      <c r="F2004" s="24" t="s">
        <v>9</v>
      </c>
      <c r="G2004" s="24" t="s">
        <v>8</v>
      </c>
      <c r="H2004" s="24" t="s">
        <v>527</v>
      </c>
      <c r="I2004" s="27">
        <v>2384.62</v>
      </c>
    </row>
    <row r="2005" spans="2:9" ht="16">
      <c r="B2005" s="24" t="s">
        <v>21</v>
      </c>
      <c r="C2005" s="24" t="s">
        <v>13</v>
      </c>
      <c r="D2005" s="24" t="s">
        <v>1570</v>
      </c>
      <c r="E2005" s="24" t="s">
        <v>1751</v>
      </c>
      <c r="F2005" s="24" t="s">
        <v>9</v>
      </c>
      <c r="G2005" s="24" t="s">
        <v>8</v>
      </c>
      <c r="H2005" s="24" t="s">
        <v>8</v>
      </c>
      <c r="I2005" s="27">
        <v>529.12</v>
      </c>
    </row>
    <row r="2006" spans="2:9" ht="16">
      <c r="B2006" s="24" t="s">
        <v>21</v>
      </c>
      <c r="C2006" s="24" t="s">
        <v>13</v>
      </c>
      <c r="D2006" s="24" t="s">
        <v>1752</v>
      </c>
      <c r="E2006" s="24" t="s">
        <v>1753</v>
      </c>
      <c r="F2006" s="24" t="s">
        <v>9</v>
      </c>
      <c r="G2006" s="24" t="s">
        <v>8</v>
      </c>
      <c r="H2006" s="24" t="s">
        <v>8</v>
      </c>
      <c r="I2006" s="27">
        <v>1431.04</v>
      </c>
    </row>
    <row r="2007" spans="2:9" ht="16">
      <c r="B2007" s="24" t="s">
        <v>186</v>
      </c>
      <c r="C2007" s="24" t="s">
        <v>13</v>
      </c>
      <c r="D2007" s="24" t="s">
        <v>1715</v>
      </c>
      <c r="E2007" s="24" t="s">
        <v>1754</v>
      </c>
      <c r="F2007" s="24" t="s">
        <v>9</v>
      </c>
      <c r="G2007" s="24" t="s">
        <v>8</v>
      </c>
      <c r="H2007" s="24" t="s">
        <v>8</v>
      </c>
      <c r="I2007" s="27">
        <v>500.65</v>
      </c>
    </row>
    <row r="2008" spans="2:9" ht="16">
      <c r="B2008" s="24" t="s">
        <v>21</v>
      </c>
      <c r="C2008" s="24" t="s">
        <v>13</v>
      </c>
      <c r="D2008" s="24" t="s">
        <v>1755</v>
      </c>
      <c r="E2008" s="24" t="s">
        <v>1756</v>
      </c>
      <c r="F2008" s="24" t="s">
        <v>9</v>
      </c>
      <c r="G2008" s="24" t="s">
        <v>8</v>
      </c>
      <c r="H2008" s="24" t="s">
        <v>8</v>
      </c>
      <c r="I2008" s="27">
        <v>700.06</v>
      </c>
    </row>
    <row r="2009" spans="1:9" ht="16">
      <c r="A2009" s="35" t="s">
        <v>40</v>
      </c>
      <c r="I2009" s="28">
        <f>I1966+I1967+I1968+I1969+I1970+I1971+I1972+I1973+I1974+I1975+I1976+I1977+I1978+I1979+I1980+I1981+I1982+I1983+I1984+I1985+I1986+I1987+I1988+I1989+I1990+I1991+I1992+I1993+I1994+I1995+I1996+I1997+I1998+I1999+I2000+I2001+I2002+I2003+I2004+I2005+I2006+I2007+I2008</f>
        <v>36786.64</v>
      </c>
    </row>
    <row r="2010" spans="1:1" ht="16">
      <c r="A2010" s="34" t="s">
        <v>1692</v>
      </c>
    </row>
    <row r="2011" spans="2:9" ht="16">
      <c r="B2011" s="24" t="s">
        <v>1757</v>
      </c>
      <c r="C2011" s="24" t="s">
        <v>6</v>
      </c>
      <c r="D2011" s="24" t="s">
        <v>1202</v>
      </c>
      <c r="E2011" s="24" t="s">
        <v>8</v>
      </c>
      <c r="F2011" s="24" t="s">
        <v>42</v>
      </c>
      <c r="G2011" s="24" t="s">
        <v>8</v>
      </c>
      <c r="H2011" s="24" t="s">
        <v>1758</v>
      </c>
      <c r="I2011" s="27">
        <v>33.96</v>
      </c>
    </row>
    <row r="2012" spans="2:9" ht="16">
      <c r="B2012" s="24" t="s">
        <v>1757</v>
      </c>
      <c r="C2012" s="24" t="s">
        <v>6</v>
      </c>
      <c r="D2012" s="24" t="s">
        <v>1759</v>
      </c>
      <c r="E2012" s="24" t="s">
        <v>8</v>
      </c>
      <c r="F2012" s="24" t="s">
        <v>42</v>
      </c>
      <c r="G2012" s="24" t="s">
        <v>8</v>
      </c>
      <c r="H2012" s="24" t="s">
        <v>1758</v>
      </c>
      <c r="I2012" s="27">
        <v>42.13</v>
      </c>
    </row>
    <row r="2013" spans="1:9" ht="16">
      <c r="A2013" s="35" t="s">
        <v>149</v>
      </c>
      <c r="I2013" s="28">
        <f>I2010+I2011+I2012</f>
        <v>76.09</v>
      </c>
    </row>
    <row r="2014" spans="1:1" ht="16">
      <c r="A2014" s="34" t="s">
        <v>1692</v>
      </c>
    </row>
    <row r="2015" spans="2:9" ht="16">
      <c r="B2015" s="24" t="s">
        <v>536</v>
      </c>
      <c r="C2015" s="24" t="s">
        <v>13</v>
      </c>
      <c r="D2015" s="24" t="s">
        <v>1581</v>
      </c>
      <c r="E2015" s="24" t="s">
        <v>1760</v>
      </c>
      <c r="F2015" s="24" t="s">
        <v>9</v>
      </c>
      <c r="G2015" s="24" t="s">
        <v>8</v>
      </c>
      <c r="H2015" s="24" t="s">
        <v>1761</v>
      </c>
      <c r="I2015" s="27">
        <v>5020.8</v>
      </c>
    </row>
    <row r="2016" spans="2:9" ht="16">
      <c r="B2016" s="24" t="s">
        <v>536</v>
      </c>
      <c r="C2016" s="24" t="s">
        <v>13</v>
      </c>
      <c r="D2016" s="24" t="s">
        <v>1535</v>
      </c>
      <c r="E2016" s="24" t="s">
        <v>1762</v>
      </c>
      <c r="F2016" s="24" t="s">
        <v>9</v>
      </c>
      <c r="G2016" s="24" t="s">
        <v>8</v>
      </c>
      <c r="H2016" s="24" t="s">
        <v>1761</v>
      </c>
      <c r="I2016" s="27">
        <v>45187.18</v>
      </c>
    </row>
    <row r="2017" spans="2:9" ht="16">
      <c r="B2017" s="24" t="s">
        <v>1382</v>
      </c>
      <c r="C2017" s="24" t="s">
        <v>13</v>
      </c>
      <c r="D2017" s="24" t="s">
        <v>1570</v>
      </c>
      <c r="E2017" s="24" t="s">
        <v>1200</v>
      </c>
      <c r="F2017" s="24" t="s">
        <v>9</v>
      </c>
      <c r="G2017" s="24" t="s">
        <v>8</v>
      </c>
      <c r="H2017" s="24" t="s">
        <v>1763</v>
      </c>
      <c r="I2017" s="27">
        <v>28671.0</v>
      </c>
    </row>
    <row r="2018" spans="2:9" ht="16">
      <c r="B2018" s="24" t="s">
        <v>536</v>
      </c>
      <c r="C2018" s="24" t="s">
        <v>13</v>
      </c>
      <c r="D2018" s="24" t="s">
        <v>1141</v>
      </c>
      <c r="E2018" s="24" t="s">
        <v>1764</v>
      </c>
      <c r="F2018" s="24" t="s">
        <v>9</v>
      </c>
      <c r="G2018" s="24" t="s">
        <v>8</v>
      </c>
      <c r="H2018" s="24" t="s">
        <v>1765</v>
      </c>
      <c r="I2018" s="27">
        <v>6193.35</v>
      </c>
    </row>
    <row r="2019" spans="2:9" ht="16">
      <c r="B2019" s="24" t="s">
        <v>536</v>
      </c>
      <c r="C2019" s="24" t="s">
        <v>13</v>
      </c>
      <c r="D2019" s="24" t="s">
        <v>1581</v>
      </c>
      <c r="E2019" s="24" t="s">
        <v>1760</v>
      </c>
      <c r="F2019" s="24" t="s">
        <v>9</v>
      </c>
      <c r="G2019" s="24" t="s">
        <v>8</v>
      </c>
      <c r="H2019" s="24" t="s">
        <v>1766</v>
      </c>
      <c r="I2019" s="27">
        <v>-385.7</v>
      </c>
    </row>
    <row r="2020" spans="2:9" ht="16">
      <c r="B2020" s="24" t="s">
        <v>536</v>
      </c>
      <c r="C2020" s="24" t="s">
        <v>13</v>
      </c>
      <c r="D2020" s="24" t="s">
        <v>1587</v>
      </c>
      <c r="E2020" s="24" t="s">
        <v>1767</v>
      </c>
      <c r="F2020" s="24" t="s">
        <v>9</v>
      </c>
      <c r="G2020" s="24" t="s">
        <v>8</v>
      </c>
      <c r="H2020" s="24" t="s">
        <v>1768</v>
      </c>
      <c r="I2020" s="27">
        <v>2966.3</v>
      </c>
    </row>
    <row r="2021" spans="2:9" ht="16">
      <c r="B2021" s="24" t="s">
        <v>1382</v>
      </c>
      <c r="C2021" s="24" t="s">
        <v>13</v>
      </c>
      <c r="D2021" s="24" t="s">
        <v>1769</v>
      </c>
      <c r="E2021" s="24" t="s">
        <v>1770</v>
      </c>
      <c r="F2021" s="24" t="s">
        <v>9</v>
      </c>
      <c r="G2021" s="24" t="s">
        <v>8</v>
      </c>
      <c r="H2021" s="24" t="s">
        <v>1771</v>
      </c>
      <c r="I2021" s="27">
        <v>5662.95</v>
      </c>
    </row>
    <row r="2022" spans="2:9" ht="16">
      <c r="B2022" s="24" t="s">
        <v>536</v>
      </c>
      <c r="C2022" s="24" t="s">
        <v>13</v>
      </c>
      <c r="D2022" s="24" t="s">
        <v>1535</v>
      </c>
      <c r="E2022" s="24" t="s">
        <v>1762</v>
      </c>
      <c r="F2022" s="24" t="s">
        <v>9</v>
      </c>
      <c r="G2022" s="24" t="s">
        <v>8</v>
      </c>
      <c r="H2022" s="24" t="s">
        <v>1772</v>
      </c>
      <c r="I2022" s="27">
        <v>344.07</v>
      </c>
    </row>
    <row r="2023" spans="2:9" ht="16">
      <c r="B2023" s="24" t="s">
        <v>1382</v>
      </c>
      <c r="C2023" s="24" t="s">
        <v>13</v>
      </c>
      <c r="D2023" s="24" t="s">
        <v>1773</v>
      </c>
      <c r="E2023" s="24" t="s">
        <v>1774</v>
      </c>
      <c r="F2023" s="24" t="s">
        <v>9</v>
      </c>
      <c r="G2023" s="24" t="s">
        <v>8</v>
      </c>
      <c r="H2023" s="24" t="s">
        <v>1775</v>
      </c>
      <c r="I2023" s="27">
        <v>1807.05</v>
      </c>
    </row>
    <row r="2024" spans="1:9" ht="16">
      <c r="A2024" s="35" t="s">
        <v>164</v>
      </c>
      <c r="I2024" s="28">
        <f>I2014+I2015+I2016+I2017+I2018+I2019+I2020+I2021+I2022+I2023</f>
        <v>95467.00000000003</v>
      </c>
    </row>
    <row r="2025" spans="1:1" ht="16">
      <c r="A2025" s="34" t="s">
        <v>1692</v>
      </c>
    </row>
    <row r="2026" spans="2:9" ht="16">
      <c r="B2026" s="24" t="s">
        <v>45</v>
      </c>
      <c r="C2026" s="24" t="s">
        <v>6</v>
      </c>
      <c r="D2026" s="24" t="s">
        <v>1154</v>
      </c>
      <c r="E2026" s="24" t="s">
        <v>8</v>
      </c>
      <c r="F2026" s="24" t="s">
        <v>9</v>
      </c>
      <c r="G2026" s="24" t="s">
        <v>8</v>
      </c>
      <c r="H2026" s="24" t="s">
        <v>1204</v>
      </c>
      <c r="I2026" s="27">
        <v>80.64</v>
      </c>
    </row>
    <row r="2027" spans="2:9" ht="16">
      <c r="B2027" s="24" t="s">
        <v>8</v>
      </c>
      <c r="C2027" s="24" t="s">
        <v>6</v>
      </c>
      <c r="D2027" s="24" t="s">
        <v>549</v>
      </c>
      <c r="E2027" s="24" t="s">
        <v>8</v>
      </c>
      <c r="F2027" s="24" t="s">
        <v>9</v>
      </c>
      <c r="G2027" s="24" t="s">
        <v>8</v>
      </c>
      <c r="H2027" s="24" t="s">
        <v>47</v>
      </c>
      <c r="I2027" s="27">
        <v>794.53</v>
      </c>
    </row>
    <row r="2028" spans="2:9" ht="16">
      <c r="B2028" s="24" t="s">
        <v>8</v>
      </c>
      <c r="C2028" s="24" t="s">
        <v>6</v>
      </c>
      <c r="D2028" s="24" t="s">
        <v>550</v>
      </c>
      <c r="E2028" s="24" t="s">
        <v>8</v>
      </c>
      <c r="F2028" s="24" t="s">
        <v>9</v>
      </c>
      <c r="G2028" s="24" t="s">
        <v>8</v>
      </c>
      <c r="H2028" s="24" t="s">
        <v>47</v>
      </c>
      <c r="I2028" s="27">
        <v>861.15</v>
      </c>
    </row>
    <row r="2029" spans="2:9" ht="16">
      <c r="B2029" s="24" t="s">
        <v>45</v>
      </c>
      <c r="C2029" s="24" t="s">
        <v>6</v>
      </c>
      <c r="D2029" s="24" t="s">
        <v>1596</v>
      </c>
      <c r="E2029" s="24" t="s">
        <v>8</v>
      </c>
      <c r="F2029" s="24" t="s">
        <v>9</v>
      </c>
      <c r="G2029" s="24" t="s">
        <v>8</v>
      </c>
      <c r="H2029" s="24" t="s">
        <v>47</v>
      </c>
      <c r="I2029" s="27">
        <v>105.88</v>
      </c>
    </row>
    <row r="2030" spans="2:9" ht="16">
      <c r="B2030" s="24" t="s">
        <v>45</v>
      </c>
      <c r="C2030" s="24" t="s">
        <v>6</v>
      </c>
      <c r="D2030" s="24" t="s">
        <v>451</v>
      </c>
      <c r="E2030" s="24" t="s">
        <v>8</v>
      </c>
      <c r="F2030" s="24" t="s">
        <v>9</v>
      </c>
      <c r="G2030" s="24" t="s">
        <v>8</v>
      </c>
      <c r="H2030" s="24" t="s">
        <v>47</v>
      </c>
      <c r="I2030" s="27">
        <v>576.68</v>
      </c>
    </row>
    <row r="2031" spans="2:9" ht="16">
      <c r="B2031" s="24" t="s">
        <v>8</v>
      </c>
      <c r="C2031" s="24" t="s">
        <v>6</v>
      </c>
      <c r="D2031" s="24" t="s">
        <v>1205</v>
      </c>
      <c r="E2031" s="24" t="s">
        <v>8</v>
      </c>
      <c r="F2031" s="24" t="s">
        <v>9</v>
      </c>
      <c r="G2031" s="24" t="s">
        <v>8</v>
      </c>
      <c r="H2031" s="24" t="s">
        <v>47</v>
      </c>
      <c r="I2031" s="27">
        <v>11294.3</v>
      </c>
    </row>
    <row r="2032" spans="2:9" ht="16">
      <c r="B2032" s="24" t="s">
        <v>8</v>
      </c>
      <c r="C2032" s="24" t="s">
        <v>6</v>
      </c>
      <c r="D2032" s="24" t="s">
        <v>549</v>
      </c>
      <c r="E2032" s="24" t="s">
        <v>8</v>
      </c>
      <c r="F2032" s="24" t="s">
        <v>9</v>
      </c>
      <c r="G2032" s="24" t="s">
        <v>8</v>
      </c>
      <c r="H2032" s="24" t="s">
        <v>47</v>
      </c>
      <c r="I2032" s="27">
        <v>205.04</v>
      </c>
    </row>
    <row r="2033" spans="2:9" ht="16">
      <c r="B2033" s="24" t="s">
        <v>45</v>
      </c>
      <c r="C2033" s="24" t="s">
        <v>6</v>
      </c>
      <c r="D2033" s="24" t="s">
        <v>928</v>
      </c>
      <c r="E2033" s="24" t="s">
        <v>8</v>
      </c>
      <c r="F2033" s="24" t="s">
        <v>9</v>
      </c>
      <c r="G2033" s="24" t="s">
        <v>8</v>
      </c>
      <c r="H2033" s="24" t="s">
        <v>47</v>
      </c>
      <c r="I2033" s="27">
        <v>9081.32</v>
      </c>
    </row>
    <row r="2034" spans="1:9" ht="16">
      <c r="A2034" s="35" t="s">
        <v>50</v>
      </c>
      <c r="I2034" s="28">
        <f>I2025+I2026+I2027+I2028+I2029+I2030+I2031+I2032+I2033</f>
        <v>22999.54</v>
      </c>
    </row>
    <row r="2035" spans="1:1" ht="16">
      <c r="A2035" s="34" t="s">
        <v>1692</v>
      </c>
    </row>
    <row r="2036" spans="2:9" ht="16">
      <c r="B2036" s="24" t="s">
        <v>8</v>
      </c>
      <c r="C2036" s="24" t="s">
        <v>150</v>
      </c>
      <c r="D2036" s="24" t="s">
        <v>1173</v>
      </c>
      <c r="E2036" s="24" t="s">
        <v>1776</v>
      </c>
      <c r="F2036" s="24" t="s">
        <v>9</v>
      </c>
      <c r="G2036" s="24" t="s">
        <v>8</v>
      </c>
      <c r="H2036" s="24" t="s">
        <v>1777</v>
      </c>
      <c r="I2036" s="27">
        <v>519.13</v>
      </c>
    </row>
    <row r="2037" spans="2:9" ht="16">
      <c r="B2037" s="24" t="s">
        <v>1778</v>
      </c>
      <c r="C2037" s="24" t="s">
        <v>150</v>
      </c>
      <c r="D2037" s="24" t="s">
        <v>1715</v>
      </c>
      <c r="E2037" s="24" t="s">
        <v>1779</v>
      </c>
      <c r="F2037" s="24" t="s">
        <v>9</v>
      </c>
      <c r="G2037" s="24" t="s">
        <v>8</v>
      </c>
      <c r="H2037" s="24" t="s">
        <v>1780</v>
      </c>
      <c r="I2037" s="27">
        <v>748.53</v>
      </c>
    </row>
    <row r="2038" spans="2:9" ht="16">
      <c r="B2038" s="24" t="s">
        <v>1781</v>
      </c>
      <c r="C2038" s="24" t="s">
        <v>150</v>
      </c>
      <c r="D2038" s="24" t="s">
        <v>1715</v>
      </c>
      <c r="E2038" s="24" t="s">
        <v>1782</v>
      </c>
      <c r="F2038" s="24" t="s">
        <v>9</v>
      </c>
      <c r="G2038" s="24" t="s">
        <v>8</v>
      </c>
      <c r="H2038" s="24" t="s">
        <v>1783</v>
      </c>
      <c r="I2038" s="27">
        <v>916.55</v>
      </c>
    </row>
    <row r="2039" spans="2:9" ht="16">
      <c r="B2039" s="24" t="s">
        <v>8</v>
      </c>
      <c r="C2039" s="24" t="s">
        <v>150</v>
      </c>
      <c r="D2039" s="24" t="s">
        <v>1598</v>
      </c>
      <c r="E2039" s="24" t="s">
        <v>1784</v>
      </c>
      <c r="F2039" s="24" t="s">
        <v>9</v>
      </c>
      <c r="G2039" s="24" t="s">
        <v>8</v>
      </c>
      <c r="H2039" s="24" t="s">
        <v>1785</v>
      </c>
      <c r="I2039" s="27">
        <v>896.96</v>
      </c>
    </row>
    <row r="2040" spans="2:9" ht="16">
      <c r="B2040" s="24" t="s">
        <v>8</v>
      </c>
      <c r="C2040" s="24" t="s">
        <v>150</v>
      </c>
      <c r="D2040" s="24" t="s">
        <v>1598</v>
      </c>
      <c r="E2040" s="24" t="s">
        <v>1786</v>
      </c>
      <c r="F2040" s="24" t="s">
        <v>9</v>
      </c>
      <c r="G2040" s="24" t="s">
        <v>8</v>
      </c>
      <c r="H2040" s="24" t="s">
        <v>1787</v>
      </c>
      <c r="I2040" s="27">
        <v>1306.67</v>
      </c>
    </row>
    <row r="2041" spans="2:9" ht="16">
      <c r="B2041" s="24" t="s">
        <v>8</v>
      </c>
      <c r="C2041" s="24" t="s">
        <v>150</v>
      </c>
      <c r="D2041" s="24" t="s">
        <v>1598</v>
      </c>
      <c r="E2041" s="24" t="s">
        <v>1788</v>
      </c>
      <c r="F2041" s="24" t="s">
        <v>9</v>
      </c>
      <c r="G2041" s="24" t="s">
        <v>8</v>
      </c>
      <c r="H2041" s="24" t="s">
        <v>1789</v>
      </c>
      <c r="I2041" s="27">
        <v>730.25</v>
      </c>
    </row>
    <row r="2042" spans="2:9" ht="16">
      <c r="B2042" s="24" t="s">
        <v>8</v>
      </c>
      <c r="C2042" s="24" t="s">
        <v>150</v>
      </c>
      <c r="D2042" s="24" t="s">
        <v>1598</v>
      </c>
      <c r="E2042" s="24" t="s">
        <v>1790</v>
      </c>
      <c r="F2042" s="24" t="s">
        <v>9</v>
      </c>
      <c r="G2042" s="24" t="s">
        <v>8</v>
      </c>
      <c r="H2042" s="24" t="s">
        <v>1791</v>
      </c>
      <c r="I2042" s="27">
        <v>1638.29</v>
      </c>
    </row>
    <row r="2043" spans="2:9" ht="16">
      <c r="B2043" s="24" t="s">
        <v>8</v>
      </c>
      <c r="C2043" s="24" t="s">
        <v>150</v>
      </c>
      <c r="D2043" s="24" t="s">
        <v>1598</v>
      </c>
      <c r="E2043" s="24" t="s">
        <v>798</v>
      </c>
      <c r="F2043" s="24" t="s">
        <v>9</v>
      </c>
      <c r="G2043" s="24" t="s">
        <v>8</v>
      </c>
      <c r="H2043" s="24" t="s">
        <v>1792</v>
      </c>
      <c r="I2043" s="27">
        <v>275.12</v>
      </c>
    </row>
    <row r="2044" spans="2:9" ht="16">
      <c r="B2044" s="24" t="s">
        <v>961</v>
      </c>
      <c r="C2044" s="24" t="s">
        <v>6</v>
      </c>
      <c r="D2044" s="24" t="s">
        <v>1086</v>
      </c>
      <c r="E2044" s="24" t="s">
        <v>8</v>
      </c>
      <c r="F2044" s="24" t="s">
        <v>9</v>
      </c>
      <c r="G2044" s="24" t="s">
        <v>8</v>
      </c>
      <c r="H2044" s="24" t="s">
        <v>53</v>
      </c>
      <c r="I2044" s="27">
        <v>-6413.64</v>
      </c>
    </row>
    <row r="2045" spans="2:9" ht="16">
      <c r="B2045" s="24" t="s">
        <v>8</v>
      </c>
      <c r="C2045" s="24" t="s">
        <v>6</v>
      </c>
      <c r="D2045" s="24" t="s">
        <v>562</v>
      </c>
      <c r="E2045" s="24" t="s">
        <v>8</v>
      </c>
      <c r="F2045" s="24" t="s">
        <v>9</v>
      </c>
      <c r="G2045" s="24" t="s">
        <v>8</v>
      </c>
      <c r="H2045" s="24" t="s">
        <v>53</v>
      </c>
      <c r="I2045" s="27">
        <v>811.78</v>
      </c>
    </row>
    <row r="2046" spans="2:9" ht="16">
      <c r="B2046" s="24" t="s">
        <v>51</v>
      </c>
      <c r="C2046" s="24" t="s">
        <v>6</v>
      </c>
      <c r="D2046" s="24" t="s">
        <v>1206</v>
      </c>
      <c r="E2046" s="24" t="s">
        <v>8</v>
      </c>
      <c r="F2046" s="24" t="s">
        <v>9</v>
      </c>
      <c r="G2046" s="24" t="s">
        <v>8</v>
      </c>
      <c r="H2046" s="24" t="s">
        <v>53</v>
      </c>
      <c r="I2046" s="27">
        <v>2944.03</v>
      </c>
    </row>
    <row r="2047" spans="2:9" ht="16">
      <c r="B2047" s="24" t="s">
        <v>51</v>
      </c>
      <c r="C2047" s="24" t="s">
        <v>6</v>
      </c>
      <c r="D2047" s="24" t="s">
        <v>551</v>
      </c>
      <c r="E2047" s="24" t="s">
        <v>8</v>
      </c>
      <c r="F2047" s="24" t="s">
        <v>9</v>
      </c>
      <c r="G2047" s="24" t="s">
        <v>8</v>
      </c>
      <c r="H2047" s="24" t="s">
        <v>53</v>
      </c>
      <c r="I2047" s="27">
        <v>1795.9</v>
      </c>
    </row>
    <row r="2048" spans="2:9" ht="16">
      <c r="B2048" s="24" t="s">
        <v>961</v>
      </c>
      <c r="C2048" s="24" t="s">
        <v>6</v>
      </c>
      <c r="D2048" s="24" t="s">
        <v>1547</v>
      </c>
      <c r="E2048" s="24" t="s">
        <v>8</v>
      </c>
      <c r="F2048" s="24" t="s">
        <v>9</v>
      </c>
      <c r="G2048" s="24" t="s">
        <v>8</v>
      </c>
      <c r="H2048" s="24" t="s">
        <v>53</v>
      </c>
      <c r="I2048" s="27">
        <v>437.25</v>
      </c>
    </row>
    <row r="2049" spans="2:9" ht="16">
      <c r="B2049" s="24" t="s">
        <v>51</v>
      </c>
      <c r="C2049" s="24" t="s">
        <v>6</v>
      </c>
      <c r="D2049" s="24" t="s">
        <v>557</v>
      </c>
      <c r="E2049" s="24" t="s">
        <v>8</v>
      </c>
      <c r="F2049" s="24" t="s">
        <v>9</v>
      </c>
      <c r="G2049" s="24" t="s">
        <v>8</v>
      </c>
      <c r="H2049" s="24" t="s">
        <v>53</v>
      </c>
      <c r="I2049" s="27">
        <v>257.72</v>
      </c>
    </row>
    <row r="2050" spans="2:9" ht="16">
      <c r="B2050" s="24" t="s">
        <v>961</v>
      </c>
      <c r="C2050" s="24" t="s">
        <v>6</v>
      </c>
      <c r="D2050" s="24" t="s">
        <v>1584</v>
      </c>
      <c r="E2050" s="24" t="s">
        <v>8</v>
      </c>
      <c r="F2050" s="24" t="s">
        <v>9</v>
      </c>
      <c r="G2050" s="24" t="s">
        <v>8</v>
      </c>
      <c r="H2050" s="24" t="s">
        <v>53</v>
      </c>
      <c r="I2050" s="27">
        <v>311.86</v>
      </c>
    </row>
    <row r="2051" spans="2:9" ht="16">
      <c r="B2051" s="24" t="s">
        <v>51</v>
      </c>
      <c r="C2051" s="24" t="s">
        <v>6</v>
      </c>
      <c r="D2051" s="24" t="s">
        <v>556</v>
      </c>
      <c r="E2051" s="24" t="s">
        <v>8</v>
      </c>
      <c r="F2051" s="24" t="s">
        <v>9</v>
      </c>
      <c r="G2051" s="24" t="s">
        <v>8</v>
      </c>
      <c r="H2051" s="24" t="s">
        <v>53</v>
      </c>
      <c r="I2051" s="27">
        <v>845.79</v>
      </c>
    </row>
    <row r="2052" spans="2:9" ht="16">
      <c r="B2052" s="24" t="s">
        <v>961</v>
      </c>
      <c r="C2052" s="24" t="s">
        <v>6</v>
      </c>
      <c r="D2052" s="24" t="s">
        <v>1538</v>
      </c>
      <c r="E2052" s="24" t="s">
        <v>8</v>
      </c>
      <c r="F2052" s="24" t="s">
        <v>9</v>
      </c>
      <c r="G2052" s="24" t="s">
        <v>8</v>
      </c>
      <c r="H2052" s="24" t="s">
        <v>53</v>
      </c>
      <c r="I2052" s="27">
        <v>1398.03</v>
      </c>
    </row>
    <row r="2053" spans="2:9" ht="16">
      <c r="B2053" s="24" t="s">
        <v>51</v>
      </c>
      <c r="C2053" s="24" t="s">
        <v>6</v>
      </c>
      <c r="D2053" s="24" t="s">
        <v>1116</v>
      </c>
      <c r="E2053" s="24" t="s">
        <v>8</v>
      </c>
      <c r="F2053" s="24" t="s">
        <v>9</v>
      </c>
      <c r="G2053" s="24" t="s">
        <v>8</v>
      </c>
      <c r="H2053" s="24" t="s">
        <v>53</v>
      </c>
      <c r="I2053" s="27">
        <v>884.46</v>
      </c>
    </row>
    <row r="2054" spans="2:9" ht="16">
      <c r="B2054" s="24" t="s">
        <v>51</v>
      </c>
      <c r="C2054" s="24" t="s">
        <v>6</v>
      </c>
      <c r="D2054" s="24" t="s">
        <v>984</v>
      </c>
      <c r="E2054" s="24" t="s">
        <v>8</v>
      </c>
      <c r="F2054" s="24" t="s">
        <v>9</v>
      </c>
      <c r="G2054" s="24" t="s">
        <v>8</v>
      </c>
      <c r="H2054" s="24" t="s">
        <v>53</v>
      </c>
      <c r="I2054" s="27">
        <v>2259.31</v>
      </c>
    </row>
    <row r="2055" spans="2:9" ht="16">
      <c r="B2055" s="24" t="s">
        <v>51</v>
      </c>
      <c r="C2055" s="24" t="s">
        <v>6</v>
      </c>
      <c r="D2055" s="24" t="s">
        <v>931</v>
      </c>
      <c r="E2055" s="24" t="s">
        <v>8</v>
      </c>
      <c r="F2055" s="24" t="s">
        <v>9</v>
      </c>
      <c r="G2055" s="24" t="s">
        <v>8</v>
      </c>
      <c r="H2055" s="24" t="s">
        <v>53</v>
      </c>
      <c r="I2055" s="27">
        <v>5026.04</v>
      </c>
    </row>
    <row r="2056" spans="2:9" ht="16">
      <c r="B2056" s="24" t="s">
        <v>961</v>
      </c>
      <c r="C2056" s="24" t="s">
        <v>6</v>
      </c>
      <c r="D2056" s="24" t="s">
        <v>1086</v>
      </c>
      <c r="E2056" s="24" t="s">
        <v>8</v>
      </c>
      <c r="F2056" s="24" t="s">
        <v>9</v>
      </c>
      <c r="G2056" s="24" t="s">
        <v>8</v>
      </c>
      <c r="H2056" s="24" t="s">
        <v>53</v>
      </c>
      <c r="I2056" s="27">
        <v>18670.45</v>
      </c>
    </row>
    <row r="2057" spans="2:9" ht="16">
      <c r="B2057" s="24" t="s">
        <v>51</v>
      </c>
      <c r="C2057" s="24" t="s">
        <v>6</v>
      </c>
      <c r="D2057" s="24" t="s">
        <v>1207</v>
      </c>
      <c r="E2057" s="24" t="s">
        <v>8</v>
      </c>
      <c r="F2057" s="24" t="s">
        <v>9</v>
      </c>
      <c r="G2057" s="24" t="s">
        <v>8</v>
      </c>
      <c r="H2057" s="24" t="s">
        <v>53</v>
      </c>
      <c r="I2057" s="27">
        <v>7875.16</v>
      </c>
    </row>
    <row r="2058" spans="2:9" ht="16">
      <c r="B2058" s="24" t="s">
        <v>51</v>
      </c>
      <c r="C2058" s="24" t="s">
        <v>6</v>
      </c>
      <c r="D2058" s="24" t="s">
        <v>555</v>
      </c>
      <c r="E2058" s="24" t="s">
        <v>8</v>
      </c>
      <c r="F2058" s="24" t="s">
        <v>9</v>
      </c>
      <c r="G2058" s="24" t="s">
        <v>8</v>
      </c>
      <c r="H2058" s="24" t="s">
        <v>53</v>
      </c>
      <c r="I2058" s="27">
        <v>82.66</v>
      </c>
    </row>
    <row r="2059" spans="2:9" ht="16">
      <c r="B2059" s="24" t="s">
        <v>51</v>
      </c>
      <c r="C2059" s="24" t="s">
        <v>6</v>
      </c>
      <c r="D2059" s="24" t="s">
        <v>561</v>
      </c>
      <c r="E2059" s="24" t="s">
        <v>8</v>
      </c>
      <c r="F2059" s="24" t="s">
        <v>9</v>
      </c>
      <c r="G2059" s="24" t="s">
        <v>8</v>
      </c>
      <c r="H2059" s="24" t="s">
        <v>53</v>
      </c>
      <c r="I2059" s="27">
        <v>367.93</v>
      </c>
    </row>
    <row r="2060" spans="2:9" ht="16">
      <c r="B2060" s="24" t="s">
        <v>51</v>
      </c>
      <c r="C2060" s="24" t="s">
        <v>6</v>
      </c>
      <c r="D2060" s="24" t="s">
        <v>560</v>
      </c>
      <c r="E2060" s="24" t="s">
        <v>8</v>
      </c>
      <c r="F2060" s="24" t="s">
        <v>9</v>
      </c>
      <c r="G2060" s="24" t="s">
        <v>8</v>
      </c>
      <c r="H2060" s="24" t="s">
        <v>53</v>
      </c>
      <c r="I2060" s="27">
        <v>202.94</v>
      </c>
    </row>
    <row r="2061" spans="2:9" ht="16">
      <c r="B2061" s="24" t="s">
        <v>8</v>
      </c>
      <c r="C2061" s="24" t="s">
        <v>6</v>
      </c>
      <c r="D2061" s="24" t="s">
        <v>1208</v>
      </c>
      <c r="E2061" s="24" t="s">
        <v>8</v>
      </c>
      <c r="F2061" s="24" t="s">
        <v>9</v>
      </c>
      <c r="G2061" s="24" t="s">
        <v>8</v>
      </c>
      <c r="H2061" s="24" t="s">
        <v>53</v>
      </c>
      <c r="I2061" s="27">
        <v>215.57</v>
      </c>
    </row>
    <row r="2062" spans="2:9" ht="16">
      <c r="B2062" s="24" t="s">
        <v>51</v>
      </c>
      <c r="C2062" s="24" t="s">
        <v>6</v>
      </c>
      <c r="D2062" s="24" t="s">
        <v>1209</v>
      </c>
      <c r="E2062" s="24" t="s">
        <v>8</v>
      </c>
      <c r="F2062" s="24" t="s">
        <v>9</v>
      </c>
      <c r="G2062" s="24" t="s">
        <v>8</v>
      </c>
      <c r="H2062" s="24" t="s">
        <v>53</v>
      </c>
      <c r="I2062" s="27">
        <v>6383.08</v>
      </c>
    </row>
    <row r="2063" spans="2:9" ht="16">
      <c r="B2063" s="24" t="s">
        <v>1793</v>
      </c>
      <c r="C2063" s="24" t="s">
        <v>150</v>
      </c>
      <c r="D2063" s="24" t="s">
        <v>1598</v>
      </c>
      <c r="E2063" s="24" t="s">
        <v>1794</v>
      </c>
      <c r="F2063" s="24" t="s">
        <v>9</v>
      </c>
      <c r="G2063" s="24" t="s">
        <v>8</v>
      </c>
      <c r="H2063" s="24" t="s">
        <v>1795</v>
      </c>
      <c r="I2063" s="27">
        <v>1512.72</v>
      </c>
    </row>
    <row r="2064" spans="1:9" ht="16">
      <c r="A2064" s="35" t="s">
        <v>67</v>
      </c>
      <c r="I2064" s="28">
        <f>I2035+I2036+I2037+I2038+I2039+I2040+I2041+I2042+I2043+I2044+I2045+I2046+I2047+I2048+I2049+I2050+I2051+I2052+I2053+I2054+I2055+I2056+I2057+I2058+I2059+I2060+I2061+I2062+I2063</f>
        <v>52900.54000000001</v>
      </c>
    </row>
    <row r="2065" spans="1:9" ht="16">
      <c r="A2065" s="36" t="s">
        <v>1796</v>
      </c>
      <c r="I2065" s="28">
        <f>I1959+I1962+I1965+I2009+I2013+I2024+I2034+I2064</f>
        <v>216565.83000000005</v>
      </c>
    </row>
    <row r="2066" spans="1:1" ht="16">
      <c r="A2066" s="33" t="s">
        <v>324</v>
      </c>
    </row>
    <row r="2067" spans="1:1" ht="16">
      <c r="A2067" s="34" t="s">
        <v>1797</v>
      </c>
    </row>
    <row r="2068" spans="2:9" ht="16">
      <c r="B2068" s="24" t="s">
        <v>36</v>
      </c>
      <c r="C2068" s="24" t="s">
        <v>6</v>
      </c>
      <c r="D2068" s="24" t="s">
        <v>1290</v>
      </c>
      <c r="E2068" s="24" t="s">
        <v>8</v>
      </c>
      <c r="F2068" s="24" t="s">
        <v>9</v>
      </c>
      <c r="G2068" s="24" t="s">
        <v>8</v>
      </c>
      <c r="H2068" s="24" t="s">
        <v>1798</v>
      </c>
      <c r="I2068" s="27">
        <v>19.73</v>
      </c>
    </row>
    <row r="2069" spans="2:9" ht="16">
      <c r="B2069" s="24" t="s">
        <v>5</v>
      </c>
      <c r="C2069" s="24" t="s">
        <v>13</v>
      </c>
      <c r="D2069" s="24" t="s">
        <v>523</v>
      </c>
      <c r="E2069" s="24" t="s">
        <v>1799</v>
      </c>
      <c r="F2069" s="24" t="s">
        <v>9</v>
      </c>
      <c r="G2069" s="24" t="s">
        <v>8</v>
      </c>
      <c r="H2069" s="24" t="s">
        <v>834</v>
      </c>
      <c r="I2069" s="27">
        <v>105.53</v>
      </c>
    </row>
    <row r="2070" spans="2:9" ht="16">
      <c r="B2070" s="24" t="s">
        <v>1800</v>
      </c>
      <c r="C2070" s="24" t="s">
        <v>6</v>
      </c>
      <c r="D2070" s="24" t="s">
        <v>1308</v>
      </c>
      <c r="E2070" s="24" t="s">
        <v>8</v>
      </c>
      <c r="F2070" s="24" t="s">
        <v>9</v>
      </c>
      <c r="G2070" s="24" t="s">
        <v>8</v>
      </c>
      <c r="H2070" s="24" t="s">
        <v>1801</v>
      </c>
      <c r="I2070" s="27">
        <v>145.74</v>
      </c>
    </row>
    <row r="2071" spans="2:9" ht="16">
      <c r="B2071" s="24" t="s">
        <v>589</v>
      </c>
      <c r="C2071" s="24" t="s">
        <v>6</v>
      </c>
      <c r="D2071" s="24" t="s">
        <v>523</v>
      </c>
      <c r="E2071" s="24" t="s">
        <v>8</v>
      </c>
      <c r="F2071" s="24" t="s">
        <v>9</v>
      </c>
      <c r="G2071" s="24" t="s">
        <v>8</v>
      </c>
      <c r="H2071" s="24" t="s">
        <v>1802</v>
      </c>
      <c r="I2071" s="27">
        <v>-17.27</v>
      </c>
    </row>
    <row r="2072" spans="2:9" ht="16">
      <c r="B2072" s="24" t="s">
        <v>589</v>
      </c>
      <c r="C2072" s="24" t="s">
        <v>6</v>
      </c>
      <c r="D2072" s="24" t="s">
        <v>523</v>
      </c>
      <c r="E2072" s="24" t="s">
        <v>8</v>
      </c>
      <c r="F2072" s="24" t="s">
        <v>9</v>
      </c>
      <c r="G2072" s="24" t="s">
        <v>8</v>
      </c>
      <c r="H2072" s="24" t="s">
        <v>1802</v>
      </c>
      <c r="I2072" s="27">
        <v>17.27</v>
      </c>
    </row>
    <row r="2073" spans="2:9" ht="16">
      <c r="B2073" s="24" t="s">
        <v>312</v>
      </c>
      <c r="C2073" s="24" t="s">
        <v>6</v>
      </c>
      <c r="D2073" s="24" t="s">
        <v>648</v>
      </c>
      <c r="E2073" s="24" t="s">
        <v>8</v>
      </c>
      <c r="F2073" s="24" t="s">
        <v>9</v>
      </c>
      <c r="G2073" s="24" t="s">
        <v>8</v>
      </c>
      <c r="H2073" s="24" t="s">
        <v>1803</v>
      </c>
      <c r="I2073" s="27">
        <v>1009.48</v>
      </c>
    </row>
    <row r="2074" spans="2:9" ht="16">
      <c r="B2074" s="24" t="s">
        <v>119</v>
      </c>
      <c r="C2074" s="24" t="s">
        <v>6</v>
      </c>
      <c r="D2074" s="24" t="s">
        <v>1804</v>
      </c>
      <c r="E2074" s="24" t="s">
        <v>8</v>
      </c>
      <c r="F2074" s="24" t="s">
        <v>9</v>
      </c>
      <c r="G2074" s="24" t="s">
        <v>8</v>
      </c>
      <c r="H2074" s="24" t="s">
        <v>1805</v>
      </c>
      <c r="I2074" s="27">
        <v>39.38</v>
      </c>
    </row>
    <row r="2075" spans="2:9" ht="16">
      <c r="B2075" s="24" t="s">
        <v>8</v>
      </c>
      <c r="C2075" s="24" t="s">
        <v>6</v>
      </c>
      <c r="D2075" s="24" t="s">
        <v>907</v>
      </c>
      <c r="E2075" s="24" t="s">
        <v>8</v>
      </c>
      <c r="F2075" s="24" t="s">
        <v>9</v>
      </c>
      <c r="G2075" s="24" t="s">
        <v>8</v>
      </c>
      <c r="H2075" s="24" t="s">
        <v>513</v>
      </c>
      <c r="I2075" s="27">
        <v>148.47</v>
      </c>
    </row>
    <row r="2076" spans="2:9" ht="16">
      <c r="B2076" s="24" t="s">
        <v>1569</v>
      </c>
      <c r="C2076" s="24" t="s">
        <v>6</v>
      </c>
      <c r="D2076" s="24" t="s">
        <v>1470</v>
      </c>
      <c r="E2076" s="24" t="s">
        <v>8</v>
      </c>
      <c r="F2076" s="24" t="s">
        <v>9</v>
      </c>
      <c r="G2076" s="24" t="s">
        <v>8</v>
      </c>
      <c r="H2076" s="24" t="s">
        <v>1806</v>
      </c>
      <c r="I2076" s="27">
        <v>87.25</v>
      </c>
    </row>
    <row r="2077" spans="2:9" ht="16">
      <c r="B2077" s="24" t="s">
        <v>1569</v>
      </c>
      <c r="C2077" s="24" t="s">
        <v>6</v>
      </c>
      <c r="D2077" s="24" t="s">
        <v>901</v>
      </c>
      <c r="E2077" s="24" t="s">
        <v>8</v>
      </c>
      <c r="F2077" s="24" t="s">
        <v>9</v>
      </c>
      <c r="G2077" s="24" t="s">
        <v>8</v>
      </c>
      <c r="H2077" s="24" t="s">
        <v>1806</v>
      </c>
      <c r="I2077" s="27">
        <v>21.26</v>
      </c>
    </row>
    <row r="2078" spans="2:9" ht="16">
      <c r="B2078" s="24" t="s">
        <v>1569</v>
      </c>
      <c r="C2078" s="24" t="s">
        <v>6</v>
      </c>
      <c r="D2078" s="24" t="s">
        <v>1113</v>
      </c>
      <c r="E2078" s="24" t="s">
        <v>8</v>
      </c>
      <c r="F2078" s="24" t="s">
        <v>9</v>
      </c>
      <c r="G2078" s="24" t="s">
        <v>8</v>
      </c>
      <c r="H2078" s="24" t="s">
        <v>1806</v>
      </c>
      <c r="I2078" s="27">
        <v>70.34</v>
      </c>
    </row>
    <row r="2079" spans="2:9" ht="16">
      <c r="B2079" s="24" t="s">
        <v>119</v>
      </c>
      <c r="C2079" s="24" t="s">
        <v>6</v>
      </c>
      <c r="D2079" s="24" t="s">
        <v>1804</v>
      </c>
      <c r="E2079" s="24" t="s">
        <v>8</v>
      </c>
      <c r="F2079" s="24" t="s">
        <v>9</v>
      </c>
      <c r="G2079" s="24" t="s">
        <v>8</v>
      </c>
      <c r="H2079" s="24" t="s">
        <v>1807</v>
      </c>
      <c r="I2079" s="27">
        <v>19.65</v>
      </c>
    </row>
    <row r="2080" spans="2:9" ht="16">
      <c r="B2080" s="24" t="s">
        <v>119</v>
      </c>
      <c r="C2080" s="24" t="s">
        <v>6</v>
      </c>
      <c r="D2080" s="24" t="s">
        <v>1026</v>
      </c>
      <c r="E2080" s="24" t="s">
        <v>8</v>
      </c>
      <c r="F2080" s="24" t="s">
        <v>9</v>
      </c>
      <c r="G2080" s="24" t="s">
        <v>8</v>
      </c>
      <c r="H2080" s="24" t="s">
        <v>649</v>
      </c>
      <c r="I2080" s="27">
        <v>11.83</v>
      </c>
    </row>
    <row r="2081" spans="2:9" ht="16">
      <c r="B2081" s="24" t="s">
        <v>119</v>
      </c>
      <c r="C2081" s="24" t="s">
        <v>6</v>
      </c>
      <c r="D2081" s="24" t="s">
        <v>1290</v>
      </c>
      <c r="E2081" s="24" t="s">
        <v>8</v>
      </c>
      <c r="F2081" s="24" t="s">
        <v>9</v>
      </c>
      <c r="G2081" s="24" t="s">
        <v>8</v>
      </c>
      <c r="H2081" s="24" t="s">
        <v>649</v>
      </c>
      <c r="I2081" s="27">
        <v>27.92</v>
      </c>
    </row>
    <row r="2082" spans="2:9" ht="16">
      <c r="B2082" s="24" t="s">
        <v>119</v>
      </c>
      <c r="C2082" s="24" t="s">
        <v>6</v>
      </c>
      <c r="D2082" s="24" t="s">
        <v>1804</v>
      </c>
      <c r="E2082" s="24" t="s">
        <v>8</v>
      </c>
      <c r="F2082" s="24" t="s">
        <v>9</v>
      </c>
      <c r="G2082" s="24" t="s">
        <v>8</v>
      </c>
      <c r="H2082" s="24" t="s">
        <v>649</v>
      </c>
      <c r="I2082" s="27">
        <v>33.9</v>
      </c>
    </row>
    <row r="2083" spans="2:9" ht="16">
      <c r="B2083" s="24" t="s">
        <v>127</v>
      </c>
      <c r="C2083" s="24" t="s">
        <v>6</v>
      </c>
      <c r="D2083" s="24" t="s">
        <v>994</v>
      </c>
      <c r="E2083" s="24" t="s">
        <v>8</v>
      </c>
      <c r="F2083" s="24" t="s">
        <v>9</v>
      </c>
      <c r="G2083" s="24" t="s">
        <v>8</v>
      </c>
      <c r="H2083" s="24" t="s">
        <v>1115</v>
      </c>
      <c r="I2083" s="27">
        <v>26.22</v>
      </c>
    </row>
    <row r="2084" spans="2:9" ht="16">
      <c r="B2084" s="24" t="s">
        <v>5</v>
      </c>
      <c r="C2084" s="24" t="s">
        <v>13</v>
      </c>
      <c r="D2084" s="24" t="s">
        <v>918</v>
      </c>
      <c r="E2084" s="24" t="s">
        <v>1808</v>
      </c>
      <c r="F2084" s="24" t="s">
        <v>9</v>
      </c>
      <c r="G2084" s="24" t="s">
        <v>8</v>
      </c>
      <c r="H2084" s="24" t="s">
        <v>8</v>
      </c>
      <c r="I2084" s="27">
        <v>13.37</v>
      </c>
    </row>
    <row r="2085" spans="1:9" ht="16">
      <c r="A2085" s="35" t="s">
        <v>40</v>
      </c>
      <c r="I2085" s="28">
        <f>I2067+I2068+I2069+I2070+I2071+I2072+I2073+I2074+I2075+I2076+I2077+I2078+I2079+I2080+I2081+I2082+I2083+I2084</f>
        <v>1780.0700000000002</v>
      </c>
    </row>
    <row r="2086" spans="1:1" ht="16">
      <c r="A2086" s="34" t="s">
        <v>1797</v>
      </c>
    </row>
    <row r="2087" spans="2:9" ht="16">
      <c r="B2087" s="24" t="s">
        <v>117</v>
      </c>
      <c r="C2087" s="24" t="s">
        <v>6</v>
      </c>
      <c r="D2087" s="24" t="s">
        <v>1290</v>
      </c>
      <c r="E2087" s="24" t="s">
        <v>8</v>
      </c>
      <c r="F2087" s="24" t="s">
        <v>9</v>
      </c>
      <c r="G2087" s="24" t="s">
        <v>8</v>
      </c>
      <c r="H2087" s="24" t="s">
        <v>1809</v>
      </c>
      <c r="I2087" s="27">
        <v>11.34</v>
      </c>
    </row>
    <row r="2088" spans="1:9" ht="16">
      <c r="A2088" s="35" t="s">
        <v>267</v>
      </c>
      <c r="I2088" s="28">
        <f>I2086+I2087</f>
        <v>11.34</v>
      </c>
    </row>
    <row r="2089" spans="1:1" ht="16">
      <c r="A2089" s="34" t="s">
        <v>1797</v>
      </c>
    </row>
    <row r="2090" spans="2:9" ht="16">
      <c r="B2090" s="24" t="s">
        <v>45</v>
      </c>
      <c r="C2090" s="24" t="s">
        <v>6</v>
      </c>
      <c r="D2090" s="24" t="s">
        <v>451</v>
      </c>
      <c r="E2090" s="24" t="s">
        <v>8</v>
      </c>
      <c r="F2090" s="24" t="s">
        <v>9</v>
      </c>
      <c r="G2090" s="24" t="s">
        <v>8</v>
      </c>
      <c r="H2090" s="24" t="s">
        <v>47</v>
      </c>
      <c r="I2090" s="27">
        <v>879.47</v>
      </c>
    </row>
    <row r="2091" spans="2:9" ht="16">
      <c r="B2091" s="24" t="s">
        <v>8</v>
      </c>
      <c r="C2091" s="24" t="s">
        <v>6</v>
      </c>
      <c r="D2091" s="24" t="s">
        <v>550</v>
      </c>
      <c r="E2091" s="24" t="s">
        <v>8</v>
      </c>
      <c r="F2091" s="24" t="s">
        <v>9</v>
      </c>
      <c r="G2091" s="24" t="s">
        <v>8</v>
      </c>
      <c r="H2091" s="24" t="s">
        <v>47</v>
      </c>
      <c r="I2091" s="27">
        <v>1140.54</v>
      </c>
    </row>
    <row r="2092" spans="2:9" ht="16">
      <c r="B2092" s="24" t="s">
        <v>8</v>
      </c>
      <c r="C2092" s="24" t="s">
        <v>6</v>
      </c>
      <c r="D2092" s="24" t="s">
        <v>549</v>
      </c>
      <c r="E2092" s="24" t="s">
        <v>8</v>
      </c>
      <c r="F2092" s="24" t="s">
        <v>9</v>
      </c>
      <c r="G2092" s="24" t="s">
        <v>8</v>
      </c>
      <c r="H2092" s="24" t="s">
        <v>47</v>
      </c>
      <c r="I2092" s="27">
        <v>102.52</v>
      </c>
    </row>
    <row r="2093" spans="1:9" ht="16">
      <c r="A2093" s="35" t="s">
        <v>50</v>
      </c>
      <c r="I2093" s="28">
        <f>I2089+I2090+I2091+I2092</f>
        <v>2122.53</v>
      </c>
    </row>
    <row r="2094" spans="1:1" ht="16">
      <c r="A2094" s="34" t="s">
        <v>1797</v>
      </c>
    </row>
    <row r="2095" spans="2:9" ht="16">
      <c r="B2095" s="24" t="s">
        <v>51</v>
      </c>
      <c r="C2095" s="24" t="s">
        <v>6</v>
      </c>
      <c r="D2095" s="24" t="s">
        <v>556</v>
      </c>
      <c r="E2095" s="24" t="s">
        <v>8</v>
      </c>
      <c r="F2095" s="24" t="s">
        <v>9</v>
      </c>
      <c r="G2095" s="24" t="s">
        <v>8</v>
      </c>
      <c r="H2095" s="24" t="s">
        <v>53</v>
      </c>
      <c r="I2095" s="27">
        <v>355.14</v>
      </c>
    </row>
    <row r="2096" spans="2:9" ht="16">
      <c r="B2096" s="24" t="s">
        <v>51</v>
      </c>
      <c r="C2096" s="24" t="s">
        <v>6</v>
      </c>
      <c r="D2096" s="24" t="s">
        <v>558</v>
      </c>
      <c r="E2096" s="24" t="s">
        <v>8</v>
      </c>
      <c r="F2096" s="24" t="s">
        <v>9</v>
      </c>
      <c r="G2096" s="24" t="s">
        <v>8</v>
      </c>
      <c r="H2096" s="24" t="s">
        <v>53</v>
      </c>
      <c r="I2096" s="27">
        <v>837.14</v>
      </c>
    </row>
    <row r="2097" spans="2:9" ht="16">
      <c r="B2097" s="24" t="s">
        <v>51</v>
      </c>
      <c r="C2097" s="24" t="s">
        <v>6</v>
      </c>
      <c r="D2097" s="24" t="s">
        <v>560</v>
      </c>
      <c r="E2097" s="24" t="s">
        <v>8</v>
      </c>
      <c r="F2097" s="24" t="s">
        <v>9</v>
      </c>
      <c r="G2097" s="24" t="s">
        <v>8</v>
      </c>
      <c r="H2097" s="24" t="s">
        <v>53</v>
      </c>
      <c r="I2097" s="27">
        <v>951.28</v>
      </c>
    </row>
    <row r="2098" spans="2:9" ht="16">
      <c r="B2098" s="24" t="s">
        <v>51</v>
      </c>
      <c r="C2098" s="24" t="s">
        <v>6</v>
      </c>
      <c r="D2098" s="24" t="s">
        <v>460</v>
      </c>
      <c r="E2098" s="24" t="s">
        <v>8</v>
      </c>
      <c r="F2098" s="24" t="s">
        <v>9</v>
      </c>
      <c r="G2098" s="24" t="s">
        <v>8</v>
      </c>
      <c r="H2098" s="24" t="s">
        <v>53</v>
      </c>
      <c r="I2098" s="27">
        <v>192.18</v>
      </c>
    </row>
    <row r="2099" spans="2:9" ht="16">
      <c r="B2099" s="24" t="s">
        <v>51</v>
      </c>
      <c r="C2099" s="24" t="s">
        <v>6</v>
      </c>
      <c r="D2099" s="24" t="s">
        <v>551</v>
      </c>
      <c r="E2099" s="24" t="s">
        <v>8</v>
      </c>
      <c r="F2099" s="24" t="s">
        <v>9</v>
      </c>
      <c r="G2099" s="24" t="s">
        <v>8</v>
      </c>
      <c r="H2099" s="24" t="s">
        <v>53</v>
      </c>
      <c r="I2099" s="27">
        <v>279.04</v>
      </c>
    </row>
    <row r="2100" spans="2:9" ht="16">
      <c r="B2100" s="24" t="s">
        <v>51</v>
      </c>
      <c r="C2100" s="24" t="s">
        <v>6</v>
      </c>
      <c r="D2100" s="24" t="s">
        <v>555</v>
      </c>
      <c r="E2100" s="24" t="s">
        <v>8</v>
      </c>
      <c r="F2100" s="24" t="s">
        <v>9</v>
      </c>
      <c r="G2100" s="24" t="s">
        <v>8</v>
      </c>
      <c r="H2100" s="24" t="s">
        <v>53</v>
      </c>
      <c r="I2100" s="27">
        <v>583.47</v>
      </c>
    </row>
    <row r="2101" spans="2:9" ht="16">
      <c r="B2101" s="24" t="s">
        <v>51</v>
      </c>
      <c r="C2101" s="24" t="s">
        <v>6</v>
      </c>
      <c r="D2101" s="24" t="s">
        <v>559</v>
      </c>
      <c r="E2101" s="24" t="s">
        <v>8</v>
      </c>
      <c r="F2101" s="24" t="s">
        <v>9</v>
      </c>
      <c r="G2101" s="24" t="s">
        <v>8</v>
      </c>
      <c r="H2101" s="24" t="s">
        <v>53</v>
      </c>
      <c r="I2101" s="27">
        <v>355.14</v>
      </c>
    </row>
    <row r="2102" spans="2:9" ht="16">
      <c r="B2102" s="24" t="s">
        <v>51</v>
      </c>
      <c r="C2102" s="24" t="s">
        <v>6</v>
      </c>
      <c r="D2102" s="24" t="s">
        <v>557</v>
      </c>
      <c r="E2102" s="24" t="s">
        <v>8</v>
      </c>
      <c r="F2102" s="24" t="s">
        <v>9</v>
      </c>
      <c r="G2102" s="24" t="s">
        <v>8</v>
      </c>
      <c r="H2102" s="24" t="s">
        <v>53</v>
      </c>
      <c r="I2102" s="27">
        <v>791.22</v>
      </c>
    </row>
    <row r="2103" spans="1:9" ht="16">
      <c r="A2103" s="35" t="s">
        <v>67</v>
      </c>
      <c r="I2103" s="28">
        <f>I2094+I2095+I2096+I2097+I2098+I2099+I2100+I2101+I2102</f>
        <v>4344.61</v>
      </c>
    </row>
    <row r="2104" spans="1:9" ht="16">
      <c r="A2104" s="36" t="s">
        <v>1810</v>
      </c>
      <c r="I2104" s="28">
        <f>I2085+I2088+I2093+I2103</f>
        <v>8258.55</v>
      </c>
    </row>
    <row r="2105" spans="1:1" ht="16">
      <c r="A2105" s="33" t="s">
        <v>1811</v>
      </c>
    </row>
    <row r="2106" spans="1:1" ht="16">
      <c r="A2106" s="34" t="s">
        <v>1812</v>
      </c>
    </row>
    <row r="2107" spans="2:9" ht="16">
      <c r="B2107" s="24" t="s">
        <v>961</v>
      </c>
      <c r="C2107" s="24" t="s">
        <v>6</v>
      </c>
      <c r="D2107" s="24" t="s">
        <v>1813</v>
      </c>
      <c r="E2107" s="24" t="s">
        <v>8</v>
      </c>
      <c r="F2107" s="24" t="s">
        <v>9</v>
      </c>
      <c r="G2107" s="24" t="s">
        <v>8</v>
      </c>
      <c r="H2107" s="24" t="s">
        <v>1814</v>
      </c>
      <c r="I2107" s="27">
        <v>159.3</v>
      </c>
    </row>
    <row r="2108" spans="1:9" ht="16">
      <c r="A2108" s="35" t="s">
        <v>67</v>
      </c>
      <c r="I2108" s="28">
        <f>I2106+I2107</f>
        <v>159.3</v>
      </c>
    </row>
    <row r="2109" spans="1:9" ht="16">
      <c r="A2109" s="36" t="s">
        <v>1815</v>
      </c>
      <c r="I2109" s="28">
        <f>I2108</f>
        <v>159.3</v>
      </c>
    </row>
    <row r="2110" spans="1:1" ht="16">
      <c r="A2110" s="33" t="s">
        <v>172</v>
      </c>
    </row>
    <row r="2111" spans="1:1" ht="16">
      <c r="A2111" s="34" t="s">
        <v>1816</v>
      </c>
    </row>
    <row r="2112" spans="2:9" ht="16">
      <c r="B2112" s="24" t="s">
        <v>77</v>
      </c>
      <c r="C2112" s="24" t="s">
        <v>13</v>
      </c>
      <c r="D2112" s="24" t="s">
        <v>974</v>
      </c>
      <c r="E2112" s="24" t="s">
        <v>1817</v>
      </c>
      <c r="F2112" s="24" t="s">
        <v>9</v>
      </c>
      <c r="G2112" s="24" t="s">
        <v>8</v>
      </c>
      <c r="H2112" s="24" t="s">
        <v>1244</v>
      </c>
      <c r="I2112" s="27">
        <v>616.32</v>
      </c>
    </row>
    <row r="2113" spans="1:9" ht="16">
      <c r="A2113" s="35" t="s">
        <v>81</v>
      </c>
      <c r="I2113" s="28">
        <f>I2111+I2112</f>
        <v>616.32</v>
      </c>
    </row>
    <row r="2114" spans="1:1" ht="16">
      <c r="A2114" s="34" t="s">
        <v>1816</v>
      </c>
    </row>
    <row r="2115" spans="2:9" ht="16">
      <c r="B2115" s="24" t="s">
        <v>36</v>
      </c>
      <c r="C2115" s="24" t="s">
        <v>6</v>
      </c>
      <c r="D2115" s="24" t="s">
        <v>460</v>
      </c>
      <c r="E2115" s="24" t="s">
        <v>8</v>
      </c>
      <c r="F2115" s="24" t="s">
        <v>9</v>
      </c>
      <c r="G2115" s="24" t="s">
        <v>8</v>
      </c>
      <c r="H2115" s="24" t="s">
        <v>1818</v>
      </c>
      <c r="I2115" s="27">
        <v>267.8</v>
      </c>
    </row>
    <row r="2116" spans="2:9" ht="16">
      <c r="B2116" s="24" t="s">
        <v>86</v>
      </c>
      <c r="C2116" s="24" t="s">
        <v>13</v>
      </c>
      <c r="D2116" s="24" t="s">
        <v>1383</v>
      </c>
      <c r="E2116" s="24" t="s">
        <v>1819</v>
      </c>
      <c r="F2116" s="24" t="s">
        <v>9</v>
      </c>
      <c r="G2116" s="24" t="s">
        <v>8</v>
      </c>
      <c r="H2116" s="24" t="s">
        <v>1820</v>
      </c>
      <c r="I2116" s="27">
        <v>93.83</v>
      </c>
    </row>
    <row r="2117" spans="2:9" ht="16">
      <c r="B2117" s="24" t="s">
        <v>36</v>
      </c>
      <c r="C2117" s="24" t="s">
        <v>6</v>
      </c>
      <c r="D2117" s="24" t="s">
        <v>1633</v>
      </c>
      <c r="E2117" s="24" t="s">
        <v>8</v>
      </c>
      <c r="F2117" s="24" t="s">
        <v>9</v>
      </c>
      <c r="G2117" s="24" t="s">
        <v>8</v>
      </c>
      <c r="H2117" s="24" t="s">
        <v>1821</v>
      </c>
      <c r="I2117" s="27">
        <v>205.99</v>
      </c>
    </row>
    <row r="2118" spans="2:9" ht="16">
      <c r="B2118" s="24" t="s">
        <v>36</v>
      </c>
      <c r="C2118" s="24" t="s">
        <v>6</v>
      </c>
      <c r="D2118" s="24" t="s">
        <v>1822</v>
      </c>
      <c r="E2118" s="24" t="s">
        <v>8</v>
      </c>
      <c r="F2118" s="24" t="s">
        <v>9</v>
      </c>
      <c r="G2118" s="24" t="s">
        <v>8</v>
      </c>
      <c r="H2118" s="24" t="s">
        <v>1823</v>
      </c>
      <c r="I2118" s="27">
        <v>29.53</v>
      </c>
    </row>
    <row r="2119" spans="2:9" ht="16">
      <c r="B2119" s="24" t="s">
        <v>916</v>
      </c>
      <c r="C2119" s="24" t="s">
        <v>6</v>
      </c>
      <c r="D2119" s="24" t="s">
        <v>1824</v>
      </c>
      <c r="E2119" s="24" t="s">
        <v>8</v>
      </c>
      <c r="F2119" s="24" t="s">
        <v>9</v>
      </c>
      <c r="G2119" s="24" t="s">
        <v>8</v>
      </c>
      <c r="H2119" s="24" t="s">
        <v>1825</v>
      </c>
      <c r="I2119" s="27">
        <v>240.01</v>
      </c>
    </row>
    <row r="2120" spans="1:9" ht="16">
      <c r="A2120" s="35" t="s">
        <v>40</v>
      </c>
      <c r="I2120" s="28">
        <f>I2114+I2115+I2116+I2117+I2118+I2119</f>
        <v>837.16</v>
      </c>
    </row>
    <row r="2121" spans="1:1" ht="16">
      <c r="A2121" s="34" t="s">
        <v>1816</v>
      </c>
    </row>
    <row r="2122" spans="2:9" ht="16">
      <c r="B2122" s="24" t="s">
        <v>8</v>
      </c>
      <c r="C2122" s="24" t="s">
        <v>6</v>
      </c>
      <c r="D2122" s="24" t="s">
        <v>549</v>
      </c>
      <c r="E2122" s="24" t="s">
        <v>8</v>
      </c>
      <c r="F2122" s="24" t="s">
        <v>9</v>
      </c>
      <c r="G2122" s="24" t="s">
        <v>8</v>
      </c>
      <c r="H2122" s="24" t="s">
        <v>47</v>
      </c>
      <c r="I2122" s="27">
        <v>1025.2</v>
      </c>
    </row>
    <row r="2123" spans="2:9" ht="16">
      <c r="B2123" s="24" t="s">
        <v>8</v>
      </c>
      <c r="C2123" s="24" t="s">
        <v>6</v>
      </c>
      <c r="D2123" s="24" t="s">
        <v>1597</v>
      </c>
      <c r="E2123" s="24" t="s">
        <v>8</v>
      </c>
      <c r="F2123" s="24" t="s">
        <v>9</v>
      </c>
      <c r="G2123" s="24" t="s">
        <v>8</v>
      </c>
      <c r="H2123" s="24" t="s">
        <v>47</v>
      </c>
      <c r="I2123" s="27">
        <v>172.12</v>
      </c>
    </row>
    <row r="2124" spans="2:9" ht="16">
      <c r="B2124" s="24" t="s">
        <v>45</v>
      </c>
      <c r="C2124" s="24" t="s">
        <v>6</v>
      </c>
      <c r="D2124" s="24" t="s">
        <v>928</v>
      </c>
      <c r="E2124" s="24" t="s">
        <v>8</v>
      </c>
      <c r="F2124" s="24" t="s">
        <v>9</v>
      </c>
      <c r="G2124" s="24" t="s">
        <v>8</v>
      </c>
      <c r="H2124" s="24" t="s">
        <v>47</v>
      </c>
      <c r="I2124" s="27">
        <v>672.48</v>
      </c>
    </row>
    <row r="2125" spans="2:9" ht="16">
      <c r="B2125" s="24" t="s">
        <v>8</v>
      </c>
      <c r="C2125" s="24" t="s">
        <v>6</v>
      </c>
      <c r="D2125" s="24" t="s">
        <v>549</v>
      </c>
      <c r="E2125" s="24" t="s">
        <v>8</v>
      </c>
      <c r="F2125" s="24" t="s">
        <v>9</v>
      </c>
      <c r="G2125" s="24" t="s">
        <v>8</v>
      </c>
      <c r="H2125" s="24" t="s">
        <v>47</v>
      </c>
      <c r="I2125" s="27">
        <v>281.93</v>
      </c>
    </row>
    <row r="2126" spans="1:9" ht="16">
      <c r="A2126" s="35" t="s">
        <v>50</v>
      </c>
      <c r="I2126" s="28">
        <f>I2121+I2122+I2123+I2124+I2125</f>
        <v>2151.73</v>
      </c>
    </row>
    <row r="2127" spans="1:1" ht="16">
      <c r="A2127" s="34" t="s">
        <v>1816</v>
      </c>
    </row>
    <row r="2128" spans="2:9" ht="16">
      <c r="B2128" s="24" t="s">
        <v>8</v>
      </c>
      <c r="C2128" s="24" t="s">
        <v>6</v>
      </c>
      <c r="D2128" s="24" t="s">
        <v>562</v>
      </c>
      <c r="E2128" s="24" t="s">
        <v>8</v>
      </c>
      <c r="F2128" s="24" t="s">
        <v>9</v>
      </c>
      <c r="G2128" s="24" t="s">
        <v>8</v>
      </c>
      <c r="H2128" s="24" t="s">
        <v>53</v>
      </c>
      <c r="I2128" s="27">
        <v>991.74</v>
      </c>
    </row>
    <row r="2129" spans="2:9" ht="16">
      <c r="B2129" s="24" t="s">
        <v>961</v>
      </c>
      <c r="C2129" s="24" t="s">
        <v>6</v>
      </c>
      <c r="D2129" s="24" t="s">
        <v>1584</v>
      </c>
      <c r="E2129" s="24" t="s">
        <v>8</v>
      </c>
      <c r="F2129" s="24" t="s">
        <v>9</v>
      </c>
      <c r="G2129" s="24" t="s">
        <v>8</v>
      </c>
      <c r="H2129" s="24" t="s">
        <v>53</v>
      </c>
      <c r="I2129" s="27">
        <v>197.32</v>
      </c>
    </row>
    <row r="2130" spans="2:9" ht="16">
      <c r="B2130" s="24" t="s">
        <v>961</v>
      </c>
      <c r="C2130" s="24" t="s">
        <v>6</v>
      </c>
      <c r="D2130" s="24" t="s">
        <v>1826</v>
      </c>
      <c r="E2130" s="24" t="s">
        <v>8</v>
      </c>
      <c r="F2130" s="24" t="s">
        <v>9</v>
      </c>
      <c r="G2130" s="24" t="s">
        <v>8</v>
      </c>
      <c r="H2130" s="24" t="s">
        <v>53</v>
      </c>
      <c r="I2130" s="27">
        <v>208.1</v>
      </c>
    </row>
    <row r="2131" spans="2:9" ht="16">
      <c r="B2131" s="24" t="s">
        <v>8</v>
      </c>
      <c r="C2131" s="24" t="s">
        <v>6</v>
      </c>
      <c r="D2131" s="24" t="s">
        <v>1208</v>
      </c>
      <c r="E2131" s="24" t="s">
        <v>8</v>
      </c>
      <c r="F2131" s="24" t="s">
        <v>9</v>
      </c>
      <c r="G2131" s="24" t="s">
        <v>8</v>
      </c>
      <c r="H2131" s="24" t="s">
        <v>53</v>
      </c>
      <c r="I2131" s="27">
        <v>1625.25</v>
      </c>
    </row>
    <row r="2132" spans="2:9" ht="16">
      <c r="B2132" s="24" t="s">
        <v>961</v>
      </c>
      <c r="C2132" s="24" t="s">
        <v>6</v>
      </c>
      <c r="D2132" s="24" t="s">
        <v>1827</v>
      </c>
      <c r="E2132" s="24" t="s">
        <v>8</v>
      </c>
      <c r="F2132" s="24" t="s">
        <v>9</v>
      </c>
      <c r="G2132" s="24" t="s">
        <v>8</v>
      </c>
      <c r="H2132" s="24" t="s">
        <v>53</v>
      </c>
      <c r="I2132" s="27">
        <v>130.08</v>
      </c>
    </row>
    <row r="2133" spans="2:9" ht="16">
      <c r="B2133" s="24" t="s">
        <v>51</v>
      </c>
      <c r="C2133" s="24" t="s">
        <v>6</v>
      </c>
      <c r="D2133" s="24" t="s">
        <v>460</v>
      </c>
      <c r="E2133" s="24" t="s">
        <v>8</v>
      </c>
      <c r="F2133" s="24" t="s">
        <v>9</v>
      </c>
      <c r="G2133" s="24" t="s">
        <v>8</v>
      </c>
      <c r="H2133" s="24" t="s">
        <v>53</v>
      </c>
      <c r="I2133" s="27">
        <v>406.31</v>
      </c>
    </row>
    <row r="2134" spans="2:9" ht="16">
      <c r="B2134" s="24" t="s">
        <v>961</v>
      </c>
      <c r="C2134" s="24" t="s">
        <v>6</v>
      </c>
      <c r="D2134" s="24" t="s">
        <v>1602</v>
      </c>
      <c r="E2134" s="24" t="s">
        <v>8</v>
      </c>
      <c r="F2134" s="24" t="s">
        <v>9</v>
      </c>
      <c r="G2134" s="24" t="s">
        <v>8</v>
      </c>
      <c r="H2134" s="24" t="s">
        <v>53</v>
      </c>
      <c r="I2134" s="27">
        <v>726.31</v>
      </c>
    </row>
    <row r="2135" spans="2:9" ht="16">
      <c r="B2135" s="24" t="s">
        <v>51</v>
      </c>
      <c r="C2135" s="24" t="s">
        <v>6</v>
      </c>
      <c r="D2135" s="24" t="s">
        <v>1116</v>
      </c>
      <c r="E2135" s="24" t="s">
        <v>8</v>
      </c>
      <c r="F2135" s="24" t="s">
        <v>9</v>
      </c>
      <c r="G2135" s="24" t="s">
        <v>8</v>
      </c>
      <c r="H2135" s="24" t="s">
        <v>53</v>
      </c>
      <c r="I2135" s="27">
        <v>3307.35</v>
      </c>
    </row>
    <row r="2136" spans="1:9" ht="16">
      <c r="A2136" s="35" t="s">
        <v>67</v>
      </c>
      <c r="I2136" s="28">
        <f>I2127+I2128+I2129+I2130+I2131+I2132+I2133+I2134+I2135</f>
        <v>7592.459999999999</v>
      </c>
    </row>
    <row r="2137" spans="1:9" ht="16">
      <c r="A2137" s="36" t="s">
        <v>1828</v>
      </c>
      <c r="I2137" s="28">
        <f>I2113+I2120+I2126+I2136</f>
        <v>11197.669999999998</v>
      </c>
    </row>
    <row r="2138" spans="1:1" ht="16">
      <c r="A2138" s="33" t="s">
        <v>324</v>
      </c>
    </row>
    <row r="2139" spans="1:1" ht="16">
      <c r="A2139" s="34" t="s">
        <v>1829</v>
      </c>
    </row>
    <row r="2140" spans="2:9" ht="16">
      <c r="B2140" s="24" t="s">
        <v>1830</v>
      </c>
      <c r="C2140" s="24" t="s">
        <v>6</v>
      </c>
      <c r="D2140" s="24" t="s">
        <v>648</v>
      </c>
      <c r="E2140" s="24" t="s">
        <v>8</v>
      </c>
      <c r="F2140" s="24" t="s">
        <v>9</v>
      </c>
      <c r="G2140" s="24" t="s">
        <v>8</v>
      </c>
      <c r="H2140" s="24" t="s">
        <v>1831</v>
      </c>
      <c r="I2140" s="27">
        <v>39.8</v>
      </c>
    </row>
    <row r="2141" spans="2:9" ht="16">
      <c r="B2141" s="24" t="s">
        <v>36</v>
      </c>
      <c r="C2141" s="24" t="s">
        <v>6</v>
      </c>
      <c r="D2141" s="24" t="s">
        <v>523</v>
      </c>
      <c r="E2141" s="24" t="s">
        <v>8</v>
      </c>
      <c r="F2141" s="24" t="s">
        <v>9</v>
      </c>
      <c r="G2141" s="24" t="s">
        <v>8</v>
      </c>
      <c r="H2141" s="24" t="s">
        <v>1832</v>
      </c>
      <c r="I2141" s="27">
        <v>39.14</v>
      </c>
    </row>
    <row r="2142" spans="2:9" ht="16">
      <c r="B2142" s="24" t="s">
        <v>36</v>
      </c>
      <c r="C2142" s="24" t="s">
        <v>6</v>
      </c>
      <c r="D2142" s="24" t="s">
        <v>523</v>
      </c>
      <c r="E2142" s="24" t="s">
        <v>8</v>
      </c>
      <c r="F2142" s="24" t="s">
        <v>9</v>
      </c>
      <c r="G2142" s="24" t="s">
        <v>8</v>
      </c>
      <c r="H2142" s="24" t="s">
        <v>1833</v>
      </c>
      <c r="I2142" s="27">
        <v>25.61</v>
      </c>
    </row>
    <row r="2143" spans="2:9" ht="16">
      <c r="B2143" s="24" t="s">
        <v>1451</v>
      </c>
      <c r="C2143" s="24" t="s">
        <v>6</v>
      </c>
      <c r="D2143" s="24" t="s">
        <v>918</v>
      </c>
      <c r="E2143" s="24" t="s">
        <v>8</v>
      </c>
      <c r="F2143" s="24" t="s">
        <v>9</v>
      </c>
      <c r="G2143" s="24" t="s">
        <v>8</v>
      </c>
      <c r="H2143" s="24" t="s">
        <v>1834</v>
      </c>
      <c r="I2143" s="27">
        <v>266.25</v>
      </c>
    </row>
    <row r="2144" spans="2:9" ht="16">
      <c r="B2144" s="24" t="s">
        <v>119</v>
      </c>
      <c r="C2144" s="24" t="s">
        <v>6</v>
      </c>
      <c r="D2144" s="24" t="s">
        <v>1252</v>
      </c>
      <c r="E2144" s="24" t="s">
        <v>8</v>
      </c>
      <c r="F2144" s="24" t="s">
        <v>9</v>
      </c>
      <c r="G2144" s="24" t="s">
        <v>8</v>
      </c>
      <c r="H2144" s="24" t="s">
        <v>1835</v>
      </c>
      <c r="I2144" s="27">
        <v>17.41</v>
      </c>
    </row>
    <row r="2145" spans="2:9" ht="16">
      <c r="B2145" s="24" t="s">
        <v>119</v>
      </c>
      <c r="C2145" s="24" t="s">
        <v>6</v>
      </c>
      <c r="D2145" s="24" t="s">
        <v>1252</v>
      </c>
      <c r="E2145" s="24" t="s">
        <v>8</v>
      </c>
      <c r="F2145" s="24" t="s">
        <v>9</v>
      </c>
      <c r="G2145" s="24" t="s">
        <v>8</v>
      </c>
      <c r="H2145" s="24" t="s">
        <v>1836</v>
      </c>
      <c r="I2145" s="27">
        <v>129.44</v>
      </c>
    </row>
    <row r="2146" spans="2:9" ht="16">
      <c r="B2146" s="24" t="s">
        <v>119</v>
      </c>
      <c r="C2146" s="24" t="s">
        <v>6</v>
      </c>
      <c r="D2146" s="24" t="s">
        <v>1252</v>
      </c>
      <c r="E2146" s="24" t="s">
        <v>8</v>
      </c>
      <c r="F2146" s="24" t="s">
        <v>9</v>
      </c>
      <c r="G2146" s="24" t="s">
        <v>8</v>
      </c>
      <c r="H2146" s="24" t="s">
        <v>1837</v>
      </c>
      <c r="I2146" s="27">
        <v>52.71</v>
      </c>
    </row>
    <row r="2147" spans="2:9" ht="16">
      <c r="B2147" s="24" t="s">
        <v>127</v>
      </c>
      <c r="C2147" s="24" t="s">
        <v>6</v>
      </c>
      <c r="D2147" s="24" t="s">
        <v>1364</v>
      </c>
      <c r="E2147" s="24" t="s">
        <v>8</v>
      </c>
      <c r="F2147" s="24" t="s">
        <v>9</v>
      </c>
      <c r="G2147" s="24" t="s">
        <v>8</v>
      </c>
      <c r="H2147" s="24" t="s">
        <v>1838</v>
      </c>
      <c r="I2147" s="27">
        <v>84.14</v>
      </c>
    </row>
    <row r="2148" spans="2:9" ht="16">
      <c r="B2148" s="24" t="s">
        <v>127</v>
      </c>
      <c r="C2148" s="24" t="s">
        <v>6</v>
      </c>
      <c r="D2148" s="24" t="s">
        <v>523</v>
      </c>
      <c r="E2148" s="24" t="s">
        <v>8</v>
      </c>
      <c r="F2148" s="24" t="s">
        <v>9</v>
      </c>
      <c r="G2148" s="24" t="s">
        <v>8</v>
      </c>
      <c r="H2148" s="24" t="s">
        <v>1115</v>
      </c>
      <c r="I2148" s="27">
        <v>20.2</v>
      </c>
    </row>
    <row r="2149" spans="1:9" ht="16">
      <c r="A2149" s="35" t="s">
        <v>40</v>
      </c>
      <c r="I2149" s="28">
        <f>I2139+I2140+I2141+I2142+I2143+I2144+I2145+I2146+I2147+I2148</f>
        <v>674.7000000000002</v>
      </c>
    </row>
    <row r="2150" spans="1:1" ht="16">
      <c r="A2150" s="34" t="s">
        <v>1829</v>
      </c>
    </row>
    <row r="2151" spans="2:9" ht="16">
      <c r="B2151" s="24" t="s">
        <v>8</v>
      </c>
      <c r="C2151" s="24" t="s">
        <v>6</v>
      </c>
      <c r="D2151" s="24" t="s">
        <v>1205</v>
      </c>
      <c r="E2151" s="24" t="s">
        <v>8</v>
      </c>
      <c r="F2151" s="24" t="s">
        <v>9</v>
      </c>
      <c r="G2151" s="24" t="s">
        <v>8</v>
      </c>
      <c r="H2151" s="24" t="s">
        <v>47</v>
      </c>
      <c r="I2151" s="27">
        <v>450.16</v>
      </c>
    </row>
    <row r="2152" spans="2:9" ht="16">
      <c r="B2152" s="24" t="s">
        <v>8</v>
      </c>
      <c r="C2152" s="24" t="s">
        <v>6</v>
      </c>
      <c r="D2152" s="24" t="s">
        <v>549</v>
      </c>
      <c r="E2152" s="24" t="s">
        <v>8</v>
      </c>
      <c r="F2152" s="24" t="s">
        <v>9</v>
      </c>
      <c r="G2152" s="24" t="s">
        <v>8</v>
      </c>
      <c r="H2152" s="24" t="s">
        <v>47</v>
      </c>
      <c r="I2152" s="27">
        <v>1230.24</v>
      </c>
    </row>
    <row r="2153" spans="2:9" ht="16">
      <c r="B2153" s="24" t="s">
        <v>45</v>
      </c>
      <c r="C2153" s="24" t="s">
        <v>6</v>
      </c>
      <c r="D2153" s="24" t="s">
        <v>928</v>
      </c>
      <c r="E2153" s="24" t="s">
        <v>8</v>
      </c>
      <c r="F2153" s="24" t="s">
        <v>9</v>
      </c>
      <c r="G2153" s="24" t="s">
        <v>8</v>
      </c>
      <c r="H2153" s="24" t="s">
        <v>47</v>
      </c>
      <c r="I2153" s="27">
        <v>4170.6</v>
      </c>
    </row>
    <row r="2154" spans="2:9" ht="16">
      <c r="B2154" s="24" t="s">
        <v>8</v>
      </c>
      <c r="C2154" s="24" t="s">
        <v>6</v>
      </c>
      <c r="D2154" s="24" t="s">
        <v>550</v>
      </c>
      <c r="E2154" s="24" t="s">
        <v>8</v>
      </c>
      <c r="F2154" s="24" t="s">
        <v>9</v>
      </c>
      <c r="G2154" s="24" t="s">
        <v>8</v>
      </c>
      <c r="H2154" s="24" t="s">
        <v>47</v>
      </c>
      <c r="I2154" s="27">
        <v>89.71</v>
      </c>
    </row>
    <row r="2155" spans="2:9" ht="16">
      <c r="B2155" s="24" t="s">
        <v>45</v>
      </c>
      <c r="C2155" s="24" t="s">
        <v>6</v>
      </c>
      <c r="D2155" s="24" t="s">
        <v>451</v>
      </c>
      <c r="E2155" s="24" t="s">
        <v>8</v>
      </c>
      <c r="F2155" s="24" t="s">
        <v>9</v>
      </c>
      <c r="G2155" s="24" t="s">
        <v>8</v>
      </c>
      <c r="H2155" s="24" t="s">
        <v>47</v>
      </c>
      <c r="I2155" s="27">
        <v>1384.02</v>
      </c>
    </row>
    <row r="2156" spans="2:9" ht="16">
      <c r="B2156" s="24" t="s">
        <v>45</v>
      </c>
      <c r="C2156" s="24" t="s">
        <v>6</v>
      </c>
      <c r="D2156" s="24" t="s">
        <v>1596</v>
      </c>
      <c r="E2156" s="24" t="s">
        <v>8</v>
      </c>
      <c r="F2156" s="24" t="s">
        <v>9</v>
      </c>
      <c r="G2156" s="24" t="s">
        <v>8</v>
      </c>
      <c r="H2156" s="24" t="s">
        <v>47</v>
      </c>
      <c r="I2156" s="27">
        <v>79.44</v>
      </c>
    </row>
    <row r="2157" spans="2:9" ht="16">
      <c r="B2157" s="24" t="s">
        <v>8</v>
      </c>
      <c r="C2157" s="24" t="s">
        <v>6</v>
      </c>
      <c r="D2157" s="24" t="s">
        <v>549</v>
      </c>
      <c r="E2157" s="24" t="s">
        <v>8</v>
      </c>
      <c r="F2157" s="24" t="s">
        <v>9</v>
      </c>
      <c r="G2157" s="24" t="s">
        <v>8</v>
      </c>
      <c r="H2157" s="24" t="s">
        <v>47</v>
      </c>
      <c r="I2157" s="27">
        <v>51.26</v>
      </c>
    </row>
    <row r="2158" spans="2:9" ht="16">
      <c r="B2158" s="24" t="s">
        <v>8</v>
      </c>
      <c r="C2158" s="24" t="s">
        <v>6</v>
      </c>
      <c r="D2158" s="24" t="s">
        <v>549</v>
      </c>
      <c r="E2158" s="24" t="s">
        <v>8</v>
      </c>
      <c r="F2158" s="24" t="s">
        <v>9</v>
      </c>
      <c r="G2158" s="24" t="s">
        <v>8</v>
      </c>
      <c r="H2158" s="24" t="s">
        <v>47</v>
      </c>
      <c r="I2158" s="27">
        <v>1230.24</v>
      </c>
    </row>
    <row r="2159" spans="1:9" ht="16">
      <c r="A2159" s="35" t="s">
        <v>50</v>
      </c>
      <c r="I2159" s="28">
        <f>I2150+I2151+I2152+I2153+I2154+I2155+I2156+I2157+I2158</f>
        <v>8685.67</v>
      </c>
    </row>
    <row r="2160" spans="1:1" ht="16">
      <c r="A2160" s="34" t="s">
        <v>1829</v>
      </c>
    </row>
    <row r="2161" spans="2:9" ht="16">
      <c r="B2161" s="24" t="s">
        <v>8</v>
      </c>
      <c r="C2161" s="24" t="s">
        <v>150</v>
      </c>
      <c r="D2161" s="24" t="s">
        <v>1173</v>
      </c>
      <c r="E2161" s="24" t="s">
        <v>1776</v>
      </c>
      <c r="F2161" s="24" t="s">
        <v>9</v>
      </c>
      <c r="G2161" s="24" t="s">
        <v>8</v>
      </c>
      <c r="H2161" s="24" t="s">
        <v>1839</v>
      </c>
      <c r="I2161" s="27">
        <v>470.46</v>
      </c>
    </row>
    <row r="2162" spans="2:9" ht="16">
      <c r="B2162" s="24" t="s">
        <v>51</v>
      </c>
      <c r="C2162" s="24" t="s">
        <v>6</v>
      </c>
      <c r="D2162" s="24" t="s">
        <v>1207</v>
      </c>
      <c r="E2162" s="24" t="s">
        <v>8</v>
      </c>
      <c r="F2162" s="24" t="s">
        <v>9</v>
      </c>
      <c r="G2162" s="24" t="s">
        <v>8</v>
      </c>
      <c r="H2162" s="24" t="s">
        <v>53</v>
      </c>
      <c r="I2162" s="27">
        <v>2371.71</v>
      </c>
    </row>
    <row r="2163" spans="2:9" ht="16">
      <c r="B2163" s="24" t="s">
        <v>51</v>
      </c>
      <c r="C2163" s="24" t="s">
        <v>6</v>
      </c>
      <c r="D2163" s="24" t="s">
        <v>1209</v>
      </c>
      <c r="E2163" s="24" t="s">
        <v>8</v>
      </c>
      <c r="F2163" s="24" t="s">
        <v>9</v>
      </c>
      <c r="G2163" s="24" t="s">
        <v>8</v>
      </c>
      <c r="H2163" s="24" t="s">
        <v>53</v>
      </c>
      <c r="I2163" s="27">
        <v>838.75</v>
      </c>
    </row>
    <row r="2164" spans="2:9" ht="16">
      <c r="B2164" s="24" t="s">
        <v>51</v>
      </c>
      <c r="C2164" s="24" t="s">
        <v>6</v>
      </c>
      <c r="D2164" s="24" t="s">
        <v>984</v>
      </c>
      <c r="E2164" s="24" t="s">
        <v>8</v>
      </c>
      <c r="F2164" s="24" t="s">
        <v>9</v>
      </c>
      <c r="G2164" s="24" t="s">
        <v>8</v>
      </c>
      <c r="H2164" s="24" t="s">
        <v>53</v>
      </c>
      <c r="I2164" s="27">
        <v>3343.38</v>
      </c>
    </row>
    <row r="2165" spans="2:9" ht="16">
      <c r="B2165" s="24" t="s">
        <v>961</v>
      </c>
      <c r="C2165" s="24" t="s">
        <v>6</v>
      </c>
      <c r="D2165" s="24" t="s">
        <v>1603</v>
      </c>
      <c r="E2165" s="24" t="s">
        <v>8</v>
      </c>
      <c r="F2165" s="24" t="s">
        <v>9</v>
      </c>
      <c r="G2165" s="24" t="s">
        <v>8</v>
      </c>
      <c r="H2165" s="24" t="s">
        <v>53</v>
      </c>
      <c r="I2165" s="27">
        <v>153.52</v>
      </c>
    </row>
    <row r="2166" spans="2:9" ht="16">
      <c r="B2166" s="24" t="s">
        <v>51</v>
      </c>
      <c r="C2166" s="24" t="s">
        <v>6</v>
      </c>
      <c r="D2166" s="24" t="s">
        <v>556</v>
      </c>
      <c r="E2166" s="24" t="s">
        <v>8</v>
      </c>
      <c r="F2166" s="24" t="s">
        <v>9</v>
      </c>
      <c r="G2166" s="24" t="s">
        <v>8</v>
      </c>
      <c r="H2166" s="24" t="s">
        <v>53</v>
      </c>
      <c r="I2166" s="27">
        <v>2537.35</v>
      </c>
    </row>
    <row r="2167" spans="2:9" ht="16">
      <c r="B2167" s="24" t="s">
        <v>51</v>
      </c>
      <c r="C2167" s="24" t="s">
        <v>6</v>
      </c>
      <c r="D2167" s="24" t="s">
        <v>1116</v>
      </c>
      <c r="E2167" s="24" t="s">
        <v>8</v>
      </c>
      <c r="F2167" s="24" t="s">
        <v>9</v>
      </c>
      <c r="G2167" s="24" t="s">
        <v>8</v>
      </c>
      <c r="H2167" s="24" t="s">
        <v>53</v>
      </c>
      <c r="I2167" s="27">
        <v>2076.36</v>
      </c>
    </row>
    <row r="2168" spans="2:9" ht="16">
      <c r="B2168" s="24" t="s">
        <v>51</v>
      </c>
      <c r="C2168" s="24" t="s">
        <v>6</v>
      </c>
      <c r="D2168" s="24" t="s">
        <v>1206</v>
      </c>
      <c r="E2168" s="24" t="s">
        <v>8</v>
      </c>
      <c r="F2168" s="24" t="s">
        <v>9</v>
      </c>
      <c r="G2168" s="24" t="s">
        <v>8</v>
      </c>
      <c r="H2168" s="24" t="s">
        <v>53</v>
      </c>
      <c r="I2168" s="27">
        <v>819.71</v>
      </c>
    </row>
    <row r="2169" spans="2:9" ht="16">
      <c r="B2169" s="24" t="s">
        <v>8</v>
      </c>
      <c r="C2169" s="24" t="s">
        <v>6</v>
      </c>
      <c r="D2169" s="24" t="s">
        <v>562</v>
      </c>
      <c r="E2169" s="24" t="s">
        <v>8</v>
      </c>
      <c r="F2169" s="24" t="s">
        <v>9</v>
      </c>
      <c r="G2169" s="24" t="s">
        <v>8</v>
      </c>
      <c r="H2169" s="24" t="s">
        <v>53</v>
      </c>
      <c r="I2169" s="27">
        <v>2527.53</v>
      </c>
    </row>
    <row r="2170" spans="2:9" ht="16">
      <c r="B2170" s="24" t="s">
        <v>51</v>
      </c>
      <c r="C2170" s="24" t="s">
        <v>6</v>
      </c>
      <c r="D2170" s="24" t="s">
        <v>557</v>
      </c>
      <c r="E2170" s="24" t="s">
        <v>8</v>
      </c>
      <c r="F2170" s="24" t="s">
        <v>9</v>
      </c>
      <c r="G2170" s="24" t="s">
        <v>8</v>
      </c>
      <c r="H2170" s="24" t="s">
        <v>53</v>
      </c>
      <c r="I2170" s="27">
        <v>570.77</v>
      </c>
    </row>
    <row r="2171" spans="2:9" ht="16">
      <c r="B2171" s="24" t="s">
        <v>1793</v>
      </c>
      <c r="C2171" s="24" t="s">
        <v>6</v>
      </c>
      <c r="D2171" s="24" t="s">
        <v>1364</v>
      </c>
      <c r="E2171" s="24" t="s">
        <v>8</v>
      </c>
      <c r="F2171" s="24" t="s">
        <v>9</v>
      </c>
      <c r="G2171" s="24" t="s">
        <v>8</v>
      </c>
      <c r="H2171" s="24" t="s">
        <v>1840</v>
      </c>
      <c r="I2171" s="27">
        <v>163.64</v>
      </c>
    </row>
    <row r="2172" spans="1:9" ht="16">
      <c r="A2172" s="35" t="s">
        <v>67</v>
      </c>
      <c r="I2172" s="28">
        <f>I2160+I2161+I2162+I2163+I2164+I2165+I2166+I2167+I2168+I2169+I2170+I2171</f>
        <v>15873.180000000002</v>
      </c>
    </row>
    <row r="2173" spans="1:9" ht="16">
      <c r="A2173" s="36" t="s">
        <v>1841</v>
      </c>
      <c r="I2173" s="28">
        <f>I2149+I2159+I2172</f>
        <v>25233.550000000003</v>
      </c>
    </row>
    <row r="2174" spans="1:1" ht="16">
      <c r="A2174" s="33" t="s">
        <v>324</v>
      </c>
    </row>
    <row r="2175" spans="1:1" ht="16">
      <c r="A2175" s="34" t="s">
        <v>1842</v>
      </c>
    </row>
    <row r="2176" spans="2:9" ht="16">
      <c r="B2176" s="24" t="s">
        <v>119</v>
      </c>
      <c r="C2176" s="24" t="s">
        <v>6</v>
      </c>
      <c r="D2176" s="24" t="s">
        <v>971</v>
      </c>
      <c r="E2176" s="24" t="s">
        <v>8</v>
      </c>
      <c r="F2176" s="24" t="s">
        <v>9</v>
      </c>
      <c r="G2176" s="24" t="s">
        <v>8</v>
      </c>
      <c r="H2176" s="24" t="s">
        <v>1843</v>
      </c>
      <c r="I2176" s="27">
        <v>79.0</v>
      </c>
    </row>
    <row r="2177" spans="2:9" ht="16">
      <c r="B2177" s="24" t="s">
        <v>1441</v>
      </c>
      <c r="C2177" s="24" t="s">
        <v>13</v>
      </c>
      <c r="D2177" s="24" t="s">
        <v>1356</v>
      </c>
      <c r="E2177" s="24" t="s">
        <v>1844</v>
      </c>
      <c r="F2177" s="24" t="s">
        <v>9</v>
      </c>
      <c r="G2177" s="24" t="s">
        <v>8</v>
      </c>
      <c r="H2177" s="24" t="s">
        <v>1444</v>
      </c>
      <c r="I2177" s="27">
        <v>5389.0</v>
      </c>
    </row>
    <row r="2178" spans="2:9" ht="16">
      <c r="B2178" s="24" t="s">
        <v>1441</v>
      </c>
      <c r="C2178" s="24" t="s">
        <v>13</v>
      </c>
      <c r="D2178" s="24" t="s">
        <v>549</v>
      </c>
      <c r="E2178" s="24" t="s">
        <v>1845</v>
      </c>
      <c r="F2178" s="24" t="s">
        <v>9</v>
      </c>
      <c r="G2178" s="24" t="s">
        <v>8</v>
      </c>
      <c r="H2178" s="24" t="s">
        <v>1846</v>
      </c>
      <c r="I2178" s="27">
        <v>1199.0</v>
      </c>
    </row>
    <row r="2179" spans="2:9" ht="16">
      <c r="B2179" s="24" t="s">
        <v>21</v>
      </c>
      <c r="C2179" s="24" t="s">
        <v>13</v>
      </c>
      <c r="D2179" s="24" t="s">
        <v>980</v>
      </c>
      <c r="E2179" s="24" t="s">
        <v>1847</v>
      </c>
      <c r="F2179" s="24" t="s">
        <v>9</v>
      </c>
      <c r="G2179" s="24" t="s">
        <v>8</v>
      </c>
      <c r="H2179" s="24" t="s">
        <v>1848</v>
      </c>
      <c r="I2179" s="27">
        <v>122.02</v>
      </c>
    </row>
    <row r="2180" spans="2:9" ht="16">
      <c r="B2180" s="24" t="s">
        <v>21</v>
      </c>
      <c r="C2180" s="24" t="s">
        <v>13</v>
      </c>
      <c r="D2180" s="24" t="s">
        <v>980</v>
      </c>
      <c r="E2180" s="24" t="s">
        <v>1849</v>
      </c>
      <c r="F2180" s="24" t="s">
        <v>9</v>
      </c>
      <c r="G2180" s="24" t="s">
        <v>8</v>
      </c>
      <c r="H2180" s="24" t="s">
        <v>1848</v>
      </c>
      <c r="I2180" s="27">
        <v>856.46</v>
      </c>
    </row>
    <row r="2181" spans="2:9" ht="16">
      <c r="B2181" s="24" t="s">
        <v>86</v>
      </c>
      <c r="C2181" s="24" t="s">
        <v>13</v>
      </c>
      <c r="D2181" s="24" t="s">
        <v>634</v>
      </c>
      <c r="E2181" s="24" t="s">
        <v>1850</v>
      </c>
      <c r="F2181" s="24" t="s">
        <v>9</v>
      </c>
      <c r="G2181" s="24" t="s">
        <v>8</v>
      </c>
      <c r="H2181" s="24" t="s">
        <v>1851</v>
      </c>
      <c r="I2181" s="27">
        <v>508.44</v>
      </c>
    </row>
    <row r="2182" spans="2:9" ht="16">
      <c r="B2182" s="24" t="s">
        <v>36</v>
      </c>
      <c r="C2182" s="24" t="s">
        <v>6</v>
      </c>
      <c r="D2182" s="24" t="s">
        <v>550</v>
      </c>
      <c r="E2182" s="24" t="s">
        <v>8</v>
      </c>
      <c r="F2182" s="24" t="s">
        <v>9</v>
      </c>
      <c r="G2182" s="24" t="s">
        <v>8</v>
      </c>
      <c r="H2182" s="24" t="s">
        <v>1852</v>
      </c>
      <c r="I2182" s="27">
        <v>297.94</v>
      </c>
    </row>
    <row r="2183" spans="2:9" ht="16">
      <c r="B2183" s="24" t="s">
        <v>119</v>
      </c>
      <c r="C2183" s="24" t="s">
        <v>6</v>
      </c>
      <c r="D2183" s="24" t="s">
        <v>1349</v>
      </c>
      <c r="E2183" s="24" t="s">
        <v>8</v>
      </c>
      <c r="F2183" s="24" t="s">
        <v>9</v>
      </c>
      <c r="G2183" s="24" t="s">
        <v>8</v>
      </c>
      <c r="H2183" s="24" t="s">
        <v>1853</v>
      </c>
      <c r="I2183" s="27">
        <v>30.74</v>
      </c>
    </row>
    <row r="2184" spans="2:9" ht="16">
      <c r="B2184" s="24" t="s">
        <v>119</v>
      </c>
      <c r="C2184" s="24" t="s">
        <v>6</v>
      </c>
      <c r="D2184" s="24" t="s">
        <v>1854</v>
      </c>
      <c r="E2184" s="24" t="s">
        <v>8</v>
      </c>
      <c r="F2184" s="24" t="s">
        <v>9</v>
      </c>
      <c r="G2184" s="24" t="s">
        <v>8</v>
      </c>
      <c r="H2184" s="24" t="s">
        <v>1855</v>
      </c>
      <c r="I2184" s="27">
        <v>10.74</v>
      </c>
    </row>
    <row r="2185" spans="1:9" ht="16">
      <c r="A2185" s="35" t="s">
        <v>40</v>
      </c>
      <c r="I2185" s="28">
        <f>I2175+I2176+I2177+I2178+I2179+I2180+I2181+I2182+I2183+I2184</f>
        <v>8493.34</v>
      </c>
    </row>
    <row r="2186" spans="1:1" ht="16">
      <c r="A2186" s="34" t="s">
        <v>1842</v>
      </c>
    </row>
    <row r="2187" spans="2:9" ht="16">
      <c r="B2187" s="24" t="s">
        <v>1382</v>
      </c>
      <c r="C2187" s="24" t="s">
        <v>13</v>
      </c>
      <c r="D2187" s="24" t="s">
        <v>1208</v>
      </c>
      <c r="E2187" s="24" t="s">
        <v>1856</v>
      </c>
      <c r="F2187" s="24" t="s">
        <v>9</v>
      </c>
      <c r="G2187" s="24" t="s">
        <v>8</v>
      </c>
      <c r="H2187" s="24" t="s">
        <v>163</v>
      </c>
      <c r="I2187" s="27">
        <v>600.0</v>
      </c>
    </row>
    <row r="2188" spans="1:9" ht="16">
      <c r="A2188" s="35" t="s">
        <v>164</v>
      </c>
      <c r="I2188" s="28">
        <f>I2186+I2187</f>
        <v>600.0</v>
      </c>
    </row>
    <row r="2189" spans="1:1" ht="16">
      <c r="A2189" s="34" t="s">
        <v>1842</v>
      </c>
    </row>
    <row r="2190" spans="2:9" ht="16">
      <c r="B2190" s="24" t="s">
        <v>119</v>
      </c>
      <c r="C2190" s="24" t="s">
        <v>6</v>
      </c>
      <c r="D2190" s="24" t="s">
        <v>980</v>
      </c>
      <c r="E2190" s="24" t="s">
        <v>8</v>
      </c>
      <c r="F2190" s="24" t="s">
        <v>9</v>
      </c>
      <c r="G2190" s="24" t="s">
        <v>8</v>
      </c>
      <c r="H2190" s="24" t="s">
        <v>1857</v>
      </c>
      <c r="I2190" s="27">
        <v>183.83</v>
      </c>
    </row>
    <row r="2191" spans="1:9" ht="16">
      <c r="A2191" s="35" t="s">
        <v>433</v>
      </c>
      <c r="I2191" s="28">
        <f>I2189+I2190</f>
        <v>183.83</v>
      </c>
    </row>
    <row r="2192" spans="1:1" ht="16">
      <c r="A2192" s="34" t="s">
        <v>1842</v>
      </c>
    </row>
    <row r="2193" spans="2:9" ht="16">
      <c r="B2193" s="24" t="s">
        <v>8</v>
      </c>
      <c r="C2193" s="24" t="s">
        <v>6</v>
      </c>
      <c r="D2193" s="24" t="s">
        <v>549</v>
      </c>
      <c r="E2193" s="24" t="s">
        <v>8</v>
      </c>
      <c r="F2193" s="24" t="s">
        <v>9</v>
      </c>
      <c r="G2193" s="24" t="s">
        <v>8</v>
      </c>
      <c r="H2193" s="24" t="s">
        <v>47</v>
      </c>
      <c r="I2193" s="27">
        <v>256.3</v>
      </c>
    </row>
    <row r="2194" spans="2:9" ht="16">
      <c r="B2194" s="24" t="s">
        <v>45</v>
      </c>
      <c r="C2194" s="24" t="s">
        <v>6</v>
      </c>
      <c r="D2194" s="24" t="s">
        <v>928</v>
      </c>
      <c r="E2194" s="24" t="s">
        <v>8</v>
      </c>
      <c r="F2194" s="24" t="s">
        <v>9</v>
      </c>
      <c r="G2194" s="24" t="s">
        <v>8</v>
      </c>
      <c r="H2194" s="24" t="s">
        <v>47</v>
      </c>
      <c r="I2194" s="27">
        <v>503.64</v>
      </c>
    </row>
    <row r="2195" spans="2:9" ht="16">
      <c r="B2195" s="24" t="s">
        <v>8</v>
      </c>
      <c r="C2195" s="24" t="s">
        <v>6</v>
      </c>
      <c r="D2195" s="24" t="s">
        <v>550</v>
      </c>
      <c r="E2195" s="24" t="s">
        <v>8</v>
      </c>
      <c r="F2195" s="24" t="s">
        <v>9</v>
      </c>
      <c r="G2195" s="24" t="s">
        <v>8</v>
      </c>
      <c r="H2195" s="24" t="s">
        <v>47</v>
      </c>
      <c r="I2195" s="27">
        <v>249.7</v>
      </c>
    </row>
    <row r="2196" spans="2:9" ht="16">
      <c r="B2196" s="24" t="s">
        <v>8</v>
      </c>
      <c r="C2196" s="24" t="s">
        <v>6</v>
      </c>
      <c r="D2196" s="24" t="s">
        <v>549</v>
      </c>
      <c r="E2196" s="24" t="s">
        <v>8</v>
      </c>
      <c r="F2196" s="24" t="s">
        <v>9</v>
      </c>
      <c r="G2196" s="24" t="s">
        <v>8</v>
      </c>
      <c r="H2196" s="24" t="s">
        <v>47</v>
      </c>
      <c r="I2196" s="27">
        <v>202.28</v>
      </c>
    </row>
    <row r="2197" spans="2:9" ht="16">
      <c r="B2197" s="24" t="s">
        <v>8</v>
      </c>
      <c r="C2197" s="24" t="s">
        <v>6</v>
      </c>
      <c r="D2197" s="24" t="s">
        <v>549</v>
      </c>
      <c r="E2197" s="24" t="s">
        <v>8</v>
      </c>
      <c r="F2197" s="24" t="s">
        <v>9</v>
      </c>
      <c r="G2197" s="24" t="s">
        <v>8</v>
      </c>
      <c r="H2197" s="24" t="s">
        <v>47</v>
      </c>
      <c r="I2197" s="27">
        <v>192.23</v>
      </c>
    </row>
    <row r="2198" spans="2:9" ht="16">
      <c r="B2198" s="24" t="s">
        <v>8</v>
      </c>
      <c r="C2198" s="24" t="s">
        <v>6</v>
      </c>
      <c r="D2198" s="24" t="s">
        <v>549</v>
      </c>
      <c r="E2198" s="24" t="s">
        <v>8</v>
      </c>
      <c r="F2198" s="24" t="s">
        <v>9</v>
      </c>
      <c r="G2198" s="24" t="s">
        <v>8</v>
      </c>
      <c r="H2198" s="24" t="s">
        <v>47</v>
      </c>
      <c r="I2198" s="27">
        <v>410.08</v>
      </c>
    </row>
    <row r="2199" spans="2:9" ht="16">
      <c r="B2199" s="24" t="s">
        <v>8</v>
      </c>
      <c r="C2199" s="24" t="s">
        <v>6</v>
      </c>
      <c r="D2199" s="24" t="s">
        <v>549</v>
      </c>
      <c r="E2199" s="24" t="s">
        <v>8</v>
      </c>
      <c r="F2199" s="24" t="s">
        <v>9</v>
      </c>
      <c r="G2199" s="24" t="s">
        <v>8</v>
      </c>
      <c r="H2199" s="24" t="s">
        <v>47</v>
      </c>
      <c r="I2199" s="27">
        <v>820.16</v>
      </c>
    </row>
    <row r="2200" spans="2:9" ht="16">
      <c r="B2200" s="24" t="s">
        <v>8</v>
      </c>
      <c r="C2200" s="24" t="s">
        <v>6</v>
      </c>
      <c r="D2200" s="24" t="s">
        <v>549</v>
      </c>
      <c r="E2200" s="24" t="s">
        <v>8</v>
      </c>
      <c r="F2200" s="24" t="s">
        <v>9</v>
      </c>
      <c r="G2200" s="24" t="s">
        <v>8</v>
      </c>
      <c r="H2200" s="24" t="s">
        <v>47</v>
      </c>
      <c r="I2200" s="27">
        <v>768.9</v>
      </c>
    </row>
    <row r="2201" spans="2:9" ht="16">
      <c r="B2201" s="24" t="s">
        <v>8</v>
      </c>
      <c r="C2201" s="24" t="s">
        <v>6</v>
      </c>
      <c r="D2201" s="24" t="s">
        <v>1205</v>
      </c>
      <c r="E2201" s="24" t="s">
        <v>8</v>
      </c>
      <c r="F2201" s="24" t="s">
        <v>9</v>
      </c>
      <c r="G2201" s="24" t="s">
        <v>8</v>
      </c>
      <c r="H2201" s="24" t="s">
        <v>47</v>
      </c>
      <c r="I2201" s="27">
        <v>105.92</v>
      </c>
    </row>
    <row r="2202" spans="1:9" ht="16">
      <c r="A2202" s="35" t="s">
        <v>50</v>
      </c>
      <c r="I2202" s="28">
        <f>I2192+I2193+I2194+I2195+I2196+I2197+I2198+I2199+I2200+I2201</f>
        <v>3509.21</v>
      </c>
    </row>
    <row r="2203" spans="1:1" ht="16">
      <c r="A2203" s="34" t="s">
        <v>1842</v>
      </c>
    </row>
    <row r="2204" spans="2:9" ht="16">
      <c r="B2204" s="24" t="s">
        <v>8</v>
      </c>
      <c r="C2204" s="24" t="s">
        <v>6</v>
      </c>
      <c r="D2204" s="24" t="s">
        <v>562</v>
      </c>
      <c r="E2204" s="24" t="s">
        <v>8</v>
      </c>
      <c r="F2204" s="24" t="s">
        <v>9</v>
      </c>
      <c r="G2204" s="24" t="s">
        <v>8</v>
      </c>
      <c r="H2204" s="24" t="s">
        <v>53</v>
      </c>
      <c r="I2204" s="27">
        <v>197.12</v>
      </c>
    </row>
    <row r="2205" spans="2:9" ht="16">
      <c r="B2205" s="24" t="s">
        <v>51</v>
      </c>
      <c r="C2205" s="24" t="s">
        <v>6</v>
      </c>
      <c r="D2205" s="24" t="s">
        <v>460</v>
      </c>
      <c r="E2205" s="24" t="s">
        <v>8</v>
      </c>
      <c r="F2205" s="24" t="s">
        <v>9</v>
      </c>
      <c r="G2205" s="24" t="s">
        <v>8</v>
      </c>
      <c r="H2205" s="24" t="s">
        <v>53</v>
      </c>
      <c r="I2205" s="27">
        <v>3156.79</v>
      </c>
    </row>
    <row r="2206" spans="2:9" ht="16">
      <c r="B2206" s="24" t="s">
        <v>51</v>
      </c>
      <c r="C2206" s="24" t="s">
        <v>6</v>
      </c>
      <c r="D2206" s="24" t="s">
        <v>1116</v>
      </c>
      <c r="E2206" s="24" t="s">
        <v>8</v>
      </c>
      <c r="F2206" s="24" t="s">
        <v>9</v>
      </c>
      <c r="G2206" s="24" t="s">
        <v>8</v>
      </c>
      <c r="H2206" s="24" t="s">
        <v>53</v>
      </c>
      <c r="I2206" s="27">
        <v>98.65</v>
      </c>
    </row>
    <row r="2207" spans="2:9" ht="16">
      <c r="B2207" s="24" t="s">
        <v>51</v>
      </c>
      <c r="C2207" s="24" t="s">
        <v>6</v>
      </c>
      <c r="D2207" s="24" t="s">
        <v>1209</v>
      </c>
      <c r="E2207" s="24" t="s">
        <v>8</v>
      </c>
      <c r="F2207" s="24" t="s">
        <v>9</v>
      </c>
      <c r="G2207" s="24" t="s">
        <v>8</v>
      </c>
      <c r="H2207" s="24" t="s">
        <v>53</v>
      </c>
      <c r="I2207" s="27">
        <v>197.34</v>
      </c>
    </row>
    <row r="2208" spans="2:9" ht="16">
      <c r="B2208" s="24" t="s">
        <v>51</v>
      </c>
      <c r="C2208" s="24" t="s">
        <v>6</v>
      </c>
      <c r="D2208" s="24" t="s">
        <v>561</v>
      </c>
      <c r="E2208" s="24" t="s">
        <v>8</v>
      </c>
      <c r="F2208" s="24" t="s">
        <v>9</v>
      </c>
      <c r="G2208" s="24" t="s">
        <v>8</v>
      </c>
      <c r="H2208" s="24" t="s">
        <v>53</v>
      </c>
      <c r="I2208" s="27">
        <v>1198.45</v>
      </c>
    </row>
    <row r="2209" spans="2:9" ht="16">
      <c r="B2209" s="24" t="s">
        <v>51</v>
      </c>
      <c r="C2209" s="24" t="s">
        <v>6</v>
      </c>
      <c r="D2209" s="24" t="s">
        <v>984</v>
      </c>
      <c r="E2209" s="24" t="s">
        <v>8</v>
      </c>
      <c r="F2209" s="24" t="s">
        <v>9</v>
      </c>
      <c r="G2209" s="24" t="s">
        <v>8</v>
      </c>
      <c r="H2209" s="24" t="s">
        <v>53</v>
      </c>
      <c r="I2209" s="27">
        <v>2561.12</v>
      </c>
    </row>
    <row r="2210" spans="1:9" ht="16">
      <c r="A2210" s="35" t="s">
        <v>67</v>
      </c>
      <c r="I2210" s="28">
        <f>I2203+I2204+I2205+I2206+I2207+I2208+I2209</f>
        <v>7409.47</v>
      </c>
    </row>
    <row r="2211" spans="1:9" ht="16">
      <c r="A2211" s="36" t="s">
        <v>1858</v>
      </c>
      <c r="I2211" s="28">
        <f>I2185+I2188+I2191+I2202+I2210</f>
        <v>20195.850000000002</v>
      </c>
    </row>
    <row r="2212" spans="1:1" ht="16">
      <c r="A2212" s="33" t="s">
        <v>324</v>
      </c>
    </row>
    <row r="2213" spans="1:1" ht="16">
      <c r="A2213" s="34" t="s">
        <v>1859</v>
      </c>
    </row>
    <row r="2214" spans="2:9" ht="16">
      <c r="B2214" s="24" t="s">
        <v>21</v>
      </c>
      <c r="C2214" s="24" t="s">
        <v>13</v>
      </c>
      <c r="D2214" s="24" t="s">
        <v>1279</v>
      </c>
      <c r="E2214" s="24" t="s">
        <v>1860</v>
      </c>
      <c r="F2214" s="24" t="s">
        <v>9</v>
      </c>
      <c r="G2214" s="24" t="s">
        <v>8</v>
      </c>
      <c r="H2214" s="24" t="s">
        <v>1861</v>
      </c>
      <c r="I2214" s="27">
        <v>1444.03</v>
      </c>
    </row>
    <row r="2215" spans="2:9" ht="16">
      <c r="B2215" s="24" t="s">
        <v>21</v>
      </c>
      <c r="C2215" s="24" t="s">
        <v>13</v>
      </c>
      <c r="D2215" s="24" t="s">
        <v>978</v>
      </c>
      <c r="E2215" s="24" t="s">
        <v>1862</v>
      </c>
      <c r="F2215" s="24" t="s">
        <v>9</v>
      </c>
      <c r="G2215" s="24" t="s">
        <v>8</v>
      </c>
      <c r="H2215" s="24" t="s">
        <v>1863</v>
      </c>
      <c r="I2215" s="27">
        <v>248.0</v>
      </c>
    </row>
    <row r="2216" spans="2:9" ht="16">
      <c r="B2216" s="24" t="s">
        <v>36</v>
      </c>
      <c r="C2216" s="24" t="s">
        <v>6</v>
      </c>
      <c r="D2216" s="24" t="s">
        <v>978</v>
      </c>
      <c r="E2216" s="24" t="s">
        <v>8</v>
      </c>
      <c r="F2216" s="24" t="s">
        <v>9</v>
      </c>
      <c r="G2216" s="24" t="s">
        <v>8</v>
      </c>
      <c r="H2216" s="24" t="s">
        <v>1864</v>
      </c>
      <c r="I2216" s="27">
        <v>39.15</v>
      </c>
    </row>
    <row r="2217" spans="2:9" ht="16">
      <c r="B2217" s="24" t="s">
        <v>21</v>
      </c>
      <c r="C2217" s="24" t="s">
        <v>13</v>
      </c>
      <c r="D2217" s="24" t="s">
        <v>1075</v>
      </c>
      <c r="E2217" s="24" t="s">
        <v>1865</v>
      </c>
      <c r="F2217" s="24" t="s">
        <v>9</v>
      </c>
      <c r="G2217" s="24" t="s">
        <v>8</v>
      </c>
      <c r="H2217" s="24" t="s">
        <v>834</v>
      </c>
      <c r="I2217" s="27">
        <v>448.6</v>
      </c>
    </row>
    <row r="2218" spans="2:9" ht="16">
      <c r="B2218" s="24" t="s">
        <v>155</v>
      </c>
      <c r="C2218" s="24" t="s">
        <v>13</v>
      </c>
      <c r="D2218" s="24" t="s">
        <v>503</v>
      </c>
      <c r="E2218" s="24" t="s">
        <v>1866</v>
      </c>
      <c r="F2218" s="24" t="s">
        <v>9</v>
      </c>
      <c r="G2218" s="24" t="s">
        <v>8</v>
      </c>
      <c r="H2218" s="24" t="s">
        <v>1307</v>
      </c>
      <c r="I2218" s="27">
        <v>111.09</v>
      </c>
    </row>
    <row r="2219" spans="2:9" ht="16">
      <c r="B2219" s="24" t="s">
        <v>21</v>
      </c>
      <c r="C2219" s="24" t="s">
        <v>13</v>
      </c>
      <c r="D2219" s="24" t="s">
        <v>901</v>
      </c>
      <c r="E2219" s="24" t="s">
        <v>1867</v>
      </c>
      <c r="F2219" s="24" t="s">
        <v>9</v>
      </c>
      <c r="G2219" s="24" t="s">
        <v>8</v>
      </c>
      <c r="H2219" s="24" t="s">
        <v>1868</v>
      </c>
      <c r="I2219" s="27">
        <v>5290.69</v>
      </c>
    </row>
    <row r="2220" spans="2:9" ht="16">
      <c r="B2220" s="24" t="s">
        <v>21</v>
      </c>
      <c r="C2220" s="24" t="s">
        <v>13</v>
      </c>
      <c r="D2220" s="24" t="s">
        <v>1067</v>
      </c>
      <c r="E2220" s="24" t="s">
        <v>1869</v>
      </c>
      <c r="F2220" s="24" t="s">
        <v>9</v>
      </c>
      <c r="G2220" s="24" t="s">
        <v>8</v>
      </c>
      <c r="H2220" s="24" t="s">
        <v>1870</v>
      </c>
      <c r="I2220" s="27">
        <v>134.66</v>
      </c>
    </row>
    <row r="2221" spans="2:9" ht="16">
      <c r="B2221" s="24" t="s">
        <v>21</v>
      </c>
      <c r="C2221" s="24" t="s">
        <v>13</v>
      </c>
      <c r="D2221" s="24" t="s">
        <v>1105</v>
      </c>
      <c r="E2221" s="24" t="s">
        <v>1871</v>
      </c>
      <c r="F2221" s="24" t="s">
        <v>9</v>
      </c>
      <c r="G2221" s="24" t="s">
        <v>8</v>
      </c>
      <c r="H2221" s="24" t="s">
        <v>1872</v>
      </c>
      <c r="I2221" s="27">
        <v>4179.22</v>
      </c>
    </row>
    <row r="2222" spans="2:9" ht="16">
      <c r="B2222" s="24" t="s">
        <v>21</v>
      </c>
      <c r="C2222" s="24" t="s">
        <v>13</v>
      </c>
      <c r="D2222" s="24" t="s">
        <v>901</v>
      </c>
      <c r="E2222" s="24" t="s">
        <v>1873</v>
      </c>
      <c r="F2222" s="24" t="s">
        <v>9</v>
      </c>
      <c r="G2222" s="24" t="s">
        <v>8</v>
      </c>
      <c r="H2222" s="24" t="s">
        <v>1874</v>
      </c>
      <c r="I2222" s="27">
        <v>202.4</v>
      </c>
    </row>
    <row r="2223" spans="2:9" ht="16">
      <c r="B2223" s="24" t="s">
        <v>21</v>
      </c>
      <c r="C2223" s="24" t="s">
        <v>13</v>
      </c>
      <c r="D2223" s="24" t="s">
        <v>1105</v>
      </c>
      <c r="E2223" s="24" t="s">
        <v>1875</v>
      </c>
      <c r="F2223" s="24" t="s">
        <v>9</v>
      </c>
      <c r="G2223" s="24" t="s">
        <v>8</v>
      </c>
      <c r="H2223" s="24" t="s">
        <v>1876</v>
      </c>
      <c r="I2223" s="27">
        <v>174.0</v>
      </c>
    </row>
    <row r="2224" spans="2:9" ht="16">
      <c r="B2224" s="24" t="s">
        <v>21</v>
      </c>
      <c r="C2224" s="24" t="s">
        <v>13</v>
      </c>
      <c r="D2224" s="24" t="s">
        <v>1368</v>
      </c>
      <c r="E2224" s="24" t="s">
        <v>1877</v>
      </c>
      <c r="F2224" s="24" t="s">
        <v>9</v>
      </c>
      <c r="G2224" s="24" t="s">
        <v>8</v>
      </c>
      <c r="H2224" s="24" t="s">
        <v>1878</v>
      </c>
      <c r="I2224" s="27">
        <v>273.77</v>
      </c>
    </row>
    <row r="2225" spans="2:9" ht="16">
      <c r="B2225" s="24" t="s">
        <v>119</v>
      </c>
      <c r="C2225" s="24" t="s">
        <v>6</v>
      </c>
      <c r="D2225" s="24" t="s">
        <v>451</v>
      </c>
      <c r="E2225" s="24" t="s">
        <v>8</v>
      </c>
      <c r="F2225" s="24" t="s">
        <v>9</v>
      </c>
      <c r="G2225" s="24" t="s">
        <v>8</v>
      </c>
      <c r="H2225" s="24" t="s">
        <v>1879</v>
      </c>
      <c r="I2225" s="27">
        <v>4.98</v>
      </c>
    </row>
    <row r="2226" spans="2:9" ht="16">
      <c r="B2226" s="24" t="s">
        <v>21</v>
      </c>
      <c r="C2226" s="24" t="s">
        <v>13</v>
      </c>
      <c r="D2226" s="24" t="s">
        <v>551</v>
      </c>
      <c r="E2226" s="24" t="s">
        <v>1880</v>
      </c>
      <c r="F2226" s="24" t="s">
        <v>9</v>
      </c>
      <c r="G2226" s="24" t="s">
        <v>8</v>
      </c>
      <c r="H2226" s="24" t="s">
        <v>1881</v>
      </c>
      <c r="I2226" s="27">
        <v>222.0</v>
      </c>
    </row>
    <row r="2227" spans="2:9" ht="16">
      <c r="B2227" s="24" t="s">
        <v>589</v>
      </c>
      <c r="C2227" s="24" t="s">
        <v>6</v>
      </c>
      <c r="D2227" s="24" t="s">
        <v>1239</v>
      </c>
      <c r="E2227" s="24" t="s">
        <v>8</v>
      </c>
      <c r="F2227" s="24" t="s">
        <v>9</v>
      </c>
      <c r="G2227" s="24" t="s">
        <v>8</v>
      </c>
      <c r="H2227" s="24" t="s">
        <v>1882</v>
      </c>
      <c r="I2227" s="27">
        <v>26.22</v>
      </c>
    </row>
    <row r="2228" spans="2:9" ht="16">
      <c r="B2228" s="24" t="s">
        <v>119</v>
      </c>
      <c r="C2228" s="24" t="s">
        <v>6</v>
      </c>
      <c r="D2228" s="24" t="s">
        <v>1239</v>
      </c>
      <c r="E2228" s="24" t="s">
        <v>8</v>
      </c>
      <c r="F2228" s="24" t="s">
        <v>9</v>
      </c>
      <c r="G2228" s="24" t="s">
        <v>8</v>
      </c>
      <c r="H2228" s="24" t="s">
        <v>1883</v>
      </c>
      <c r="I2228" s="27">
        <v>73.97</v>
      </c>
    </row>
    <row r="2229" spans="2:9" ht="16">
      <c r="B2229" s="24" t="s">
        <v>36</v>
      </c>
      <c r="C2229" s="24" t="s">
        <v>6</v>
      </c>
      <c r="D2229" s="24" t="s">
        <v>1239</v>
      </c>
      <c r="E2229" s="24" t="s">
        <v>8</v>
      </c>
      <c r="F2229" s="24" t="s">
        <v>9</v>
      </c>
      <c r="G2229" s="24" t="s">
        <v>8</v>
      </c>
      <c r="H2229" s="24" t="s">
        <v>1884</v>
      </c>
      <c r="I2229" s="27">
        <v>52.48</v>
      </c>
    </row>
    <row r="2230" spans="2:9" ht="16">
      <c r="B2230" s="24" t="s">
        <v>119</v>
      </c>
      <c r="C2230" s="24" t="s">
        <v>6</v>
      </c>
      <c r="D2230" s="24" t="s">
        <v>1885</v>
      </c>
      <c r="E2230" s="24" t="s">
        <v>8</v>
      </c>
      <c r="F2230" s="24" t="s">
        <v>9</v>
      </c>
      <c r="G2230" s="24" t="s">
        <v>8</v>
      </c>
      <c r="H2230" s="24" t="s">
        <v>1886</v>
      </c>
      <c r="I2230" s="27">
        <v>21.87</v>
      </c>
    </row>
    <row r="2231" spans="2:9" ht="16">
      <c r="B2231" s="24" t="s">
        <v>119</v>
      </c>
      <c r="C2231" s="24" t="s">
        <v>6</v>
      </c>
      <c r="D2231" s="24" t="s">
        <v>1752</v>
      </c>
      <c r="E2231" s="24" t="s">
        <v>8</v>
      </c>
      <c r="F2231" s="24" t="s">
        <v>9</v>
      </c>
      <c r="G2231" s="24" t="s">
        <v>8</v>
      </c>
      <c r="H2231" s="24" t="s">
        <v>1887</v>
      </c>
      <c r="I2231" s="27">
        <v>46.37</v>
      </c>
    </row>
    <row r="2232" spans="2:9" ht="16">
      <c r="B2232" s="24" t="s">
        <v>119</v>
      </c>
      <c r="C2232" s="24" t="s">
        <v>6</v>
      </c>
      <c r="D2232" s="24" t="s">
        <v>1752</v>
      </c>
      <c r="E2232" s="24" t="s">
        <v>8</v>
      </c>
      <c r="F2232" s="24" t="s">
        <v>9</v>
      </c>
      <c r="G2232" s="24" t="s">
        <v>8</v>
      </c>
      <c r="H2232" s="24" t="s">
        <v>1888</v>
      </c>
      <c r="I2232" s="27">
        <v>116.07</v>
      </c>
    </row>
    <row r="2233" spans="2:9" ht="16">
      <c r="B2233" s="24" t="s">
        <v>119</v>
      </c>
      <c r="C2233" s="24" t="s">
        <v>6</v>
      </c>
      <c r="D2233" s="24" t="s">
        <v>1097</v>
      </c>
      <c r="E2233" s="24" t="s">
        <v>8</v>
      </c>
      <c r="F2233" s="24" t="s">
        <v>9</v>
      </c>
      <c r="G2233" s="24" t="s">
        <v>8</v>
      </c>
      <c r="H2233" s="24" t="s">
        <v>1889</v>
      </c>
      <c r="I2233" s="27">
        <v>46.98</v>
      </c>
    </row>
    <row r="2234" spans="2:9" ht="16">
      <c r="B2234" s="24" t="s">
        <v>119</v>
      </c>
      <c r="C2234" s="24" t="s">
        <v>6</v>
      </c>
      <c r="D2234" s="24" t="s">
        <v>1097</v>
      </c>
      <c r="E2234" s="24" t="s">
        <v>8</v>
      </c>
      <c r="F2234" s="24" t="s">
        <v>9</v>
      </c>
      <c r="G2234" s="24" t="s">
        <v>8</v>
      </c>
      <c r="H2234" s="24" t="s">
        <v>1890</v>
      </c>
      <c r="I2234" s="27">
        <v>16.73</v>
      </c>
    </row>
    <row r="2235" spans="2:9" ht="16">
      <c r="B2235" s="24" t="s">
        <v>119</v>
      </c>
      <c r="C2235" s="24" t="s">
        <v>6</v>
      </c>
      <c r="D2235" s="24" t="s">
        <v>549</v>
      </c>
      <c r="E2235" s="24" t="s">
        <v>8</v>
      </c>
      <c r="F2235" s="24" t="s">
        <v>9</v>
      </c>
      <c r="G2235" s="24" t="s">
        <v>8</v>
      </c>
      <c r="H2235" s="24" t="s">
        <v>1891</v>
      </c>
      <c r="I2235" s="27">
        <v>43.69</v>
      </c>
    </row>
    <row r="2236" spans="2:9" ht="16">
      <c r="B2236" s="24" t="s">
        <v>119</v>
      </c>
      <c r="C2236" s="24" t="s">
        <v>6</v>
      </c>
      <c r="D2236" s="24" t="s">
        <v>549</v>
      </c>
      <c r="E2236" s="24" t="s">
        <v>8</v>
      </c>
      <c r="F2236" s="24" t="s">
        <v>9</v>
      </c>
      <c r="G2236" s="24" t="s">
        <v>8</v>
      </c>
      <c r="H2236" s="24" t="s">
        <v>1892</v>
      </c>
      <c r="I2236" s="27">
        <v>50.96</v>
      </c>
    </row>
    <row r="2237" spans="2:9" ht="16">
      <c r="B2237" s="24" t="s">
        <v>1893</v>
      </c>
      <c r="C2237" s="24" t="s">
        <v>13</v>
      </c>
      <c r="D2237" s="24" t="s">
        <v>1732</v>
      </c>
      <c r="E2237" s="24" t="s">
        <v>1894</v>
      </c>
      <c r="F2237" s="24" t="s">
        <v>9</v>
      </c>
      <c r="G2237" s="24" t="s">
        <v>8</v>
      </c>
      <c r="H2237" s="24" t="s">
        <v>1895</v>
      </c>
      <c r="I2237" s="27">
        <v>3218.0</v>
      </c>
    </row>
    <row r="2238" spans="2:9" ht="16">
      <c r="B2238" s="24" t="s">
        <v>21</v>
      </c>
      <c r="C2238" s="24" t="s">
        <v>13</v>
      </c>
      <c r="D2238" s="24" t="s">
        <v>1896</v>
      </c>
      <c r="E2238" s="24" t="s">
        <v>1897</v>
      </c>
      <c r="F2238" s="24" t="s">
        <v>9</v>
      </c>
      <c r="G2238" s="24" t="s">
        <v>8</v>
      </c>
      <c r="H2238" s="24" t="s">
        <v>1898</v>
      </c>
      <c r="I2238" s="27">
        <v>24.08</v>
      </c>
    </row>
    <row r="2239" spans="2:9" ht="16">
      <c r="B2239" s="24" t="s">
        <v>21</v>
      </c>
      <c r="C2239" s="24" t="s">
        <v>13</v>
      </c>
      <c r="D2239" s="24" t="s">
        <v>901</v>
      </c>
      <c r="E2239" s="24" t="s">
        <v>1873</v>
      </c>
      <c r="F2239" s="24" t="s">
        <v>9</v>
      </c>
      <c r="G2239" s="24" t="s">
        <v>8</v>
      </c>
      <c r="H2239" s="24" t="s">
        <v>1899</v>
      </c>
      <c r="I2239" s="27">
        <v>3.22</v>
      </c>
    </row>
    <row r="2240" spans="2:9" ht="16">
      <c r="B2240" s="24" t="s">
        <v>119</v>
      </c>
      <c r="C2240" s="24" t="s">
        <v>6</v>
      </c>
      <c r="D2240" s="24" t="s">
        <v>1732</v>
      </c>
      <c r="E2240" s="24" t="s">
        <v>8</v>
      </c>
      <c r="F2240" s="24" t="s">
        <v>9</v>
      </c>
      <c r="G2240" s="24" t="s">
        <v>8</v>
      </c>
      <c r="H2240" s="24" t="s">
        <v>1900</v>
      </c>
      <c r="I2240" s="27">
        <v>91.11</v>
      </c>
    </row>
    <row r="2241" spans="2:9" ht="16">
      <c r="B2241" s="24" t="s">
        <v>119</v>
      </c>
      <c r="C2241" s="24" t="s">
        <v>6</v>
      </c>
      <c r="D2241" s="24" t="s">
        <v>1279</v>
      </c>
      <c r="E2241" s="24" t="s">
        <v>8</v>
      </c>
      <c r="F2241" s="24" t="s">
        <v>9</v>
      </c>
      <c r="G2241" s="24" t="s">
        <v>8</v>
      </c>
      <c r="H2241" s="24" t="s">
        <v>647</v>
      </c>
      <c r="I2241" s="27">
        <v>57.72</v>
      </c>
    </row>
    <row r="2242" spans="2:9" ht="16">
      <c r="B2242" s="24" t="s">
        <v>119</v>
      </c>
      <c r="C2242" s="24" t="s">
        <v>6</v>
      </c>
      <c r="D2242" s="24" t="s">
        <v>557</v>
      </c>
      <c r="E2242" s="24" t="s">
        <v>8</v>
      </c>
      <c r="F2242" s="24" t="s">
        <v>9</v>
      </c>
      <c r="G2242" s="24" t="s">
        <v>8</v>
      </c>
      <c r="H2242" s="24" t="s">
        <v>1901</v>
      </c>
      <c r="I2242" s="27">
        <v>55.03</v>
      </c>
    </row>
    <row r="2243" spans="2:9" ht="16">
      <c r="B2243" s="24" t="s">
        <v>119</v>
      </c>
      <c r="C2243" s="24" t="s">
        <v>6</v>
      </c>
      <c r="D2243" s="24" t="s">
        <v>1209</v>
      </c>
      <c r="E2243" s="24" t="s">
        <v>1902</v>
      </c>
      <c r="F2243" s="24" t="s">
        <v>9</v>
      </c>
      <c r="G2243" s="24" t="s">
        <v>8</v>
      </c>
      <c r="H2243" s="24" t="s">
        <v>910</v>
      </c>
      <c r="I2243" s="27">
        <v>40.29</v>
      </c>
    </row>
    <row r="2244" spans="1:9" ht="16">
      <c r="A2244" s="35" t="s">
        <v>40</v>
      </c>
      <c r="I2244" s="28">
        <f>I2213+I2214+I2215+I2216+I2217+I2218+I2219+I2220+I2221+I2222+I2223+I2224+I2225+I2226+I2227+I2228+I2229+I2230+I2231+I2232+I2233+I2234+I2235+I2236+I2237+I2238+I2239+I2240+I2241+I2242+I2243</f>
        <v>16757.38</v>
      </c>
    </row>
    <row r="2245" spans="1:1" ht="16">
      <c r="A2245" s="34" t="s">
        <v>1859</v>
      </c>
    </row>
    <row r="2246" spans="2:9" ht="16">
      <c r="B2246" s="24" t="s">
        <v>159</v>
      </c>
      <c r="C2246" s="24" t="s">
        <v>13</v>
      </c>
      <c r="D2246" s="24" t="s">
        <v>1683</v>
      </c>
      <c r="E2246" s="24" t="s">
        <v>1903</v>
      </c>
      <c r="F2246" s="24" t="s">
        <v>9</v>
      </c>
      <c r="G2246" s="24" t="s">
        <v>8</v>
      </c>
      <c r="H2246" s="24" t="s">
        <v>1904</v>
      </c>
      <c r="I2246" s="27">
        <v>1925.0</v>
      </c>
    </row>
    <row r="2247" spans="2:9" ht="16">
      <c r="B2247" s="24" t="s">
        <v>536</v>
      </c>
      <c r="C2247" s="24" t="s">
        <v>13</v>
      </c>
      <c r="D2247" s="24" t="s">
        <v>540</v>
      </c>
      <c r="E2247" s="24" t="s">
        <v>1905</v>
      </c>
      <c r="F2247" s="24" t="s">
        <v>9</v>
      </c>
      <c r="G2247" s="24" t="s">
        <v>8</v>
      </c>
      <c r="H2247" s="24" t="s">
        <v>1906</v>
      </c>
      <c r="I2247" s="27">
        <v>28448.55</v>
      </c>
    </row>
    <row r="2248" spans="2:9" ht="16">
      <c r="B2248" s="24" t="s">
        <v>536</v>
      </c>
      <c r="C2248" s="24" t="s">
        <v>13</v>
      </c>
      <c r="D2248" s="24" t="s">
        <v>1141</v>
      </c>
      <c r="E2248" s="24" t="s">
        <v>1907</v>
      </c>
      <c r="F2248" s="24" t="s">
        <v>9</v>
      </c>
      <c r="G2248" s="24" t="s">
        <v>8</v>
      </c>
      <c r="H2248" s="24" t="s">
        <v>1906</v>
      </c>
      <c r="I2248" s="27">
        <v>28448.55</v>
      </c>
    </row>
    <row r="2249" spans="2:9" ht="16">
      <c r="B2249" s="24" t="s">
        <v>159</v>
      </c>
      <c r="C2249" s="24" t="s">
        <v>13</v>
      </c>
      <c r="D2249" s="24" t="s">
        <v>1208</v>
      </c>
      <c r="E2249" s="24" t="s">
        <v>1908</v>
      </c>
      <c r="F2249" s="24" t="s">
        <v>9</v>
      </c>
      <c r="G2249" s="24" t="s">
        <v>8</v>
      </c>
      <c r="H2249" s="24" t="s">
        <v>163</v>
      </c>
      <c r="I2249" s="27">
        <v>11502.0</v>
      </c>
    </row>
    <row r="2250" spans="2:9" ht="16">
      <c r="B2250" s="24" t="s">
        <v>159</v>
      </c>
      <c r="C2250" s="24" t="s">
        <v>13</v>
      </c>
      <c r="D2250" s="24" t="s">
        <v>1208</v>
      </c>
      <c r="E2250" s="24" t="s">
        <v>1909</v>
      </c>
      <c r="F2250" s="24" t="s">
        <v>9</v>
      </c>
      <c r="G2250" s="24" t="s">
        <v>8</v>
      </c>
      <c r="H2250" s="24" t="s">
        <v>163</v>
      </c>
      <c r="I2250" s="27">
        <v>1721.0</v>
      </c>
    </row>
    <row r="2251" spans="2:9" ht="16">
      <c r="B2251" s="24" t="s">
        <v>536</v>
      </c>
      <c r="C2251" s="24" t="s">
        <v>13</v>
      </c>
      <c r="D2251" s="24" t="s">
        <v>1641</v>
      </c>
      <c r="E2251" s="24" t="s">
        <v>1910</v>
      </c>
      <c r="F2251" s="24" t="s">
        <v>9</v>
      </c>
      <c r="G2251" s="24" t="s">
        <v>8</v>
      </c>
      <c r="H2251" s="24" t="s">
        <v>1911</v>
      </c>
      <c r="I2251" s="27">
        <v>6321.9</v>
      </c>
    </row>
    <row r="2252" spans="2:9" ht="16">
      <c r="B2252" s="24" t="s">
        <v>159</v>
      </c>
      <c r="C2252" s="24" t="s">
        <v>13</v>
      </c>
      <c r="D2252" s="24" t="s">
        <v>1570</v>
      </c>
      <c r="E2252" s="24" t="s">
        <v>1912</v>
      </c>
      <c r="F2252" s="24" t="s">
        <v>9</v>
      </c>
      <c r="G2252" s="24" t="s">
        <v>8</v>
      </c>
      <c r="H2252" s="24" t="s">
        <v>1913</v>
      </c>
      <c r="I2252" s="27">
        <v>1278.0</v>
      </c>
    </row>
    <row r="2253" spans="1:9" ht="16">
      <c r="A2253" s="35" t="s">
        <v>164</v>
      </c>
      <c r="I2253" s="28">
        <f>I2245+I2246+I2247+I2248+I2249+I2250+I2251+I2252</f>
        <v>79645.0</v>
      </c>
    </row>
    <row r="2254" spans="1:1" ht="16">
      <c r="A2254" s="34" t="s">
        <v>1859</v>
      </c>
    </row>
    <row r="2255" spans="2:9" ht="16">
      <c r="B2255" s="24" t="s">
        <v>8</v>
      </c>
      <c r="C2255" s="24" t="s">
        <v>6</v>
      </c>
      <c r="D2255" s="24" t="s">
        <v>1597</v>
      </c>
      <c r="E2255" s="24" t="s">
        <v>8</v>
      </c>
      <c r="F2255" s="24" t="s">
        <v>9</v>
      </c>
      <c r="G2255" s="24" t="s">
        <v>8</v>
      </c>
      <c r="H2255" s="24" t="s">
        <v>47</v>
      </c>
      <c r="I2255" s="27">
        <v>331.0</v>
      </c>
    </row>
    <row r="2256" spans="2:9" ht="16">
      <c r="B2256" s="24" t="s">
        <v>45</v>
      </c>
      <c r="C2256" s="24" t="s">
        <v>6</v>
      </c>
      <c r="D2256" s="24" t="s">
        <v>928</v>
      </c>
      <c r="E2256" s="24" t="s">
        <v>8</v>
      </c>
      <c r="F2256" s="24" t="s">
        <v>9</v>
      </c>
      <c r="G2256" s="24" t="s">
        <v>8</v>
      </c>
      <c r="H2256" s="24" t="s">
        <v>47</v>
      </c>
      <c r="I2256" s="27">
        <v>4251.64</v>
      </c>
    </row>
    <row r="2257" spans="2:9" ht="16">
      <c r="B2257" s="24" t="s">
        <v>8</v>
      </c>
      <c r="C2257" s="24" t="s">
        <v>6</v>
      </c>
      <c r="D2257" s="24" t="s">
        <v>550</v>
      </c>
      <c r="E2257" s="24" t="s">
        <v>8</v>
      </c>
      <c r="F2257" s="24" t="s">
        <v>9</v>
      </c>
      <c r="G2257" s="24" t="s">
        <v>8</v>
      </c>
      <c r="H2257" s="24" t="s">
        <v>47</v>
      </c>
      <c r="I2257" s="27">
        <v>6707.6</v>
      </c>
    </row>
    <row r="2258" spans="2:9" ht="16">
      <c r="B2258" s="24" t="s">
        <v>8</v>
      </c>
      <c r="C2258" s="24" t="s">
        <v>6</v>
      </c>
      <c r="D2258" s="24" t="s">
        <v>1205</v>
      </c>
      <c r="E2258" s="24" t="s">
        <v>8</v>
      </c>
      <c r="F2258" s="24" t="s">
        <v>9</v>
      </c>
      <c r="G2258" s="24" t="s">
        <v>8</v>
      </c>
      <c r="H2258" s="24" t="s">
        <v>47</v>
      </c>
      <c r="I2258" s="27">
        <v>1684.48</v>
      </c>
    </row>
    <row r="2259" spans="2:9" ht="16">
      <c r="B2259" s="24" t="s">
        <v>45</v>
      </c>
      <c r="C2259" s="24" t="s">
        <v>6</v>
      </c>
      <c r="D2259" s="24" t="s">
        <v>451</v>
      </c>
      <c r="E2259" s="24" t="s">
        <v>8</v>
      </c>
      <c r="F2259" s="24" t="s">
        <v>9</v>
      </c>
      <c r="G2259" s="24" t="s">
        <v>8</v>
      </c>
      <c r="H2259" s="24" t="s">
        <v>47</v>
      </c>
      <c r="I2259" s="27">
        <v>125.51</v>
      </c>
    </row>
    <row r="2260" spans="2:9" ht="16">
      <c r="B2260" s="24" t="s">
        <v>8</v>
      </c>
      <c r="C2260" s="24" t="s">
        <v>6</v>
      </c>
      <c r="D2260" s="24" t="s">
        <v>549</v>
      </c>
      <c r="E2260" s="24" t="s">
        <v>8</v>
      </c>
      <c r="F2260" s="24" t="s">
        <v>9</v>
      </c>
      <c r="G2260" s="24" t="s">
        <v>8</v>
      </c>
      <c r="H2260" s="24" t="s">
        <v>47</v>
      </c>
      <c r="I2260" s="27">
        <v>334.8</v>
      </c>
    </row>
    <row r="2261" spans="2:9" ht="16">
      <c r="B2261" s="24" t="s">
        <v>8</v>
      </c>
      <c r="C2261" s="24" t="s">
        <v>6</v>
      </c>
      <c r="D2261" s="24" t="s">
        <v>549</v>
      </c>
      <c r="E2261" s="24" t="s">
        <v>8</v>
      </c>
      <c r="F2261" s="24" t="s">
        <v>9</v>
      </c>
      <c r="G2261" s="24" t="s">
        <v>8</v>
      </c>
      <c r="H2261" s="24" t="s">
        <v>47</v>
      </c>
      <c r="I2261" s="27">
        <v>410.08</v>
      </c>
    </row>
    <row r="2262" spans="2:9" ht="16">
      <c r="B2262" s="24" t="s">
        <v>45</v>
      </c>
      <c r="C2262" s="24" t="s">
        <v>6</v>
      </c>
      <c r="D2262" s="24" t="s">
        <v>1596</v>
      </c>
      <c r="E2262" s="24" t="s">
        <v>8</v>
      </c>
      <c r="F2262" s="24" t="s">
        <v>9</v>
      </c>
      <c r="G2262" s="24" t="s">
        <v>8</v>
      </c>
      <c r="H2262" s="24" t="s">
        <v>47</v>
      </c>
      <c r="I2262" s="27">
        <v>158.88</v>
      </c>
    </row>
    <row r="2263" spans="2:9" ht="16">
      <c r="B2263" s="24" t="s">
        <v>8</v>
      </c>
      <c r="C2263" s="24" t="s">
        <v>6</v>
      </c>
      <c r="D2263" s="24" t="s">
        <v>549</v>
      </c>
      <c r="E2263" s="24" t="s">
        <v>8</v>
      </c>
      <c r="F2263" s="24" t="s">
        <v>9</v>
      </c>
      <c r="G2263" s="24" t="s">
        <v>8</v>
      </c>
      <c r="H2263" s="24" t="s">
        <v>47</v>
      </c>
      <c r="I2263" s="27">
        <v>768.9</v>
      </c>
    </row>
    <row r="2264" spans="2:9" ht="16">
      <c r="B2264" s="24" t="s">
        <v>8</v>
      </c>
      <c r="C2264" s="24" t="s">
        <v>6</v>
      </c>
      <c r="D2264" s="24" t="s">
        <v>549</v>
      </c>
      <c r="E2264" s="24" t="s">
        <v>8</v>
      </c>
      <c r="F2264" s="24" t="s">
        <v>9</v>
      </c>
      <c r="G2264" s="24" t="s">
        <v>8</v>
      </c>
      <c r="H2264" s="24" t="s">
        <v>47</v>
      </c>
      <c r="I2264" s="27">
        <v>973.94</v>
      </c>
    </row>
    <row r="2265" spans="1:9" ht="16">
      <c r="A2265" s="35" t="s">
        <v>50</v>
      </c>
      <c r="I2265" s="28">
        <f>I2254+I2255+I2256+I2257+I2258+I2259+I2260+I2261+I2262+I2263+I2264</f>
        <v>15746.83</v>
      </c>
    </row>
    <row r="2266" spans="1:1" ht="16">
      <c r="A2266" s="34" t="s">
        <v>1859</v>
      </c>
    </row>
    <row r="2267" spans="2:9" ht="16">
      <c r="B2267" s="24" t="s">
        <v>8</v>
      </c>
      <c r="C2267" s="24" t="s">
        <v>150</v>
      </c>
      <c r="D2267" s="24" t="s">
        <v>1598</v>
      </c>
      <c r="E2267" s="24" t="s">
        <v>1676</v>
      </c>
      <c r="F2267" s="24" t="s">
        <v>9</v>
      </c>
      <c r="G2267" s="24" t="s">
        <v>8</v>
      </c>
      <c r="H2267" s="24" t="s">
        <v>1914</v>
      </c>
      <c r="I2267" s="27">
        <v>399.94</v>
      </c>
    </row>
    <row r="2268" spans="2:9" ht="16">
      <c r="B2268" s="24" t="s">
        <v>8</v>
      </c>
      <c r="C2268" s="24" t="s">
        <v>150</v>
      </c>
      <c r="D2268" s="24" t="s">
        <v>1598</v>
      </c>
      <c r="E2268" s="24" t="s">
        <v>798</v>
      </c>
      <c r="F2268" s="24" t="s">
        <v>9</v>
      </c>
      <c r="G2268" s="24" t="s">
        <v>8</v>
      </c>
      <c r="H2268" s="24" t="s">
        <v>1915</v>
      </c>
      <c r="I2268" s="27">
        <v>103.18</v>
      </c>
    </row>
    <row r="2269" spans="2:9" ht="16">
      <c r="B2269" s="24" t="s">
        <v>8</v>
      </c>
      <c r="C2269" s="24" t="s">
        <v>150</v>
      </c>
      <c r="D2269" s="24" t="s">
        <v>1598</v>
      </c>
      <c r="E2269" s="24" t="s">
        <v>1600</v>
      </c>
      <c r="F2269" s="24" t="s">
        <v>9</v>
      </c>
      <c r="G2269" s="24" t="s">
        <v>8</v>
      </c>
      <c r="H2269" s="24" t="s">
        <v>1916</v>
      </c>
      <c r="I2269" s="27">
        <v>56.77</v>
      </c>
    </row>
    <row r="2270" spans="2:9" ht="16">
      <c r="B2270" s="24" t="s">
        <v>51</v>
      </c>
      <c r="C2270" s="24" t="s">
        <v>6</v>
      </c>
      <c r="D2270" s="24" t="s">
        <v>560</v>
      </c>
      <c r="E2270" s="24" t="s">
        <v>8</v>
      </c>
      <c r="F2270" s="24" t="s">
        <v>9</v>
      </c>
      <c r="G2270" s="24" t="s">
        <v>8</v>
      </c>
      <c r="H2270" s="24" t="s">
        <v>53</v>
      </c>
      <c r="I2270" s="27">
        <v>3902.25</v>
      </c>
    </row>
    <row r="2271" spans="2:9" ht="16">
      <c r="B2271" s="24" t="s">
        <v>51</v>
      </c>
      <c r="C2271" s="24" t="s">
        <v>6</v>
      </c>
      <c r="D2271" s="24" t="s">
        <v>559</v>
      </c>
      <c r="E2271" s="24" t="s">
        <v>8</v>
      </c>
      <c r="F2271" s="24" t="s">
        <v>9</v>
      </c>
      <c r="G2271" s="24" t="s">
        <v>8</v>
      </c>
      <c r="H2271" s="24" t="s">
        <v>53</v>
      </c>
      <c r="I2271" s="27">
        <v>2109.12</v>
      </c>
    </row>
    <row r="2272" spans="2:9" ht="16">
      <c r="B2272" s="24" t="s">
        <v>51</v>
      </c>
      <c r="C2272" s="24" t="s">
        <v>6</v>
      </c>
      <c r="D2272" s="24" t="s">
        <v>558</v>
      </c>
      <c r="E2272" s="24" t="s">
        <v>8</v>
      </c>
      <c r="F2272" s="24" t="s">
        <v>9</v>
      </c>
      <c r="G2272" s="24" t="s">
        <v>8</v>
      </c>
      <c r="H2272" s="24" t="s">
        <v>53</v>
      </c>
      <c r="I2272" s="27">
        <v>3886.5</v>
      </c>
    </row>
    <row r="2273" spans="2:9" ht="16">
      <c r="B2273" s="24" t="s">
        <v>51</v>
      </c>
      <c r="C2273" s="24" t="s">
        <v>6</v>
      </c>
      <c r="D2273" s="24" t="s">
        <v>551</v>
      </c>
      <c r="E2273" s="24" t="s">
        <v>8</v>
      </c>
      <c r="F2273" s="24" t="s">
        <v>9</v>
      </c>
      <c r="G2273" s="24" t="s">
        <v>8</v>
      </c>
      <c r="H2273" s="24" t="s">
        <v>53</v>
      </c>
      <c r="I2273" s="27">
        <v>4283.69</v>
      </c>
    </row>
    <row r="2274" spans="2:9" ht="16">
      <c r="B2274" s="24" t="s">
        <v>51</v>
      </c>
      <c r="C2274" s="24" t="s">
        <v>6</v>
      </c>
      <c r="D2274" s="24" t="s">
        <v>557</v>
      </c>
      <c r="E2274" s="24" t="s">
        <v>8</v>
      </c>
      <c r="F2274" s="24" t="s">
        <v>9</v>
      </c>
      <c r="G2274" s="24" t="s">
        <v>8</v>
      </c>
      <c r="H2274" s="24" t="s">
        <v>53</v>
      </c>
      <c r="I2274" s="27">
        <v>253.68</v>
      </c>
    </row>
    <row r="2275" spans="2:9" ht="16">
      <c r="B2275" s="24" t="s">
        <v>51</v>
      </c>
      <c r="C2275" s="24" t="s">
        <v>6</v>
      </c>
      <c r="D2275" s="24" t="s">
        <v>561</v>
      </c>
      <c r="E2275" s="24" t="s">
        <v>8</v>
      </c>
      <c r="F2275" s="24" t="s">
        <v>9</v>
      </c>
      <c r="G2275" s="24" t="s">
        <v>8</v>
      </c>
      <c r="H2275" s="24" t="s">
        <v>53</v>
      </c>
      <c r="I2275" s="27">
        <v>5716.53</v>
      </c>
    </row>
    <row r="2276" spans="2:9" ht="16">
      <c r="B2276" s="24" t="s">
        <v>51</v>
      </c>
      <c r="C2276" s="24" t="s">
        <v>6</v>
      </c>
      <c r="D2276" s="24" t="s">
        <v>460</v>
      </c>
      <c r="E2276" s="24" t="s">
        <v>8</v>
      </c>
      <c r="F2276" s="24" t="s">
        <v>9</v>
      </c>
      <c r="G2276" s="24" t="s">
        <v>8</v>
      </c>
      <c r="H2276" s="24" t="s">
        <v>53</v>
      </c>
      <c r="I2276" s="27">
        <v>159.32</v>
      </c>
    </row>
    <row r="2277" spans="2:9" ht="16">
      <c r="B2277" s="24" t="s">
        <v>8</v>
      </c>
      <c r="C2277" s="24" t="s">
        <v>6</v>
      </c>
      <c r="D2277" s="24" t="s">
        <v>1208</v>
      </c>
      <c r="E2277" s="24" t="s">
        <v>8</v>
      </c>
      <c r="F2277" s="24" t="s">
        <v>9</v>
      </c>
      <c r="G2277" s="24" t="s">
        <v>8</v>
      </c>
      <c r="H2277" s="24" t="s">
        <v>53</v>
      </c>
      <c r="I2277" s="27">
        <v>405.89</v>
      </c>
    </row>
    <row r="2278" spans="2:9" ht="16">
      <c r="B2278" s="24" t="s">
        <v>51</v>
      </c>
      <c r="C2278" s="24" t="s">
        <v>6</v>
      </c>
      <c r="D2278" s="24" t="s">
        <v>1116</v>
      </c>
      <c r="E2278" s="24" t="s">
        <v>8</v>
      </c>
      <c r="F2278" s="24" t="s">
        <v>9</v>
      </c>
      <c r="G2278" s="24" t="s">
        <v>8</v>
      </c>
      <c r="H2278" s="24" t="s">
        <v>53</v>
      </c>
      <c r="I2278" s="27">
        <v>416.23</v>
      </c>
    </row>
    <row r="2279" spans="2:9" ht="16">
      <c r="B2279" s="24" t="s">
        <v>51</v>
      </c>
      <c r="C2279" s="24" t="s">
        <v>6</v>
      </c>
      <c r="D2279" s="24" t="s">
        <v>1207</v>
      </c>
      <c r="E2279" s="24" t="s">
        <v>8</v>
      </c>
      <c r="F2279" s="24" t="s">
        <v>9</v>
      </c>
      <c r="G2279" s="24" t="s">
        <v>8</v>
      </c>
      <c r="H2279" s="24" t="s">
        <v>53</v>
      </c>
      <c r="I2279" s="27">
        <v>7392.83</v>
      </c>
    </row>
    <row r="2280" spans="2:9" ht="16">
      <c r="B2280" s="24" t="s">
        <v>51</v>
      </c>
      <c r="C2280" s="24" t="s">
        <v>6</v>
      </c>
      <c r="D2280" s="24" t="s">
        <v>1206</v>
      </c>
      <c r="E2280" s="24" t="s">
        <v>8</v>
      </c>
      <c r="F2280" s="24" t="s">
        <v>9</v>
      </c>
      <c r="G2280" s="24" t="s">
        <v>8</v>
      </c>
      <c r="H2280" s="24" t="s">
        <v>53</v>
      </c>
      <c r="I2280" s="27">
        <v>79.67</v>
      </c>
    </row>
    <row r="2281" spans="2:9" ht="16">
      <c r="B2281" s="24" t="s">
        <v>961</v>
      </c>
      <c r="C2281" s="24" t="s">
        <v>6</v>
      </c>
      <c r="D2281" s="24" t="s">
        <v>1827</v>
      </c>
      <c r="E2281" s="24" t="s">
        <v>8</v>
      </c>
      <c r="F2281" s="24" t="s">
        <v>9</v>
      </c>
      <c r="G2281" s="24" t="s">
        <v>8</v>
      </c>
      <c r="H2281" s="24" t="s">
        <v>53</v>
      </c>
      <c r="I2281" s="27">
        <v>123.35</v>
      </c>
    </row>
    <row r="2282" spans="2:9" ht="16">
      <c r="B2282" s="24" t="s">
        <v>51</v>
      </c>
      <c r="C2282" s="24" t="s">
        <v>6</v>
      </c>
      <c r="D2282" s="24" t="s">
        <v>931</v>
      </c>
      <c r="E2282" s="24" t="s">
        <v>8</v>
      </c>
      <c r="F2282" s="24" t="s">
        <v>9</v>
      </c>
      <c r="G2282" s="24" t="s">
        <v>8</v>
      </c>
      <c r="H2282" s="24" t="s">
        <v>53</v>
      </c>
      <c r="I2282" s="27">
        <v>797.37</v>
      </c>
    </row>
    <row r="2283" spans="2:9" ht="16">
      <c r="B2283" s="24" t="s">
        <v>51</v>
      </c>
      <c r="C2283" s="24" t="s">
        <v>6</v>
      </c>
      <c r="D2283" s="24" t="s">
        <v>1209</v>
      </c>
      <c r="E2283" s="24" t="s">
        <v>8</v>
      </c>
      <c r="F2283" s="24" t="s">
        <v>9</v>
      </c>
      <c r="G2283" s="24" t="s">
        <v>8</v>
      </c>
      <c r="H2283" s="24" t="s">
        <v>53</v>
      </c>
      <c r="I2283" s="27">
        <v>1008.25</v>
      </c>
    </row>
    <row r="2284" spans="2:9" ht="16">
      <c r="B2284" s="24" t="s">
        <v>961</v>
      </c>
      <c r="C2284" s="24" t="s">
        <v>6</v>
      </c>
      <c r="D2284" s="24" t="s">
        <v>962</v>
      </c>
      <c r="E2284" s="24" t="s">
        <v>8</v>
      </c>
      <c r="F2284" s="24" t="s">
        <v>9</v>
      </c>
      <c r="G2284" s="24" t="s">
        <v>8</v>
      </c>
      <c r="H2284" s="24" t="s">
        <v>53</v>
      </c>
      <c r="I2284" s="27">
        <v>745.34</v>
      </c>
    </row>
    <row r="2285" spans="2:9" ht="16">
      <c r="B2285" s="24" t="s">
        <v>961</v>
      </c>
      <c r="C2285" s="24" t="s">
        <v>6</v>
      </c>
      <c r="D2285" s="24" t="s">
        <v>1086</v>
      </c>
      <c r="E2285" s="24" t="s">
        <v>8</v>
      </c>
      <c r="F2285" s="24" t="s">
        <v>9</v>
      </c>
      <c r="G2285" s="24" t="s">
        <v>8</v>
      </c>
      <c r="H2285" s="24" t="s">
        <v>53</v>
      </c>
      <c r="I2285" s="27">
        <v>-846.92</v>
      </c>
    </row>
    <row r="2286" spans="2:9" ht="16">
      <c r="B2286" s="24" t="s">
        <v>961</v>
      </c>
      <c r="C2286" s="24" t="s">
        <v>6</v>
      </c>
      <c r="D2286" s="24" t="s">
        <v>1602</v>
      </c>
      <c r="E2286" s="24" t="s">
        <v>8</v>
      </c>
      <c r="F2286" s="24" t="s">
        <v>9</v>
      </c>
      <c r="G2286" s="24" t="s">
        <v>8</v>
      </c>
      <c r="H2286" s="24" t="s">
        <v>53</v>
      </c>
      <c r="I2286" s="27">
        <v>148.01</v>
      </c>
    </row>
    <row r="2287" spans="2:9" ht="16">
      <c r="B2287" s="24" t="s">
        <v>961</v>
      </c>
      <c r="C2287" s="24" t="s">
        <v>6</v>
      </c>
      <c r="D2287" s="24" t="s">
        <v>1086</v>
      </c>
      <c r="E2287" s="24" t="s">
        <v>8</v>
      </c>
      <c r="F2287" s="24" t="s">
        <v>9</v>
      </c>
      <c r="G2287" s="24" t="s">
        <v>8</v>
      </c>
      <c r="H2287" s="24" t="s">
        <v>53</v>
      </c>
      <c r="I2287" s="27">
        <v>1476.26</v>
      </c>
    </row>
    <row r="2288" spans="2:9" ht="16">
      <c r="B2288" s="24" t="s">
        <v>961</v>
      </c>
      <c r="C2288" s="24" t="s">
        <v>6</v>
      </c>
      <c r="D2288" s="24" t="s">
        <v>1538</v>
      </c>
      <c r="E2288" s="24" t="s">
        <v>8</v>
      </c>
      <c r="F2288" s="24" t="s">
        <v>9</v>
      </c>
      <c r="G2288" s="24" t="s">
        <v>8</v>
      </c>
      <c r="H2288" s="24" t="s">
        <v>53</v>
      </c>
      <c r="I2288" s="27">
        <v>789.38</v>
      </c>
    </row>
    <row r="2289" spans="2:9" ht="16">
      <c r="B2289" s="24" t="s">
        <v>961</v>
      </c>
      <c r="C2289" s="24" t="s">
        <v>6</v>
      </c>
      <c r="D2289" s="24" t="s">
        <v>1603</v>
      </c>
      <c r="E2289" s="24" t="s">
        <v>8</v>
      </c>
      <c r="F2289" s="24" t="s">
        <v>9</v>
      </c>
      <c r="G2289" s="24" t="s">
        <v>8</v>
      </c>
      <c r="H2289" s="24" t="s">
        <v>53</v>
      </c>
      <c r="I2289" s="27">
        <v>304.08</v>
      </c>
    </row>
    <row r="2290" spans="2:9" ht="16">
      <c r="B2290" s="24" t="s">
        <v>961</v>
      </c>
      <c r="C2290" s="24" t="s">
        <v>6</v>
      </c>
      <c r="D2290" s="24" t="s">
        <v>1596</v>
      </c>
      <c r="E2290" s="24" t="s">
        <v>8</v>
      </c>
      <c r="F2290" s="24" t="s">
        <v>9</v>
      </c>
      <c r="G2290" s="24" t="s">
        <v>8</v>
      </c>
      <c r="H2290" s="24" t="s">
        <v>53</v>
      </c>
      <c r="I2290" s="27">
        <v>363.74</v>
      </c>
    </row>
    <row r="2291" spans="2:9" ht="16">
      <c r="B2291" s="24" t="s">
        <v>8</v>
      </c>
      <c r="C2291" s="24" t="s">
        <v>150</v>
      </c>
      <c r="D2291" s="24" t="s">
        <v>1598</v>
      </c>
      <c r="E2291" s="24" t="s">
        <v>1917</v>
      </c>
      <c r="F2291" s="24" t="s">
        <v>9</v>
      </c>
      <c r="G2291" s="24" t="s">
        <v>8</v>
      </c>
      <c r="H2291" s="24" t="s">
        <v>8</v>
      </c>
      <c r="I2291" s="27">
        <v>187.73</v>
      </c>
    </row>
    <row r="2292" spans="1:9" ht="16">
      <c r="A2292" s="35" t="s">
        <v>67</v>
      </c>
      <c r="I2292" s="28">
        <f>I2266+I2267+I2268+I2269+I2270+I2271+I2272+I2273+I2274+I2275+I2276+I2277+I2278+I2279+I2280+I2281+I2282+I2283+I2284+I2285+I2286+I2287+I2288+I2289+I2290+I2291</f>
        <v>34262.189999999995</v>
      </c>
    </row>
    <row r="2293" spans="1:9" ht="16">
      <c r="A2293" s="36" t="s">
        <v>1918</v>
      </c>
      <c r="I2293" s="28">
        <f>I2244+I2253+I2265+I2292</f>
        <v>146411.4</v>
      </c>
    </row>
    <row r="2294" spans="1:1" ht="16">
      <c r="A2294" s="33" t="s">
        <v>172</v>
      </c>
    </row>
    <row r="2295" spans="1:1" ht="16">
      <c r="A2295" s="34" t="s">
        <v>1919</v>
      </c>
    </row>
    <row r="2296" spans="2:9" ht="16">
      <c r="B2296" s="24" t="s">
        <v>21</v>
      </c>
      <c r="C2296" s="24" t="s">
        <v>13</v>
      </c>
      <c r="D2296" s="24" t="s">
        <v>1827</v>
      </c>
      <c r="E2296" s="24" t="s">
        <v>1920</v>
      </c>
      <c r="F2296" s="24" t="s">
        <v>9</v>
      </c>
      <c r="G2296" s="24" t="s">
        <v>8</v>
      </c>
      <c r="H2296" s="24" t="s">
        <v>1921</v>
      </c>
      <c r="I2296" s="27">
        <v>5158.13</v>
      </c>
    </row>
    <row r="2297" spans="2:9" ht="16">
      <c r="B2297" s="24" t="s">
        <v>21</v>
      </c>
      <c r="C2297" s="24" t="s">
        <v>13</v>
      </c>
      <c r="D2297" s="24" t="s">
        <v>1603</v>
      </c>
      <c r="E2297" s="24" t="s">
        <v>1922</v>
      </c>
      <c r="F2297" s="24" t="s">
        <v>9</v>
      </c>
      <c r="G2297" s="24" t="s">
        <v>8</v>
      </c>
      <c r="H2297" s="24" t="s">
        <v>1921</v>
      </c>
      <c r="I2297" s="27">
        <v>3522.75</v>
      </c>
    </row>
    <row r="2298" spans="2:9" ht="16">
      <c r="B2298" s="24" t="s">
        <v>21</v>
      </c>
      <c r="C2298" s="24" t="s">
        <v>13</v>
      </c>
      <c r="D2298" s="24" t="s">
        <v>1923</v>
      </c>
      <c r="E2298" s="24" t="s">
        <v>1924</v>
      </c>
      <c r="F2298" s="24" t="s">
        <v>9</v>
      </c>
      <c r="G2298" s="24" t="s">
        <v>8</v>
      </c>
      <c r="H2298" s="24" t="s">
        <v>1925</v>
      </c>
      <c r="I2298" s="27">
        <v>3811.5</v>
      </c>
    </row>
    <row r="2299" spans="2:9" ht="16">
      <c r="B2299" s="24" t="s">
        <v>77</v>
      </c>
      <c r="C2299" s="24" t="s">
        <v>13</v>
      </c>
      <c r="D2299" s="24" t="s">
        <v>1685</v>
      </c>
      <c r="E2299" s="24" t="s">
        <v>1926</v>
      </c>
      <c r="F2299" s="24" t="s">
        <v>9</v>
      </c>
      <c r="G2299" s="24" t="s">
        <v>8</v>
      </c>
      <c r="H2299" s="24" t="s">
        <v>1249</v>
      </c>
      <c r="I2299" s="27">
        <v>511.69</v>
      </c>
    </row>
    <row r="2300" spans="2:9" ht="16">
      <c r="B2300" s="24" t="s">
        <v>77</v>
      </c>
      <c r="C2300" s="24" t="s">
        <v>13</v>
      </c>
      <c r="D2300" s="24" t="s">
        <v>1927</v>
      </c>
      <c r="E2300" s="24" t="s">
        <v>1928</v>
      </c>
      <c r="F2300" s="24" t="s">
        <v>9</v>
      </c>
      <c r="G2300" s="24" t="s">
        <v>8</v>
      </c>
      <c r="H2300" s="24" t="s">
        <v>1249</v>
      </c>
      <c r="I2300" s="27">
        <v>761.69</v>
      </c>
    </row>
    <row r="2301" spans="2:9" ht="16">
      <c r="B2301" s="24" t="s">
        <v>77</v>
      </c>
      <c r="C2301" s="24" t="s">
        <v>13</v>
      </c>
      <c r="D2301" s="24" t="s">
        <v>1685</v>
      </c>
      <c r="E2301" s="24" t="s">
        <v>1929</v>
      </c>
      <c r="F2301" s="24" t="s">
        <v>9</v>
      </c>
      <c r="G2301" s="24" t="s">
        <v>8</v>
      </c>
      <c r="H2301" s="24" t="s">
        <v>1249</v>
      </c>
      <c r="I2301" s="27">
        <v>761.69</v>
      </c>
    </row>
    <row r="2302" spans="2:9" ht="16">
      <c r="B2302" s="24" t="s">
        <v>77</v>
      </c>
      <c r="C2302" s="24" t="s">
        <v>13</v>
      </c>
      <c r="D2302" s="24" t="s">
        <v>1930</v>
      </c>
      <c r="E2302" s="24" t="s">
        <v>1931</v>
      </c>
      <c r="F2302" s="24" t="s">
        <v>9</v>
      </c>
      <c r="G2302" s="24" t="s">
        <v>8</v>
      </c>
      <c r="H2302" s="24" t="s">
        <v>1932</v>
      </c>
      <c r="I2302" s="27">
        <v>511.69</v>
      </c>
    </row>
    <row r="2303" spans="1:9" ht="16">
      <c r="A2303" s="35" t="s">
        <v>81</v>
      </c>
      <c r="I2303" s="28">
        <f>I2295+I2296+I2297+I2298+I2299+I2300+I2301+I2302</f>
        <v>15039.140000000003</v>
      </c>
    </row>
    <row r="2304" spans="1:1" ht="16">
      <c r="A2304" s="34" t="s">
        <v>1919</v>
      </c>
    </row>
    <row r="2305" spans="2:9" ht="16">
      <c r="B2305" s="24" t="s">
        <v>1288</v>
      </c>
      <c r="C2305" s="24" t="s">
        <v>6</v>
      </c>
      <c r="D2305" s="24" t="s">
        <v>1682</v>
      </c>
      <c r="E2305" s="24" t="s">
        <v>8</v>
      </c>
      <c r="F2305" s="24" t="s">
        <v>42</v>
      </c>
      <c r="G2305" s="24" t="s">
        <v>8</v>
      </c>
      <c r="H2305" s="24" t="s">
        <v>1933</v>
      </c>
      <c r="I2305" s="27">
        <v>14.81</v>
      </c>
    </row>
    <row r="2306" spans="2:9" ht="16">
      <c r="B2306" s="24" t="s">
        <v>1934</v>
      </c>
      <c r="C2306" s="24" t="s">
        <v>6</v>
      </c>
      <c r="D2306" s="24" t="s">
        <v>1935</v>
      </c>
      <c r="E2306" s="24" t="s">
        <v>8</v>
      </c>
      <c r="F2306" s="24" t="s">
        <v>42</v>
      </c>
      <c r="G2306" s="24" t="s">
        <v>8</v>
      </c>
      <c r="H2306" s="24" t="s">
        <v>1936</v>
      </c>
      <c r="I2306" s="27">
        <v>36.28</v>
      </c>
    </row>
    <row r="2307" spans="2:9" ht="16">
      <c r="B2307" s="24" t="s">
        <v>794</v>
      </c>
      <c r="C2307" s="24" t="s">
        <v>6</v>
      </c>
      <c r="D2307" s="24" t="s">
        <v>1769</v>
      </c>
      <c r="E2307" s="24" t="s">
        <v>1937</v>
      </c>
      <c r="F2307" s="24" t="s">
        <v>42</v>
      </c>
      <c r="G2307" s="24" t="s">
        <v>8</v>
      </c>
      <c r="H2307" s="24" t="s">
        <v>1938</v>
      </c>
      <c r="I2307" s="27">
        <v>11.62</v>
      </c>
    </row>
    <row r="2308" spans="1:9" ht="16">
      <c r="A2308" s="35" t="s">
        <v>797</v>
      </c>
      <c r="I2308" s="28">
        <f>I2304+I2305+I2306+I2307</f>
        <v>62.71</v>
      </c>
    </row>
    <row r="2309" spans="1:1" ht="16">
      <c r="A2309" s="34" t="s">
        <v>1919</v>
      </c>
    </row>
    <row r="2310" spans="2:9" ht="16">
      <c r="B2310" s="24" t="s">
        <v>1607</v>
      </c>
      <c r="C2310" s="24" t="s">
        <v>13</v>
      </c>
      <c r="D2310" s="24" t="s">
        <v>1695</v>
      </c>
      <c r="E2310" s="24" t="s">
        <v>1939</v>
      </c>
      <c r="F2310" s="24" t="s">
        <v>9</v>
      </c>
      <c r="G2310" s="24" t="s">
        <v>8</v>
      </c>
      <c r="H2310" s="24" t="s">
        <v>1609</v>
      </c>
      <c r="I2310" s="27">
        <v>24530.0</v>
      </c>
    </row>
    <row r="2311" spans="2:9" ht="16">
      <c r="B2311" s="24" t="s">
        <v>1607</v>
      </c>
      <c r="C2311" s="24" t="s">
        <v>6</v>
      </c>
      <c r="D2311" s="24" t="s">
        <v>1940</v>
      </c>
      <c r="E2311" s="24" t="s">
        <v>8</v>
      </c>
      <c r="F2311" s="24" t="s">
        <v>9</v>
      </c>
      <c r="G2311" s="24" t="s">
        <v>8</v>
      </c>
      <c r="H2311" s="24" t="s">
        <v>1941</v>
      </c>
      <c r="I2311" s="27">
        <v>252.0</v>
      </c>
    </row>
    <row r="2312" spans="1:9" ht="16">
      <c r="A2312" s="35" t="s">
        <v>1610</v>
      </c>
      <c r="I2312" s="28">
        <f>I2309+I2310+I2311</f>
        <v>24782.0</v>
      </c>
    </row>
    <row r="2313" spans="1:1" ht="16">
      <c r="A2313" s="34" t="s">
        <v>1919</v>
      </c>
    </row>
    <row r="2314" spans="2:9" ht="16">
      <c r="B2314" s="24" t="s">
        <v>21</v>
      </c>
      <c r="C2314" s="24" t="s">
        <v>13</v>
      </c>
      <c r="D2314" s="24" t="s">
        <v>1673</v>
      </c>
      <c r="E2314" s="24" t="s">
        <v>1942</v>
      </c>
      <c r="F2314" s="24" t="s">
        <v>9</v>
      </c>
      <c r="G2314" s="24" t="s">
        <v>8</v>
      </c>
      <c r="H2314" s="24" t="s">
        <v>1943</v>
      </c>
      <c r="I2314" s="27">
        <v>1814.3</v>
      </c>
    </row>
    <row r="2315" spans="2:9" ht="16">
      <c r="B2315" s="24" t="s">
        <v>21</v>
      </c>
      <c r="C2315" s="24" t="s">
        <v>13</v>
      </c>
      <c r="D2315" s="24" t="s">
        <v>1944</v>
      </c>
      <c r="E2315" s="24" t="s">
        <v>1945</v>
      </c>
      <c r="F2315" s="24" t="s">
        <v>9</v>
      </c>
      <c r="G2315" s="24" t="s">
        <v>8</v>
      </c>
      <c r="H2315" s="24" t="s">
        <v>1946</v>
      </c>
      <c r="I2315" s="27">
        <v>92.5</v>
      </c>
    </row>
    <row r="2316" spans="2:9" ht="16">
      <c r="B2316" s="24" t="s">
        <v>589</v>
      </c>
      <c r="C2316" s="24" t="s">
        <v>6</v>
      </c>
      <c r="D2316" s="24" t="s">
        <v>1930</v>
      </c>
      <c r="E2316" s="24" t="s">
        <v>1947</v>
      </c>
      <c r="F2316" s="24" t="s">
        <v>9</v>
      </c>
      <c r="G2316" s="24" t="s">
        <v>8</v>
      </c>
      <c r="H2316" s="24" t="s">
        <v>1948</v>
      </c>
      <c r="I2316" s="27">
        <v>13.57</v>
      </c>
    </row>
    <row r="2317" spans="2:9" ht="16">
      <c r="B2317" s="24" t="s">
        <v>1288</v>
      </c>
      <c r="C2317" s="24" t="s">
        <v>6</v>
      </c>
      <c r="D2317" s="24" t="s">
        <v>1666</v>
      </c>
      <c r="E2317" s="24" t="s">
        <v>8</v>
      </c>
      <c r="F2317" s="24" t="s">
        <v>9</v>
      </c>
      <c r="G2317" s="24" t="s">
        <v>8</v>
      </c>
      <c r="H2317" s="24" t="s">
        <v>1933</v>
      </c>
      <c r="I2317" s="27">
        <v>14.81</v>
      </c>
    </row>
    <row r="2318" spans="2:9" ht="16">
      <c r="B2318" s="24" t="s">
        <v>1949</v>
      </c>
      <c r="C2318" s="24" t="s">
        <v>6</v>
      </c>
      <c r="D2318" s="24" t="s">
        <v>1681</v>
      </c>
      <c r="E2318" s="24" t="s">
        <v>8</v>
      </c>
      <c r="F2318" s="24" t="s">
        <v>9</v>
      </c>
      <c r="G2318" s="24" t="s">
        <v>8</v>
      </c>
      <c r="H2318" s="24" t="s">
        <v>1950</v>
      </c>
      <c r="I2318" s="27">
        <v>71.75</v>
      </c>
    </row>
    <row r="2319" spans="2:9" ht="16">
      <c r="B2319" s="24" t="s">
        <v>21</v>
      </c>
      <c r="C2319" s="24" t="s">
        <v>13</v>
      </c>
      <c r="D2319" s="24" t="s">
        <v>1951</v>
      </c>
      <c r="E2319" s="24" t="s">
        <v>1952</v>
      </c>
      <c r="F2319" s="24" t="s">
        <v>9</v>
      </c>
      <c r="G2319" s="24" t="s">
        <v>8</v>
      </c>
      <c r="H2319" s="24" t="s">
        <v>1953</v>
      </c>
      <c r="I2319" s="27">
        <v>1956.3</v>
      </c>
    </row>
    <row r="2320" spans="2:9" ht="16">
      <c r="B2320" s="24" t="s">
        <v>17</v>
      </c>
      <c r="C2320" s="24" t="s">
        <v>6</v>
      </c>
      <c r="D2320" s="24" t="s">
        <v>1769</v>
      </c>
      <c r="E2320" s="24" t="s">
        <v>8</v>
      </c>
      <c r="F2320" s="24" t="s">
        <v>9</v>
      </c>
      <c r="G2320" s="24" t="s">
        <v>8</v>
      </c>
      <c r="H2320" s="24" t="s">
        <v>1954</v>
      </c>
      <c r="I2320" s="27">
        <v>638.86</v>
      </c>
    </row>
    <row r="2321" spans="2:9" ht="16">
      <c r="B2321" s="24" t="s">
        <v>21</v>
      </c>
      <c r="C2321" s="24" t="s">
        <v>13</v>
      </c>
      <c r="D2321" s="24" t="s">
        <v>1955</v>
      </c>
      <c r="E2321" s="24" t="s">
        <v>1956</v>
      </c>
      <c r="F2321" s="24" t="s">
        <v>9</v>
      </c>
      <c r="G2321" s="24" t="s">
        <v>8</v>
      </c>
      <c r="H2321" s="24" t="s">
        <v>1957</v>
      </c>
      <c r="I2321" s="27">
        <v>5758.56</v>
      </c>
    </row>
    <row r="2322" spans="2:9" ht="16">
      <c r="B2322" s="24" t="s">
        <v>21</v>
      </c>
      <c r="C2322" s="24" t="s">
        <v>13</v>
      </c>
      <c r="D2322" s="24" t="s">
        <v>1958</v>
      </c>
      <c r="E2322" s="24" t="s">
        <v>1959</v>
      </c>
      <c r="F2322" s="24" t="s">
        <v>9</v>
      </c>
      <c r="G2322" s="24" t="s">
        <v>8</v>
      </c>
      <c r="H2322" s="24" t="s">
        <v>1960</v>
      </c>
      <c r="I2322" s="27">
        <v>30.34</v>
      </c>
    </row>
    <row r="2323" spans="2:9" ht="16">
      <c r="B2323" s="24" t="s">
        <v>8</v>
      </c>
      <c r="C2323" s="24" t="s">
        <v>6</v>
      </c>
      <c r="D2323" s="24" t="s">
        <v>1961</v>
      </c>
      <c r="E2323" s="24" t="s">
        <v>8</v>
      </c>
      <c r="F2323" s="24" t="s">
        <v>9</v>
      </c>
      <c r="G2323" s="24" t="s">
        <v>8</v>
      </c>
      <c r="H2323" s="24" t="s">
        <v>1962</v>
      </c>
      <c r="I2323" s="27">
        <v>32.93</v>
      </c>
    </row>
    <row r="2324" spans="2:9" ht="16">
      <c r="B2324" s="24" t="s">
        <v>36</v>
      </c>
      <c r="C2324" s="24" t="s">
        <v>6</v>
      </c>
      <c r="D2324" s="24" t="s">
        <v>1963</v>
      </c>
      <c r="E2324" s="24" t="s">
        <v>8</v>
      </c>
      <c r="F2324" s="24" t="s">
        <v>9</v>
      </c>
      <c r="G2324" s="24" t="s">
        <v>8</v>
      </c>
      <c r="H2324" s="24" t="s">
        <v>1964</v>
      </c>
      <c r="I2324" s="27">
        <v>121.85</v>
      </c>
    </row>
    <row r="2325" spans="2:9" ht="16">
      <c r="B2325" s="24" t="s">
        <v>36</v>
      </c>
      <c r="C2325" s="24" t="s">
        <v>6</v>
      </c>
      <c r="D2325" s="24" t="s">
        <v>1965</v>
      </c>
      <c r="E2325" s="24" t="s">
        <v>8</v>
      </c>
      <c r="F2325" s="24" t="s">
        <v>9</v>
      </c>
      <c r="G2325" s="24" t="s">
        <v>8</v>
      </c>
      <c r="H2325" s="24" t="s">
        <v>1964</v>
      </c>
      <c r="I2325" s="27">
        <v>32.81</v>
      </c>
    </row>
    <row r="2326" spans="2:9" ht="16">
      <c r="B2326" s="24" t="s">
        <v>36</v>
      </c>
      <c r="C2326" s="24" t="s">
        <v>6</v>
      </c>
      <c r="D2326" s="24" t="s">
        <v>1966</v>
      </c>
      <c r="E2326" s="24" t="s">
        <v>1967</v>
      </c>
      <c r="F2326" s="24" t="s">
        <v>9</v>
      </c>
      <c r="G2326" s="24" t="s">
        <v>8</v>
      </c>
      <c r="H2326" s="24" t="s">
        <v>1964</v>
      </c>
      <c r="I2326" s="27">
        <v>85.4</v>
      </c>
    </row>
    <row r="2327" spans="2:9" ht="16">
      <c r="B2327" s="24" t="s">
        <v>36</v>
      </c>
      <c r="C2327" s="24" t="s">
        <v>6</v>
      </c>
      <c r="D2327" s="24" t="s">
        <v>1596</v>
      </c>
      <c r="E2327" s="24" t="s">
        <v>1968</v>
      </c>
      <c r="F2327" s="24" t="s">
        <v>9</v>
      </c>
      <c r="G2327" s="24" t="s">
        <v>8</v>
      </c>
      <c r="H2327" s="24" t="s">
        <v>1964</v>
      </c>
      <c r="I2327" s="27">
        <v>17.39</v>
      </c>
    </row>
    <row r="2328" spans="2:9" ht="16">
      <c r="B2328" s="24" t="s">
        <v>36</v>
      </c>
      <c r="C2328" s="24" t="s">
        <v>6</v>
      </c>
      <c r="D2328" s="24" t="s">
        <v>1822</v>
      </c>
      <c r="E2328" s="24" t="s">
        <v>8</v>
      </c>
      <c r="F2328" s="24" t="s">
        <v>9</v>
      </c>
      <c r="G2328" s="24" t="s">
        <v>8</v>
      </c>
      <c r="H2328" s="24" t="s">
        <v>1964</v>
      </c>
      <c r="I2328" s="27">
        <v>97.2</v>
      </c>
    </row>
    <row r="2329" spans="2:9" ht="16">
      <c r="B2329" s="24" t="s">
        <v>36</v>
      </c>
      <c r="C2329" s="24" t="s">
        <v>6</v>
      </c>
      <c r="D2329" s="24" t="s">
        <v>1969</v>
      </c>
      <c r="E2329" s="24" t="s">
        <v>8</v>
      </c>
      <c r="F2329" s="24" t="s">
        <v>9</v>
      </c>
      <c r="G2329" s="24" t="s">
        <v>8</v>
      </c>
      <c r="H2329" s="24" t="s">
        <v>1964</v>
      </c>
      <c r="I2329" s="27">
        <v>87.79</v>
      </c>
    </row>
    <row r="2330" spans="2:9" ht="16">
      <c r="B2330" s="24" t="s">
        <v>8</v>
      </c>
      <c r="C2330" s="24" t="s">
        <v>6</v>
      </c>
      <c r="D2330" s="24" t="s">
        <v>1970</v>
      </c>
      <c r="E2330" s="24" t="s">
        <v>8</v>
      </c>
      <c r="F2330" s="24" t="s">
        <v>9</v>
      </c>
      <c r="G2330" s="24" t="s">
        <v>8</v>
      </c>
      <c r="H2330" s="24" t="s">
        <v>1971</v>
      </c>
      <c r="I2330" s="27">
        <v>202.23</v>
      </c>
    </row>
    <row r="2331" spans="2:9" ht="16">
      <c r="B2331" s="24" t="s">
        <v>36</v>
      </c>
      <c r="C2331" s="24" t="s">
        <v>6</v>
      </c>
      <c r="D2331" s="24" t="s">
        <v>1972</v>
      </c>
      <c r="E2331" s="24" t="s">
        <v>8</v>
      </c>
      <c r="F2331" s="24" t="s">
        <v>9</v>
      </c>
      <c r="G2331" s="24" t="s">
        <v>8</v>
      </c>
      <c r="H2331" s="24" t="s">
        <v>1971</v>
      </c>
      <c r="I2331" s="27">
        <v>13.14</v>
      </c>
    </row>
    <row r="2332" spans="2:9" ht="16">
      <c r="B2332" s="24" t="s">
        <v>589</v>
      </c>
      <c r="C2332" s="24" t="s">
        <v>6</v>
      </c>
      <c r="D2332" s="24" t="s">
        <v>1587</v>
      </c>
      <c r="E2332" s="24" t="s">
        <v>1973</v>
      </c>
      <c r="F2332" s="24" t="s">
        <v>9</v>
      </c>
      <c r="G2332" s="24" t="s">
        <v>8</v>
      </c>
      <c r="H2332" s="24" t="s">
        <v>1974</v>
      </c>
      <c r="I2332" s="27">
        <v>243.9</v>
      </c>
    </row>
    <row r="2333" spans="2:9" ht="16">
      <c r="B2333" s="24" t="s">
        <v>21</v>
      </c>
      <c r="C2333" s="24" t="s">
        <v>13</v>
      </c>
      <c r="D2333" s="24" t="s">
        <v>1685</v>
      </c>
      <c r="E2333" s="24" t="s">
        <v>1975</v>
      </c>
      <c r="F2333" s="24" t="s">
        <v>9</v>
      </c>
      <c r="G2333" s="24" t="s">
        <v>8</v>
      </c>
      <c r="H2333" s="24" t="s">
        <v>1976</v>
      </c>
      <c r="I2333" s="27">
        <v>1298.86</v>
      </c>
    </row>
    <row r="2334" spans="2:9" ht="16">
      <c r="B2334" s="24" t="s">
        <v>21</v>
      </c>
      <c r="C2334" s="24" t="s">
        <v>13</v>
      </c>
      <c r="D2334" s="24" t="s">
        <v>1977</v>
      </c>
      <c r="E2334" s="24" t="s">
        <v>1978</v>
      </c>
      <c r="F2334" s="24" t="s">
        <v>9</v>
      </c>
      <c r="G2334" s="24" t="s">
        <v>8</v>
      </c>
      <c r="H2334" s="24" t="s">
        <v>834</v>
      </c>
      <c r="I2334" s="27">
        <v>196.39</v>
      </c>
    </row>
    <row r="2335" spans="2:9" ht="16">
      <c r="B2335" s="24" t="s">
        <v>21</v>
      </c>
      <c r="C2335" s="24" t="s">
        <v>13</v>
      </c>
      <c r="D2335" s="24" t="s">
        <v>1930</v>
      </c>
      <c r="E2335" s="24" t="s">
        <v>1979</v>
      </c>
      <c r="F2335" s="24" t="s">
        <v>9</v>
      </c>
      <c r="G2335" s="24" t="s">
        <v>8</v>
      </c>
      <c r="H2335" s="24" t="s">
        <v>834</v>
      </c>
      <c r="I2335" s="27">
        <v>3276.4</v>
      </c>
    </row>
    <row r="2336" spans="2:9" ht="16">
      <c r="B2336" s="24" t="s">
        <v>21</v>
      </c>
      <c r="C2336" s="24" t="s">
        <v>13</v>
      </c>
      <c r="D2336" s="24" t="s">
        <v>1980</v>
      </c>
      <c r="E2336" s="24" t="s">
        <v>1981</v>
      </c>
      <c r="F2336" s="24" t="s">
        <v>9</v>
      </c>
      <c r="G2336" s="24" t="s">
        <v>8</v>
      </c>
      <c r="H2336" s="24" t="s">
        <v>834</v>
      </c>
      <c r="I2336" s="27">
        <v>63.0</v>
      </c>
    </row>
    <row r="2337" spans="2:9" ht="16">
      <c r="B2337" s="24" t="s">
        <v>21</v>
      </c>
      <c r="C2337" s="24" t="s">
        <v>13</v>
      </c>
      <c r="D2337" s="24" t="s">
        <v>1683</v>
      </c>
      <c r="E2337" s="24" t="s">
        <v>1982</v>
      </c>
      <c r="F2337" s="24" t="s">
        <v>9</v>
      </c>
      <c r="G2337" s="24" t="s">
        <v>8</v>
      </c>
      <c r="H2337" s="24" t="s">
        <v>834</v>
      </c>
      <c r="I2337" s="27">
        <v>310.8</v>
      </c>
    </row>
    <row r="2338" spans="2:9" ht="16">
      <c r="B2338" s="24" t="s">
        <v>21</v>
      </c>
      <c r="C2338" s="24" t="s">
        <v>13</v>
      </c>
      <c r="D2338" s="24" t="s">
        <v>1923</v>
      </c>
      <c r="E2338" s="24" t="s">
        <v>1983</v>
      </c>
      <c r="F2338" s="24" t="s">
        <v>9</v>
      </c>
      <c r="G2338" s="24" t="s">
        <v>8</v>
      </c>
      <c r="H2338" s="24" t="s">
        <v>834</v>
      </c>
      <c r="I2338" s="27">
        <v>250.8</v>
      </c>
    </row>
    <row r="2339" spans="2:9" ht="16">
      <c r="B2339" s="24" t="s">
        <v>21</v>
      </c>
      <c r="C2339" s="24" t="s">
        <v>13</v>
      </c>
      <c r="D2339" s="24" t="s">
        <v>1980</v>
      </c>
      <c r="E2339" s="24" t="s">
        <v>1984</v>
      </c>
      <c r="F2339" s="24" t="s">
        <v>9</v>
      </c>
      <c r="G2339" s="24" t="s">
        <v>8</v>
      </c>
      <c r="H2339" s="24" t="s">
        <v>837</v>
      </c>
      <c r="I2339" s="27">
        <v>1301.43</v>
      </c>
    </row>
    <row r="2340" spans="2:9" ht="16">
      <c r="B2340" s="24" t="s">
        <v>21</v>
      </c>
      <c r="C2340" s="24" t="s">
        <v>13</v>
      </c>
      <c r="D2340" s="24" t="s">
        <v>1930</v>
      </c>
      <c r="E2340" s="24" t="s">
        <v>1985</v>
      </c>
      <c r="F2340" s="24" t="s">
        <v>9</v>
      </c>
      <c r="G2340" s="24" t="s">
        <v>8</v>
      </c>
      <c r="H2340" s="24" t="s">
        <v>837</v>
      </c>
      <c r="I2340" s="27">
        <v>583.18</v>
      </c>
    </row>
    <row r="2341" spans="2:9" ht="16">
      <c r="B2341" s="24" t="s">
        <v>21</v>
      </c>
      <c r="C2341" s="24" t="s">
        <v>13</v>
      </c>
      <c r="D2341" s="24" t="s">
        <v>1986</v>
      </c>
      <c r="E2341" s="24" t="s">
        <v>1987</v>
      </c>
      <c r="F2341" s="24" t="s">
        <v>9</v>
      </c>
      <c r="G2341" s="24" t="s">
        <v>8</v>
      </c>
      <c r="H2341" s="24" t="s">
        <v>837</v>
      </c>
      <c r="I2341" s="27">
        <v>3696.37</v>
      </c>
    </row>
    <row r="2342" spans="2:9" ht="16">
      <c r="B2342" s="24" t="s">
        <v>21</v>
      </c>
      <c r="C2342" s="24" t="s">
        <v>13</v>
      </c>
      <c r="D2342" s="24" t="s">
        <v>1988</v>
      </c>
      <c r="E2342" s="24" t="s">
        <v>1989</v>
      </c>
      <c r="F2342" s="24" t="s">
        <v>9</v>
      </c>
      <c r="G2342" s="24" t="s">
        <v>8</v>
      </c>
      <c r="H2342" s="24" t="s">
        <v>837</v>
      </c>
      <c r="I2342" s="27">
        <v>140.4</v>
      </c>
    </row>
    <row r="2343" spans="2:9" ht="16">
      <c r="B2343" s="24" t="s">
        <v>21</v>
      </c>
      <c r="C2343" s="24" t="s">
        <v>13</v>
      </c>
      <c r="D2343" s="24" t="s">
        <v>1682</v>
      </c>
      <c r="E2343" s="24" t="s">
        <v>1990</v>
      </c>
      <c r="F2343" s="24" t="s">
        <v>9</v>
      </c>
      <c r="G2343" s="24" t="s">
        <v>8</v>
      </c>
      <c r="H2343" s="24" t="s">
        <v>837</v>
      </c>
      <c r="I2343" s="27">
        <v>258.1</v>
      </c>
    </row>
    <row r="2344" spans="2:9" ht="16">
      <c r="B2344" s="24" t="s">
        <v>21</v>
      </c>
      <c r="C2344" s="24" t="s">
        <v>13</v>
      </c>
      <c r="D2344" s="24" t="s">
        <v>1991</v>
      </c>
      <c r="E2344" s="24" t="s">
        <v>1992</v>
      </c>
      <c r="F2344" s="24" t="s">
        <v>9</v>
      </c>
      <c r="G2344" s="24" t="s">
        <v>8</v>
      </c>
      <c r="H2344" s="24" t="s">
        <v>837</v>
      </c>
      <c r="I2344" s="27">
        <v>94.0</v>
      </c>
    </row>
    <row r="2345" spans="2:9" ht="16">
      <c r="B2345" s="24" t="s">
        <v>21</v>
      </c>
      <c r="C2345" s="24" t="s">
        <v>13</v>
      </c>
      <c r="D2345" s="24" t="s">
        <v>1930</v>
      </c>
      <c r="E2345" s="24" t="s">
        <v>1993</v>
      </c>
      <c r="F2345" s="24" t="s">
        <v>9</v>
      </c>
      <c r="G2345" s="24" t="s">
        <v>8</v>
      </c>
      <c r="H2345" s="24" t="s">
        <v>837</v>
      </c>
      <c r="I2345" s="27">
        <v>2546.44</v>
      </c>
    </row>
    <row r="2346" spans="2:9" ht="16">
      <c r="B2346" s="24" t="s">
        <v>21</v>
      </c>
      <c r="C2346" s="24" t="s">
        <v>13</v>
      </c>
      <c r="D2346" s="24" t="s">
        <v>1685</v>
      </c>
      <c r="E2346" s="24" t="s">
        <v>1994</v>
      </c>
      <c r="F2346" s="24" t="s">
        <v>9</v>
      </c>
      <c r="G2346" s="24" t="s">
        <v>8</v>
      </c>
      <c r="H2346" s="24" t="s">
        <v>837</v>
      </c>
      <c r="I2346" s="27">
        <v>5875.54</v>
      </c>
    </row>
    <row r="2347" spans="2:9" ht="16">
      <c r="B2347" s="24" t="s">
        <v>21</v>
      </c>
      <c r="C2347" s="24" t="s">
        <v>13</v>
      </c>
      <c r="D2347" s="24" t="s">
        <v>1995</v>
      </c>
      <c r="E2347" s="24" t="s">
        <v>1996</v>
      </c>
      <c r="F2347" s="24" t="s">
        <v>9</v>
      </c>
      <c r="G2347" s="24" t="s">
        <v>8</v>
      </c>
      <c r="H2347" s="24" t="s">
        <v>837</v>
      </c>
      <c r="I2347" s="27">
        <v>264.56</v>
      </c>
    </row>
    <row r="2348" spans="2:9" ht="16">
      <c r="B2348" s="24" t="s">
        <v>21</v>
      </c>
      <c r="C2348" s="24" t="s">
        <v>13</v>
      </c>
      <c r="D2348" s="24" t="s">
        <v>1685</v>
      </c>
      <c r="E2348" s="24" t="s">
        <v>1997</v>
      </c>
      <c r="F2348" s="24" t="s">
        <v>9</v>
      </c>
      <c r="G2348" s="24" t="s">
        <v>8</v>
      </c>
      <c r="H2348" s="24" t="s">
        <v>837</v>
      </c>
      <c r="I2348" s="27">
        <v>403.2</v>
      </c>
    </row>
    <row r="2349" spans="2:9" ht="16">
      <c r="B2349" s="24" t="s">
        <v>36</v>
      </c>
      <c r="C2349" s="24" t="s">
        <v>6</v>
      </c>
      <c r="D2349" s="24" t="s">
        <v>1541</v>
      </c>
      <c r="E2349" s="24" t="s">
        <v>8</v>
      </c>
      <c r="F2349" s="24" t="s">
        <v>9</v>
      </c>
      <c r="G2349" s="24" t="s">
        <v>8</v>
      </c>
      <c r="H2349" s="24" t="s">
        <v>1998</v>
      </c>
      <c r="I2349" s="27">
        <v>9.77</v>
      </c>
    </row>
    <row r="2350" spans="2:9" ht="16">
      <c r="B2350" s="24" t="s">
        <v>8</v>
      </c>
      <c r="C2350" s="24" t="s">
        <v>6</v>
      </c>
      <c r="D2350" s="24" t="s">
        <v>928</v>
      </c>
      <c r="E2350" s="24" t="s">
        <v>8</v>
      </c>
      <c r="F2350" s="24" t="s">
        <v>9</v>
      </c>
      <c r="G2350" s="24" t="s">
        <v>8</v>
      </c>
      <c r="H2350" s="24" t="s">
        <v>1999</v>
      </c>
      <c r="I2350" s="27">
        <v>13.89</v>
      </c>
    </row>
    <row r="2351" spans="2:9" ht="16">
      <c r="B2351" s="24" t="s">
        <v>8</v>
      </c>
      <c r="C2351" s="24" t="s">
        <v>6</v>
      </c>
      <c r="D2351" s="24" t="s">
        <v>1383</v>
      </c>
      <c r="E2351" s="24" t="s">
        <v>8</v>
      </c>
      <c r="F2351" s="24" t="s">
        <v>9</v>
      </c>
      <c r="G2351" s="24" t="s">
        <v>8</v>
      </c>
      <c r="H2351" s="24" t="s">
        <v>2000</v>
      </c>
      <c r="I2351" s="27">
        <v>430.32</v>
      </c>
    </row>
    <row r="2352" spans="2:9" ht="16">
      <c r="B2352" s="24" t="s">
        <v>36</v>
      </c>
      <c r="C2352" s="24" t="s">
        <v>6</v>
      </c>
      <c r="D2352" s="24" t="s">
        <v>1373</v>
      </c>
      <c r="E2352" s="24" t="s">
        <v>8</v>
      </c>
      <c r="F2352" s="24" t="s">
        <v>9</v>
      </c>
      <c r="G2352" s="24" t="s">
        <v>8</v>
      </c>
      <c r="H2352" s="24" t="s">
        <v>2001</v>
      </c>
      <c r="I2352" s="27">
        <v>17.39</v>
      </c>
    </row>
    <row r="2353" spans="2:9" ht="16">
      <c r="B2353" s="24" t="s">
        <v>119</v>
      </c>
      <c r="C2353" s="24" t="s">
        <v>6</v>
      </c>
      <c r="D2353" s="24" t="s">
        <v>1896</v>
      </c>
      <c r="E2353" s="24" t="s">
        <v>8</v>
      </c>
      <c r="F2353" s="24" t="s">
        <v>9</v>
      </c>
      <c r="G2353" s="24" t="s">
        <v>8</v>
      </c>
      <c r="H2353" s="24" t="s">
        <v>2002</v>
      </c>
      <c r="I2353" s="27">
        <v>124.67</v>
      </c>
    </row>
    <row r="2354" spans="2:9" ht="16">
      <c r="B2354" s="24" t="s">
        <v>8</v>
      </c>
      <c r="C2354" s="24" t="s">
        <v>6</v>
      </c>
      <c r="D2354" s="24" t="s">
        <v>1896</v>
      </c>
      <c r="E2354" s="24" t="s">
        <v>8</v>
      </c>
      <c r="F2354" s="24" t="s">
        <v>9</v>
      </c>
      <c r="G2354" s="24" t="s">
        <v>8</v>
      </c>
      <c r="H2354" s="24" t="s">
        <v>2003</v>
      </c>
      <c r="I2354" s="27">
        <v>158.32</v>
      </c>
    </row>
    <row r="2355" spans="2:9" ht="16">
      <c r="B2355" s="24" t="s">
        <v>36</v>
      </c>
      <c r="C2355" s="24" t="s">
        <v>6</v>
      </c>
      <c r="D2355" s="24" t="s">
        <v>2004</v>
      </c>
      <c r="E2355" s="24" t="s">
        <v>8</v>
      </c>
      <c r="F2355" s="24" t="s">
        <v>9</v>
      </c>
      <c r="G2355" s="24" t="s">
        <v>8</v>
      </c>
      <c r="H2355" s="24" t="s">
        <v>2005</v>
      </c>
      <c r="I2355" s="27">
        <v>69.03</v>
      </c>
    </row>
    <row r="2356" spans="2:9" ht="16">
      <c r="B2356" s="24" t="s">
        <v>36</v>
      </c>
      <c r="C2356" s="24" t="s">
        <v>6</v>
      </c>
      <c r="D2356" s="24" t="s">
        <v>2004</v>
      </c>
      <c r="E2356" s="24" t="s">
        <v>8</v>
      </c>
      <c r="F2356" s="24" t="s">
        <v>9</v>
      </c>
      <c r="G2356" s="24" t="s">
        <v>8</v>
      </c>
      <c r="H2356" s="24" t="s">
        <v>2006</v>
      </c>
      <c r="I2356" s="27">
        <v>102.22</v>
      </c>
    </row>
    <row r="2357" spans="2:9" ht="16">
      <c r="B2357" s="24" t="s">
        <v>17</v>
      </c>
      <c r="C2357" s="24" t="s">
        <v>6</v>
      </c>
      <c r="D2357" s="24" t="s">
        <v>2004</v>
      </c>
      <c r="E2357" s="24" t="s">
        <v>8</v>
      </c>
      <c r="F2357" s="24" t="s">
        <v>9</v>
      </c>
      <c r="G2357" s="24" t="s">
        <v>8</v>
      </c>
      <c r="H2357" s="24" t="s">
        <v>2007</v>
      </c>
      <c r="I2357" s="27">
        <v>192.37</v>
      </c>
    </row>
    <row r="2358" spans="2:9" ht="16">
      <c r="B2358" s="24" t="s">
        <v>36</v>
      </c>
      <c r="C2358" s="24" t="s">
        <v>6</v>
      </c>
      <c r="D2358" s="24" t="s">
        <v>1682</v>
      </c>
      <c r="E2358" s="24" t="s">
        <v>8</v>
      </c>
      <c r="F2358" s="24" t="s">
        <v>9</v>
      </c>
      <c r="G2358" s="24" t="s">
        <v>8</v>
      </c>
      <c r="H2358" s="24" t="s">
        <v>2008</v>
      </c>
      <c r="I2358" s="27">
        <v>59.74</v>
      </c>
    </row>
    <row r="2359" spans="2:9" ht="16">
      <c r="B2359" s="24" t="s">
        <v>36</v>
      </c>
      <c r="C2359" s="24" t="s">
        <v>6</v>
      </c>
      <c r="D2359" s="24" t="s">
        <v>2009</v>
      </c>
      <c r="E2359" s="24" t="s">
        <v>8</v>
      </c>
      <c r="F2359" s="24" t="s">
        <v>9</v>
      </c>
      <c r="G2359" s="24" t="s">
        <v>8</v>
      </c>
      <c r="H2359" s="24" t="s">
        <v>2010</v>
      </c>
      <c r="I2359" s="27">
        <v>61.26</v>
      </c>
    </row>
    <row r="2360" spans="2:9" ht="16">
      <c r="B2360" s="24" t="s">
        <v>36</v>
      </c>
      <c r="C2360" s="24" t="s">
        <v>6</v>
      </c>
      <c r="D2360" s="24" t="s">
        <v>1980</v>
      </c>
      <c r="E2360" s="24" t="s">
        <v>8</v>
      </c>
      <c r="F2360" s="24" t="s">
        <v>9</v>
      </c>
      <c r="G2360" s="24" t="s">
        <v>8</v>
      </c>
      <c r="H2360" s="24" t="s">
        <v>2011</v>
      </c>
      <c r="I2360" s="27">
        <v>32.57</v>
      </c>
    </row>
    <row r="2361" spans="2:9" ht="16">
      <c r="B2361" s="24" t="s">
        <v>36</v>
      </c>
      <c r="C2361" s="24" t="s">
        <v>6</v>
      </c>
      <c r="D2361" s="24" t="s">
        <v>1951</v>
      </c>
      <c r="E2361" s="24" t="s">
        <v>8</v>
      </c>
      <c r="F2361" s="24" t="s">
        <v>9</v>
      </c>
      <c r="G2361" s="24" t="s">
        <v>8</v>
      </c>
      <c r="H2361" s="24" t="s">
        <v>2012</v>
      </c>
      <c r="I2361" s="27">
        <v>70.27</v>
      </c>
    </row>
    <row r="2362" spans="2:9" ht="16">
      <c r="B2362" s="24" t="s">
        <v>8</v>
      </c>
      <c r="C2362" s="24" t="s">
        <v>6</v>
      </c>
      <c r="D2362" s="24" t="s">
        <v>1615</v>
      </c>
      <c r="E2362" s="24" t="s">
        <v>8</v>
      </c>
      <c r="F2362" s="24" t="s">
        <v>9</v>
      </c>
      <c r="G2362" s="24" t="s">
        <v>8</v>
      </c>
      <c r="H2362" s="24" t="s">
        <v>2013</v>
      </c>
      <c r="I2362" s="27">
        <v>58.69</v>
      </c>
    </row>
    <row r="2363" spans="2:9" ht="16">
      <c r="B2363" s="24" t="s">
        <v>36</v>
      </c>
      <c r="C2363" s="24" t="s">
        <v>6</v>
      </c>
      <c r="D2363" s="24" t="s">
        <v>2014</v>
      </c>
      <c r="E2363" s="24" t="s">
        <v>8</v>
      </c>
      <c r="F2363" s="24" t="s">
        <v>9</v>
      </c>
      <c r="G2363" s="24" t="s">
        <v>8</v>
      </c>
      <c r="H2363" s="24" t="s">
        <v>2015</v>
      </c>
      <c r="I2363" s="27">
        <v>76.87</v>
      </c>
    </row>
    <row r="2364" spans="2:9" ht="16">
      <c r="B2364" s="24" t="s">
        <v>8</v>
      </c>
      <c r="C2364" s="24" t="s">
        <v>6</v>
      </c>
      <c r="D2364" s="24" t="s">
        <v>2016</v>
      </c>
      <c r="E2364" s="24" t="s">
        <v>8</v>
      </c>
      <c r="F2364" s="24" t="s">
        <v>9</v>
      </c>
      <c r="G2364" s="24" t="s">
        <v>8</v>
      </c>
      <c r="H2364" s="24" t="s">
        <v>2017</v>
      </c>
      <c r="I2364" s="27">
        <v>191.93</v>
      </c>
    </row>
    <row r="2365" spans="2:9" ht="16">
      <c r="B2365" s="24" t="s">
        <v>119</v>
      </c>
      <c r="C2365" s="24" t="s">
        <v>6</v>
      </c>
      <c r="D2365" s="24" t="s">
        <v>2018</v>
      </c>
      <c r="E2365" s="24" t="s">
        <v>8</v>
      </c>
      <c r="F2365" s="24" t="s">
        <v>9</v>
      </c>
      <c r="G2365" s="24" t="s">
        <v>8</v>
      </c>
      <c r="H2365" s="24" t="s">
        <v>2019</v>
      </c>
      <c r="I2365" s="27">
        <v>629.76</v>
      </c>
    </row>
    <row r="2366" spans="2:9" ht="16">
      <c r="B2366" s="24" t="s">
        <v>36</v>
      </c>
      <c r="C2366" s="24" t="s">
        <v>6</v>
      </c>
      <c r="D2366" s="24" t="s">
        <v>1685</v>
      </c>
      <c r="E2366" s="24" t="s">
        <v>8</v>
      </c>
      <c r="F2366" s="24" t="s">
        <v>9</v>
      </c>
      <c r="G2366" s="24" t="s">
        <v>8</v>
      </c>
      <c r="H2366" s="24" t="s">
        <v>2020</v>
      </c>
      <c r="I2366" s="27">
        <v>81.25</v>
      </c>
    </row>
    <row r="2367" spans="2:9" ht="16">
      <c r="B2367" s="24" t="s">
        <v>119</v>
      </c>
      <c r="C2367" s="24" t="s">
        <v>6</v>
      </c>
      <c r="D2367" s="24" t="s">
        <v>2021</v>
      </c>
      <c r="E2367" s="24" t="s">
        <v>8</v>
      </c>
      <c r="F2367" s="24" t="s">
        <v>9</v>
      </c>
      <c r="G2367" s="24" t="s">
        <v>8</v>
      </c>
      <c r="H2367" s="24" t="s">
        <v>2022</v>
      </c>
      <c r="I2367" s="27">
        <v>22.69</v>
      </c>
    </row>
    <row r="2368" spans="2:9" ht="16">
      <c r="B2368" s="24" t="s">
        <v>8</v>
      </c>
      <c r="C2368" s="24" t="s">
        <v>6</v>
      </c>
      <c r="D2368" s="24" t="s">
        <v>2021</v>
      </c>
      <c r="E2368" s="24" t="s">
        <v>8</v>
      </c>
      <c r="F2368" s="24" t="s">
        <v>9</v>
      </c>
      <c r="G2368" s="24" t="s">
        <v>8</v>
      </c>
      <c r="H2368" s="24" t="s">
        <v>2023</v>
      </c>
      <c r="I2368" s="27">
        <v>390.8</v>
      </c>
    </row>
    <row r="2369" spans="2:9" ht="16">
      <c r="B2369" s="24" t="s">
        <v>36</v>
      </c>
      <c r="C2369" s="24" t="s">
        <v>6</v>
      </c>
      <c r="D2369" s="24" t="s">
        <v>1673</v>
      </c>
      <c r="E2369" s="24" t="s">
        <v>8</v>
      </c>
      <c r="F2369" s="24" t="s">
        <v>9</v>
      </c>
      <c r="G2369" s="24" t="s">
        <v>8</v>
      </c>
      <c r="H2369" s="24" t="s">
        <v>2024</v>
      </c>
      <c r="I2369" s="27">
        <v>70.92</v>
      </c>
    </row>
    <row r="2370" spans="2:9" ht="16">
      <c r="B2370" s="24" t="s">
        <v>36</v>
      </c>
      <c r="C2370" s="24" t="s">
        <v>6</v>
      </c>
      <c r="D2370" s="24" t="s">
        <v>1961</v>
      </c>
      <c r="E2370" s="24" t="s">
        <v>8</v>
      </c>
      <c r="F2370" s="24" t="s">
        <v>9</v>
      </c>
      <c r="G2370" s="24" t="s">
        <v>8</v>
      </c>
      <c r="H2370" s="24" t="s">
        <v>2025</v>
      </c>
      <c r="I2370" s="27">
        <v>52.68</v>
      </c>
    </row>
    <row r="2371" spans="2:9" ht="16">
      <c r="B2371" s="24" t="s">
        <v>21</v>
      </c>
      <c r="C2371" s="24" t="s">
        <v>13</v>
      </c>
      <c r="D2371" s="24" t="s">
        <v>1673</v>
      </c>
      <c r="E2371" s="24" t="s">
        <v>2026</v>
      </c>
      <c r="F2371" s="24" t="s">
        <v>9</v>
      </c>
      <c r="G2371" s="24" t="s">
        <v>8</v>
      </c>
      <c r="H2371" s="24" t="s">
        <v>2027</v>
      </c>
      <c r="I2371" s="27">
        <v>102.4</v>
      </c>
    </row>
    <row r="2372" spans="2:9" ht="16">
      <c r="B2372" s="24" t="s">
        <v>1288</v>
      </c>
      <c r="C2372" s="24" t="s">
        <v>6</v>
      </c>
      <c r="D2372" s="24" t="s">
        <v>2028</v>
      </c>
      <c r="E2372" s="24" t="s">
        <v>2029</v>
      </c>
      <c r="F2372" s="24" t="s">
        <v>9</v>
      </c>
      <c r="G2372" s="24" t="s">
        <v>8</v>
      </c>
      <c r="H2372" s="24" t="s">
        <v>2030</v>
      </c>
      <c r="I2372" s="27">
        <v>14.81</v>
      </c>
    </row>
    <row r="2373" spans="2:9" ht="16">
      <c r="B2373" s="24" t="s">
        <v>36</v>
      </c>
      <c r="C2373" s="24" t="s">
        <v>6</v>
      </c>
      <c r="D2373" s="24" t="s">
        <v>2028</v>
      </c>
      <c r="E2373" s="24" t="s">
        <v>2031</v>
      </c>
      <c r="F2373" s="24" t="s">
        <v>9</v>
      </c>
      <c r="G2373" s="24" t="s">
        <v>8</v>
      </c>
      <c r="H2373" s="24" t="s">
        <v>2032</v>
      </c>
      <c r="I2373" s="27">
        <v>73.92</v>
      </c>
    </row>
    <row r="2374" spans="2:9" ht="16">
      <c r="B2374" s="24" t="s">
        <v>589</v>
      </c>
      <c r="C2374" s="24" t="s">
        <v>6</v>
      </c>
      <c r="D2374" s="24" t="s">
        <v>1205</v>
      </c>
      <c r="E2374" s="24" t="s">
        <v>2033</v>
      </c>
      <c r="F2374" s="24" t="s">
        <v>9</v>
      </c>
      <c r="G2374" s="24" t="s">
        <v>8</v>
      </c>
      <c r="H2374" s="24" t="s">
        <v>2034</v>
      </c>
      <c r="I2374" s="27">
        <v>639.7</v>
      </c>
    </row>
    <row r="2375" spans="2:9" ht="16">
      <c r="B2375" s="24" t="s">
        <v>21</v>
      </c>
      <c r="C2375" s="24" t="s">
        <v>141</v>
      </c>
      <c r="D2375" s="24" t="s">
        <v>1685</v>
      </c>
      <c r="E2375" s="24" t="s">
        <v>2035</v>
      </c>
      <c r="F2375" s="24" t="s">
        <v>9</v>
      </c>
      <c r="G2375" s="24" t="s">
        <v>8</v>
      </c>
      <c r="H2375" s="24" t="s">
        <v>2036</v>
      </c>
      <c r="I2375" s="27">
        <v>-546.14</v>
      </c>
    </row>
    <row r="2376" spans="2:9" ht="16">
      <c r="B2376" s="24" t="s">
        <v>21</v>
      </c>
      <c r="C2376" s="24" t="s">
        <v>141</v>
      </c>
      <c r="D2376" s="24" t="s">
        <v>1944</v>
      </c>
      <c r="E2376" s="24" t="s">
        <v>2037</v>
      </c>
      <c r="F2376" s="24" t="s">
        <v>9</v>
      </c>
      <c r="G2376" s="24" t="s">
        <v>8</v>
      </c>
      <c r="H2376" s="24" t="s">
        <v>2038</v>
      </c>
      <c r="I2376" s="27">
        <v>-159.94</v>
      </c>
    </row>
    <row r="2377" spans="2:9" ht="16">
      <c r="B2377" s="24" t="s">
        <v>21</v>
      </c>
      <c r="C2377" s="24" t="s">
        <v>141</v>
      </c>
      <c r="D2377" s="24" t="s">
        <v>1944</v>
      </c>
      <c r="E2377" s="24" t="s">
        <v>8</v>
      </c>
      <c r="F2377" s="24" t="s">
        <v>9</v>
      </c>
      <c r="G2377" s="24" t="s">
        <v>8</v>
      </c>
      <c r="H2377" s="24" t="s">
        <v>2038</v>
      </c>
      <c r="I2377" s="27">
        <v>-159.94</v>
      </c>
    </row>
    <row r="2378" spans="2:9" ht="16">
      <c r="B2378" s="24" t="s">
        <v>589</v>
      </c>
      <c r="C2378" s="24" t="s">
        <v>6</v>
      </c>
      <c r="D2378" s="24" t="s">
        <v>1587</v>
      </c>
      <c r="E2378" s="24" t="s">
        <v>1973</v>
      </c>
      <c r="F2378" s="24" t="s">
        <v>9</v>
      </c>
      <c r="G2378" s="24" t="s">
        <v>8</v>
      </c>
      <c r="H2378" s="24" t="s">
        <v>2039</v>
      </c>
      <c r="I2378" s="27">
        <v>26.18</v>
      </c>
    </row>
    <row r="2379" spans="2:9" ht="16">
      <c r="B2379" s="24" t="s">
        <v>589</v>
      </c>
      <c r="C2379" s="24" t="s">
        <v>6</v>
      </c>
      <c r="D2379" s="24" t="s">
        <v>1930</v>
      </c>
      <c r="E2379" s="24" t="s">
        <v>1947</v>
      </c>
      <c r="F2379" s="24" t="s">
        <v>9</v>
      </c>
      <c r="G2379" s="24" t="s">
        <v>8</v>
      </c>
      <c r="H2379" s="24" t="s">
        <v>2040</v>
      </c>
      <c r="I2379" s="27">
        <v>26.23</v>
      </c>
    </row>
    <row r="2380" spans="2:9" ht="16">
      <c r="B2380" s="24" t="s">
        <v>36</v>
      </c>
      <c r="C2380" s="24" t="s">
        <v>6</v>
      </c>
      <c r="D2380" s="24" t="s">
        <v>2041</v>
      </c>
      <c r="E2380" s="24" t="s">
        <v>2042</v>
      </c>
      <c r="F2380" s="24" t="s">
        <v>9</v>
      </c>
      <c r="G2380" s="24" t="s">
        <v>8</v>
      </c>
      <c r="H2380" s="24" t="s">
        <v>2043</v>
      </c>
      <c r="I2380" s="27">
        <v>131.31</v>
      </c>
    </row>
    <row r="2381" spans="2:9" ht="16">
      <c r="B2381" s="24" t="s">
        <v>8</v>
      </c>
      <c r="C2381" s="24" t="s">
        <v>6</v>
      </c>
      <c r="D2381" s="24" t="s">
        <v>1963</v>
      </c>
      <c r="E2381" s="24" t="s">
        <v>8</v>
      </c>
      <c r="F2381" s="24" t="s">
        <v>9</v>
      </c>
      <c r="G2381" s="24" t="s">
        <v>8</v>
      </c>
      <c r="H2381" s="24" t="s">
        <v>2044</v>
      </c>
      <c r="I2381" s="27">
        <v>66.3</v>
      </c>
    </row>
    <row r="2382" spans="2:9" ht="16">
      <c r="B2382" s="24" t="s">
        <v>119</v>
      </c>
      <c r="C2382" s="24" t="s">
        <v>6</v>
      </c>
      <c r="D2382" s="24" t="s">
        <v>1521</v>
      </c>
      <c r="E2382" s="24" t="s">
        <v>8</v>
      </c>
      <c r="F2382" s="24" t="s">
        <v>9</v>
      </c>
      <c r="G2382" s="24" t="s">
        <v>8</v>
      </c>
      <c r="H2382" s="24" t="s">
        <v>2045</v>
      </c>
      <c r="I2382" s="27">
        <v>8.66</v>
      </c>
    </row>
    <row r="2383" spans="2:9" ht="16">
      <c r="B2383" s="24" t="s">
        <v>119</v>
      </c>
      <c r="C2383" s="24" t="s">
        <v>6</v>
      </c>
      <c r="D2383" s="24" t="s">
        <v>1935</v>
      </c>
      <c r="E2383" s="24" t="s">
        <v>8</v>
      </c>
      <c r="F2383" s="24" t="s">
        <v>9</v>
      </c>
      <c r="G2383" s="24" t="s">
        <v>8</v>
      </c>
      <c r="H2383" s="24" t="s">
        <v>2046</v>
      </c>
      <c r="I2383" s="27">
        <v>12.96</v>
      </c>
    </row>
    <row r="2384" spans="2:9" ht="16">
      <c r="B2384" s="24" t="s">
        <v>21</v>
      </c>
      <c r="C2384" s="24" t="s">
        <v>13</v>
      </c>
      <c r="D2384" s="24" t="s">
        <v>1551</v>
      </c>
      <c r="E2384" s="24" t="s">
        <v>2047</v>
      </c>
      <c r="F2384" s="24" t="s">
        <v>9</v>
      </c>
      <c r="G2384" s="24" t="s">
        <v>8</v>
      </c>
      <c r="H2384" s="24" t="s">
        <v>527</v>
      </c>
      <c r="I2384" s="27">
        <v>4892.04</v>
      </c>
    </row>
    <row r="2385" spans="2:9" ht="16">
      <c r="B2385" s="24" t="s">
        <v>21</v>
      </c>
      <c r="C2385" s="24" t="s">
        <v>13</v>
      </c>
      <c r="D2385" s="24" t="s">
        <v>1769</v>
      </c>
      <c r="E2385" s="24" t="s">
        <v>2048</v>
      </c>
      <c r="F2385" s="24" t="s">
        <v>9</v>
      </c>
      <c r="G2385" s="24" t="s">
        <v>8</v>
      </c>
      <c r="H2385" s="24" t="s">
        <v>527</v>
      </c>
      <c r="I2385" s="27">
        <v>6085.42</v>
      </c>
    </row>
    <row r="2386" spans="2:9" ht="16">
      <c r="B2386" s="24" t="s">
        <v>21</v>
      </c>
      <c r="C2386" s="24" t="s">
        <v>13</v>
      </c>
      <c r="D2386" s="24" t="s">
        <v>2049</v>
      </c>
      <c r="E2386" s="24" t="s">
        <v>2050</v>
      </c>
      <c r="F2386" s="24" t="s">
        <v>9</v>
      </c>
      <c r="G2386" s="24" t="s">
        <v>8</v>
      </c>
      <c r="H2386" s="24" t="s">
        <v>527</v>
      </c>
      <c r="I2386" s="27">
        <v>116.81</v>
      </c>
    </row>
    <row r="2387" spans="2:9" ht="16">
      <c r="B2387" s="24" t="s">
        <v>21</v>
      </c>
      <c r="C2387" s="24" t="s">
        <v>13</v>
      </c>
      <c r="D2387" s="24" t="s">
        <v>1769</v>
      </c>
      <c r="E2387" s="24" t="s">
        <v>2051</v>
      </c>
      <c r="F2387" s="24" t="s">
        <v>9</v>
      </c>
      <c r="G2387" s="24" t="s">
        <v>8</v>
      </c>
      <c r="H2387" s="24" t="s">
        <v>527</v>
      </c>
      <c r="I2387" s="27">
        <v>10502.96</v>
      </c>
    </row>
    <row r="2388" spans="2:9" ht="16">
      <c r="B2388" s="24" t="s">
        <v>21</v>
      </c>
      <c r="C2388" s="24" t="s">
        <v>13</v>
      </c>
      <c r="D2388" s="24" t="s">
        <v>1373</v>
      </c>
      <c r="E2388" s="24" t="s">
        <v>2052</v>
      </c>
      <c r="F2388" s="24" t="s">
        <v>9</v>
      </c>
      <c r="G2388" s="24" t="s">
        <v>8</v>
      </c>
      <c r="H2388" s="24" t="s">
        <v>527</v>
      </c>
      <c r="I2388" s="27">
        <v>526.6</v>
      </c>
    </row>
    <row r="2389" spans="2:9" ht="16">
      <c r="B2389" s="24" t="s">
        <v>21</v>
      </c>
      <c r="C2389" s="24" t="s">
        <v>13</v>
      </c>
      <c r="D2389" s="24" t="s">
        <v>2053</v>
      </c>
      <c r="E2389" s="24" t="s">
        <v>2054</v>
      </c>
      <c r="F2389" s="24" t="s">
        <v>9</v>
      </c>
      <c r="G2389" s="24" t="s">
        <v>8</v>
      </c>
      <c r="H2389" s="24" t="s">
        <v>527</v>
      </c>
      <c r="I2389" s="27">
        <v>1869.44</v>
      </c>
    </row>
    <row r="2390" spans="2:9" ht="16">
      <c r="B2390" s="24" t="s">
        <v>21</v>
      </c>
      <c r="C2390" s="24" t="s">
        <v>13</v>
      </c>
      <c r="D2390" s="24" t="s">
        <v>1769</v>
      </c>
      <c r="E2390" s="24" t="s">
        <v>2055</v>
      </c>
      <c r="F2390" s="24" t="s">
        <v>9</v>
      </c>
      <c r="G2390" s="24" t="s">
        <v>8</v>
      </c>
      <c r="H2390" s="24" t="s">
        <v>527</v>
      </c>
      <c r="I2390" s="27">
        <v>7582.56</v>
      </c>
    </row>
    <row r="2391" spans="2:9" ht="16">
      <c r="B2391" s="24" t="s">
        <v>21</v>
      </c>
      <c r="C2391" s="24" t="s">
        <v>13</v>
      </c>
      <c r="D2391" s="24" t="s">
        <v>1581</v>
      </c>
      <c r="E2391" s="24" t="s">
        <v>2056</v>
      </c>
      <c r="F2391" s="24" t="s">
        <v>9</v>
      </c>
      <c r="G2391" s="24" t="s">
        <v>8</v>
      </c>
      <c r="H2391" s="24" t="s">
        <v>527</v>
      </c>
      <c r="I2391" s="27">
        <v>9471.59</v>
      </c>
    </row>
    <row r="2392" spans="2:9" ht="16">
      <c r="B2392" s="24" t="s">
        <v>21</v>
      </c>
      <c r="C2392" s="24" t="s">
        <v>13</v>
      </c>
      <c r="D2392" s="24" t="s">
        <v>1769</v>
      </c>
      <c r="E2392" s="24" t="s">
        <v>2057</v>
      </c>
      <c r="F2392" s="24" t="s">
        <v>9</v>
      </c>
      <c r="G2392" s="24" t="s">
        <v>8</v>
      </c>
      <c r="H2392" s="24" t="s">
        <v>527</v>
      </c>
      <c r="I2392" s="27">
        <v>269.7</v>
      </c>
    </row>
    <row r="2393" spans="2:9" ht="16">
      <c r="B2393" s="24" t="s">
        <v>21</v>
      </c>
      <c r="C2393" s="24" t="s">
        <v>13</v>
      </c>
      <c r="D2393" s="24" t="s">
        <v>1581</v>
      </c>
      <c r="E2393" s="24" t="s">
        <v>2058</v>
      </c>
      <c r="F2393" s="24" t="s">
        <v>9</v>
      </c>
      <c r="G2393" s="24" t="s">
        <v>8</v>
      </c>
      <c r="H2393" s="24" t="s">
        <v>527</v>
      </c>
      <c r="I2393" s="27">
        <v>7845.3</v>
      </c>
    </row>
    <row r="2394" spans="2:9" ht="16">
      <c r="B2394" s="24" t="s">
        <v>21</v>
      </c>
      <c r="C2394" s="24" t="s">
        <v>13</v>
      </c>
      <c r="D2394" s="24" t="s">
        <v>1596</v>
      </c>
      <c r="E2394" s="24" t="s">
        <v>2059</v>
      </c>
      <c r="F2394" s="24" t="s">
        <v>9</v>
      </c>
      <c r="G2394" s="24" t="s">
        <v>8</v>
      </c>
      <c r="H2394" s="24" t="s">
        <v>527</v>
      </c>
      <c r="I2394" s="27">
        <v>199.4</v>
      </c>
    </row>
    <row r="2395" spans="2:9" ht="16">
      <c r="B2395" s="24" t="s">
        <v>155</v>
      </c>
      <c r="C2395" s="24" t="s">
        <v>13</v>
      </c>
      <c r="D2395" s="24" t="s">
        <v>1461</v>
      </c>
      <c r="E2395" s="24" t="s">
        <v>2060</v>
      </c>
      <c r="F2395" s="24" t="s">
        <v>9</v>
      </c>
      <c r="G2395" s="24" t="s">
        <v>8</v>
      </c>
      <c r="H2395" s="24" t="s">
        <v>527</v>
      </c>
      <c r="I2395" s="27">
        <v>176.63</v>
      </c>
    </row>
    <row r="2396" spans="2:9" ht="16">
      <c r="B2396" s="24" t="s">
        <v>21</v>
      </c>
      <c r="C2396" s="24" t="s">
        <v>13</v>
      </c>
      <c r="D2396" s="24" t="s">
        <v>1506</v>
      </c>
      <c r="E2396" s="24" t="s">
        <v>2061</v>
      </c>
      <c r="F2396" s="24" t="s">
        <v>9</v>
      </c>
      <c r="G2396" s="24" t="s">
        <v>8</v>
      </c>
      <c r="H2396" s="24" t="s">
        <v>527</v>
      </c>
      <c r="I2396" s="27">
        <v>255.16</v>
      </c>
    </row>
    <row r="2397" spans="2:9" ht="16">
      <c r="B2397" s="24" t="s">
        <v>390</v>
      </c>
      <c r="C2397" s="24" t="s">
        <v>6</v>
      </c>
      <c r="D2397" s="24" t="s">
        <v>2062</v>
      </c>
      <c r="E2397" s="24" t="s">
        <v>2063</v>
      </c>
      <c r="F2397" s="24" t="s">
        <v>9</v>
      </c>
      <c r="G2397" s="24" t="s">
        <v>8</v>
      </c>
      <c r="H2397" s="24" t="s">
        <v>527</v>
      </c>
      <c r="I2397" s="27">
        <v>65.87</v>
      </c>
    </row>
    <row r="2398" spans="2:9" ht="16">
      <c r="B2398" s="24" t="s">
        <v>21</v>
      </c>
      <c r="C2398" s="24" t="s">
        <v>13</v>
      </c>
      <c r="D2398" s="24" t="s">
        <v>1373</v>
      </c>
      <c r="E2398" s="24" t="s">
        <v>2064</v>
      </c>
      <c r="F2398" s="24" t="s">
        <v>9</v>
      </c>
      <c r="G2398" s="24" t="s">
        <v>8</v>
      </c>
      <c r="H2398" s="24" t="s">
        <v>527</v>
      </c>
      <c r="I2398" s="27">
        <v>271.0</v>
      </c>
    </row>
    <row r="2399" spans="2:9" ht="16">
      <c r="B2399" s="24" t="s">
        <v>21</v>
      </c>
      <c r="C2399" s="24" t="s">
        <v>13</v>
      </c>
      <c r="D2399" s="24" t="s">
        <v>2053</v>
      </c>
      <c r="E2399" s="24" t="s">
        <v>2065</v>
      </c>
      <c r="F2399" s="24" t="s">
        <v>9</v>
      </c>
      <c r="G2399" s="24" t="s">
        <v>8</v>
      </c>
      <c r="H2399" s="24" t="s">
        <v>527</v>
      </c>
      <c r="I2399" s="27">
        <v>1035.0</v>
      </c>
    </row>
    <row r="2400" spans="2:9" ht="16">
      <c r="B2400" s="24" t="s">
        <v>21</v>
      </c>
      <c r="C2400" s="24" t="s">
        <v>13</v>
      </c>
      <c r="D2400" s="24" t="s">
        <v>1955</v>
      </c>
      <c r="E2400" s="24" t="s">
        <v>2066</v>
      </c>
      <c r="F2400" s="24" t="s">
        <v>9</v>
      </c>
      <c r="G2400" s="24" t="s">
        <v>8</v>
      </c>
      <c r="H2400" s="24" t="s">
        <v>2067</v>
      </c>
      <c r="I2400" s="27">
        <v>156.5</v>
      </c>
    </row>
    <row r="2401" spans="2:9" ht="16">
      <c r="B2401" s="24" t="s">
        <v>21</v>
      </c>
      <c r="C2401" s="24" t="s">
        <v>13</v>
      </c>
      <c r="D2401" s="24" t="s">
        <v>1961</v>
      </c>
      <c r="E2401" s="24" t="s">
        <v>2068</v>
      </c>
      <c r="F2401" s="24" t="s">
        <v>9</v>
      </c>
      <c r="G2401" s="24" t="s">
        <v>8</v>
      </c>
      <c r="H2401" s="24" t="s">
        <v>2069</v>
      </c>
      <c r="I2401" s="27">
        <v>336.8</v>
      </c>
    </row>
    <row r="2402" spans="2:9" ht="16">
      <c r="B2402" s="24" t="s">
        <v>186</v>
      </c>
      <c r="C2402" s="24" t="s">
        <v>13</v>
      </c>
      <c r="D2402" s="24" t="s">
        <v>1769</v>
      </c>
      <c r="E2402" s="24" t="s">
        <v>2070</v>
      </c>
      <c r="F2402" s="24" t="s">
        <v>9</v>
      </c>
      <c r="G2402" s="24" t="s">
        <v>8</v>
      </c>
      <c r="H2402" s="24" t="s">
        <v>2071</v>
      </c>
      <c r="I2402" s="27">
        <v>2290.82</v>
      </c>
    </row>
    <row r="2403" spans="2:9" ht="16">
      <c r="B2403" s="24" t="s">
        <v>86</v>
      </c>
      <c r="C2403" s="24" t="s">
        <v>13</v>
      </c>
      <c r="D2403" s="24" t="s">
        <v>2072</v>
      </c>
      <c r="E2403" s="24" t="s">
        <v>2073</v>
      </c>
      <c r="F2403" s="24" t="s">
        <v>9</v>
      </c>
      <c r="G2403" s="24" t="s">
        <v>8</v>
      </c>
      <c r="H2403" s="24" t="s">
        <v>2074</v>
      </c>
      <c r="I2403" s="27">
        <v>471.42</v>
      </c>
    </row>
    <row r="2404" spans="2:9" ht="16">
      <c r="B2404" s="24" t="s">
        <v>186</v>
      </c>
      <c r="C2404" s="24" t="s">
        <v>13</v>
      </c>
      <c r="D2404" s="24" t="s">
        <v>1822</v>
      </c>
      <c r="E2404" s="24" t="s">
        <v>2075</v>
      </c>
      <c r="F2404" s="24" t="s">
        <v>9</v>
      </c>
      <c r="G2404" s="24" t="s">
        <v>8</v>
      </c>
      <c r="H2404" s="24" t="s">
        <v>2076</v>
      </c>
      <c r="I2404" s="27">
        <v>391.74</v>
      </c>
    </row>
    <row r="2405" spans="2:9" ht="16">
      <c r="B2405" s="24" t="s">
        <v>36</v>
      </c>
      <c r="C2405" s="24" t="s">
        <v>6</v>
      </c>
      <c r="D2405" s="24" t="s">
        <v>1633</v>
      </c>
      <c r="E2405" s="24" t="s">
        <v>8</v>
      </c>
      <c r="F2405" s="24" t="s">
        <v>9</v>
      </c>
      <c r="G2405" s="24" t="s">
        <v>8</v>
      </c>
      <c r="H2405" s="24" t="s">
        <v>8</v>
      </c>
      <c r="I2405" s="27">
        <v>6.68</v>
      </c>
    </row>
    <row r="2406" spans="2:9" ht="16">
      <c r="B2406" s="24" t="s">
        <v>36</v>
      </c>
      <c r="C2406" s="24" t="s">
        <v>6</v>
      </c>
      <c r="D2406" s="24" t="s">
        <v>2077</v>
      </c>
      <c r="E2406" s="24" t="s">
        <v>8</v>
      </c>
      <c r="F2406" s="24" t="s">
        <v>9</v>
      </c>
      <c r="G2406" s="24" t="s">
        <v>8</v>
      </c>
      <c r="H2406" s="24" t="s">
        <v>8</v>
      </c>
      <c r="I2406" s="27">
        <v>80.89</v>
      </c>
    </row>
    <row r="2407" spans="2:9" ht="16">
      <c r="B2407" s="24" t="s">
        <v>21</v>
      </c>
      <c r="C2407" s="24" t="s">
        <v>13</v>
      </c>
      <c r="D2407" s="24" t="s">
        <v>1674</v>
      </c>
      <c r="E2407" s="24" t="s">
        <v>2078</v>
      </c>
      <c r="F2407" s="24" t="s">
        <v>9</v>
      </c>
      <c r="G2407" s="24" t="s">
        <v>8</v>
      </c>
      <c r="H2407" s="24" t="s">
        <v>8</v>
      </c>
      <c r="I2407" s="27">
        <v>1199.96</v>
      </c>
    </row>
    <row r="2408" spans="2:9" ht="16">
      <c r="B2408" s="24" t="s">
        <v>21</v>
      </c>
      <c r="C2408" s="24" t="s">
        <v>13</v>
      </c>
      <c r="D2408" s="24" t="s">
        <v>1961</v>
      </c>
      <c r="E2408" s="24" t="s">
        <v>2079</v>
      </c>
      <c r="F2408" s="24" t="s">
        <v>9</v>
      </c>
      <c r="G2408" s="24" t="s">
        <v>8</v>
      </c>
      <c r="H2408" s="24" t="s">
        <v>8</v>
      </c>
      <c r="I2408" s="27">
        <v>7177.64</v>
      </c>
    </row>
    <row r="2409" spans="2:9" ht="16">
      <c r="B2409" s="24" t="s">
        <v>36</v>
      </c>
      <c r="C2409" s="24" t="s">
        <v>6</v>
      </c>
      <c r="D2409" s="24" t="s">
        <v>2080</v>
      </c>
      <c r="E2409" s="24" t="s">
        <v>8</v>
      </c>
      <c r="F2409" s="24" t="s">
        <v>9</v>
      </c>
      <c r="G2409" s="24" t="s">
        <v>8</v>
      </c>
      <c r="H2409" s="24" t="s">
        <v>8</v>
      </c>
      <c r="I2409" s="27">
        <v>44.42</v>
      </c>
    </row>
    <row r="2410" spans="2:9" ht="16">
      <c r="B2410" s="24" t="s">
        <v>36</v>
      </c>
      <c r="C2410" s="24" t="s">
        <v>6</v>
      </c>
      <c r="D2410" s="24" t="s">
        <v>1673</v>
      </c>
      <c r="E2410" s="24" t="s">
        <v>8</v>
      </c>
      <c r="F2410" s="24" t="s">
        <v>9</v>
      </c>
      <c r="G2410" s="24" t="s">
        <v>8</v>
      </c>
      <c r="H2410" s="24" t="s">
        <v>8</v>
      </c>
      <c r="I2410" s="27">
        <v>70.92</v>
      </c>
    </row>
    <row r="2411" spans="1:9" ht="16">
      <c r="A2411" s="35" t="s">
        <v>40</v>
      </c>
      <c r="I2411" s="28">
        <f>I2313+I2314+I2315+I2316+I2317+I2318+I2319+I2320+I2321+I2322+I2323+I2324+I2325+I2326+I2327+I2328+I2329+I2330+I2331+I2332+I2333+I2334+I2335+I2336+I2337+I2338+I2339+I2340+I2341+I2342+I2343+I2344+I2345+I2346+I2347+I2348+I2349+I2350+I2351+I2352+I2353+I2354+I2355+I2356+I2357+I2358+I2359+I2360+I2361+I2362+I2363+I2364+I2365+I2366+I2367+I2368+I2369+I2370+I2371+I2372+I2373+I2374+I2375+I2376+I2377+I2378+I2379+I2380+I2381+I2382+I2383+I2384+I2385+I2386+I2387+I2388+I2389+I2390+I2391+I2392+I2393+I2394+I2395+I2396+I2397+I2398+I2399+I2400+I2401+I2402+I2403+I2404+I2405+I2406+I2407+I2408+I2409+I2410</f>
        <v>98432.23</v>
      </c>
    </row>
    <row r="2412" spans="1:1" ht="16">
      <c r="A2412" s="34" t="s">
        <v>1919</v>
      </c>
    </row>
    <row r="2413" spans="2:9" ht="16">
      <c r="B2413" s="24" t="s">
        <v>589</v>
      </c>
      <c r="C2413" s="24" t="s">
        <v>6</v>
      </c>
      <c r="D2413" s="24" t="s">
        <v>1683</v>
      </c>
      <c r="E2413" s="24" t="s">
        <v>8</v>
      </c>
      <c r="F2413" s="24" t="s">
        <v>42</v>
      </c>
      <c r="G2413" s="24" t="s">
        <v>8</v>
      </c>
      <c r="H2413" s="24" t="s">
        <v>2081</v>
      </c>
      <c r="I2413" s="27">
        <v>435.22</v>
      </c>
    </row>
    <row r="2414" spans="2:9" ht="16">
      <c r="B2414" s="24" t="s">
        <v>589</v>
      </c>
      <c r="C2414" s="24" t="s">
        <v>6</v>
      </c>
      <c r="D2414" s="24" t="s">
        <v>1683</v>
      </c>
      <c r="E2414" s="24" t="s">
        <v>8</v>
      </c>
      <c r="F2414" s="24" t="s">
        <v>42</v>
      </c>
      <c r="G2414" s="24" t="s">
        <v>8</v>
      </c>
      <c r="H2414" s="24" t="s">
        <v>2081</v>
      </c>
      <c r="I2414" s="27">
        <v>-435.22</v>
      </c>
    </row>
    <row r="2415" spans="1:9" ht="16">
      <c r="A2415" s="35" t="s">
        <v>666</v>
      </c>
      <c r="I2415" s="28">
        <f>I2412+I2413+I2414</f>
        <v>0.0</v>
      </c>
    </row>
    <row r="2416" spans="1:1" ht="16">
      <c r="A2416" s="34" t="s">
        <v>1919</v>
      </c>
    </row>
    <row r="2417" spans="2:9" ht="16">
      <c r="B2417" s="24" t="s">
        <v>961</v>
      </c>
      <c r="C2417" s="24" t="s">
        <v>6</v>
      </c>
      <c r="D2417" s="24" t="s">
        <v>1655</v>
      </c>
      <c r="E2417" s="24" t="s">
        <v>8</v>
      </c>
      <c r="F2417" s="24" t="s">
        <v>9</v>
      </c>
      <c r="G2417" s="24" t="s">
        <v>8</v>
      </c>
      <c r="H2417" s="24" t="s">
        <v>53</v>
      </c>
      <c r="I2417" s="27">
        <v>667.65</v>
      </c>
    </row>
    <row r="2418" spans="1:9" ht="16">
      <c r="A2418" s="35" t="s">
        <v>1656</v>
      </c>
      <c r="I2418" s="28">
        <f>I2416+I2417</f>
        <v>667.65</v>
      </c>
    </row>
    <row r="2419" spans="1:1" ht="16">
      <c r="A2419" s="34" t="s">
        <v>1919</v>
      </c>
    </row>
    <row r="2420" spans="2:9" ht="16">
      <c r="B2420" s="24" t="s">
        <v>82</v>
      </c>
      <c r="C2420" s="24" t="s">
        <v>13</v>
      </c>
      <c r="D2420" s="24" t="s">
        <v>2082</v>
      </c>
      <c r="E2420" s="24" t="s">
        <v>2083</v>
      </c>
      <c r="F2420" s="24" t="s">
        <v>9</v>
      </c>
      <c r="G2420" s="24" t="s">
        <v>8</v>
      </c>
      <c r="H2420" s="24" t="s">
        <v>2084</v>
      </c>
      <c r="I2420" s="27">
        <v>2200.0</v>
      </c>
    </row>
    <row r="2421" spans="1:9" ht="16">
      <c r="A2421" s="35" t="s">
        <v>1660</v>
      </c>
      <c r="I2421" s="28">
        <f>I2419+I2420</f>
        <v>2200.0</v>
      </c>
    </row>
    <row r="2422" spans="1:1" ht="16">
      <c r="A2422" s="34" t="s">
        <v>1919</v>
      </c>
    </row>
    <row r="2423" spans="2:9" ht="16">
      <c r="B2423" s="24" t="s">
        <v>589</v>
      </c>
      <c r="C2423" s="24" t="s">
        <v>6</v>
      </c>
      <c r="D2423" s="24" t="s">
        <v>1587</v>
      </c>
      <c r="E2423" s="24" t="s">
        <v>1973</v>
      </c>
      <c r="F2423" s="24" t="s">
        <v>9</v>
      </c>
      <c r="G2423" s="24" t="s">
        <v>8</v>
      </c>
      <c r="H2423" s="24" t="s">
        <v>2085</v>
      </c>
      <c r="I2423" s="27">
        <v>70.66</v>
      </c>
    </row>
    <row r="2424" spans="2:9" ht="16">
      <c r="B2424" s="24" t="s">
        <v>589</v>
      </c>
      <c r="C2424" s="24" t="s">
        <v>6</v>
      </c>
      <c r="D2424" s="24" t="s">
        <v>1930</v>
      </c>
      <c r="E2424" s="24" t="s">
        <v>1947</v>
      </c>
      <c r="F2424" s="24" t="s">
        <v>9</v>
      </c>
      <c r="G2424" s="24" t="s">
        <v>8</v>
      </c>
      <c r="H2424" s="24" t="s">
        <v>2085</v>
      </c>
      <c r="I2424" s="27">
        <v>106.23</v>
      </c>
    </row>
    <row r="2425" spans="2:9" ht="16">
      <c r="B2425" s="24" t="s">
        <v>814</v>
      </c>
      <c r="C2425" s="24" t="s">
        <v>6</v>
      </c>
      <c r="D2425" s="24" t="s">
        <v>1966</v>
      </c>
      <c r="E2425" s="24" t="s">
        <v>8</v>
      </c>
      <c r="F2425" s="24" t="s">
        <v>9</v>
      </c>
      <c r="G2425" s="24" t="s">
        <v>8</v>
      </c>
      <c r="H2425" s="24" t="s">
        <v>2086</v>
      </c>
      <c r="I2425" s="27">
        <v>183.42</v>
      </c>
    </row>
    <row r="2426" spans="2:9" ht="16">
      <c r="B2426" s="24" t="s">
        <v>36</v>
      </c>
      <c r="C2426" s="24" t="s">
        <v>6</v>
      </c>
      <c r="D2426" s="24" t="s">
        <v>2041</v>
      </c>
      <c r="E2426" s="24" t="s">
        <v>8</v>
      </c>
      <c r="F2426" s="24" t="s">
        <v>9</v>
      </c>
      <c r="G2426" s="24" t="s">
        <v>8</v>
      </c>
      <c r="H2426" s="24" t="s">
        <v>2087</v>
      </c>
      <c r="I2426" s="27">
        <v>105.89</v>
      </c>
    </row>
    <row r="2427" spans="1:9" ht="16">
      <c r="A2427" s="35" t="s">
        <v>267</v>
      </c>
      <c r="I2427" s="28">
        <f>I2422+I2423+I2424+I2425+I2426</f>
        <v>466.19999999999993</v>
      </c>
    </row>
    <row r="2428" spans="1:1" ht="16">
      <c r="A2428" s="34" t="s">
        <v>1919</v>
      </c>
    </row>
    <row r="2429" spans="2:9" ht="16">
      <c r="B2429" s="24" t="s">
        <v>536</v>
      </c>
      <c r="C2429" s="24" t="s">
        <v>13</v>
      </c>
      <c r="D2429" s="24" t="s">
        <v>2088</v>
      </c>
      <c r="E2429" s="24" t="s">
        <v>2089</v>
      </c>
      <c r="F2429" s="24" t="s">
        <v>9</v>
      </c>
      <c r="G2429" s="24" t="s">
        <v>8</v>
      </c>
      <c r="H2429" s="24" t="s">
        <v>2090</v>
      </c>
      <c r="I2429" s="27">
        <v>11059.61</v>
      </c>
    </row>
    <row r="2430" spans="2:9" ht="16">
      <c r="B2430" s="24" t="s">
        <v>536</v>
      </c>
      <c r="C2430" s="24" t="s">
        <v>13</v>
      </c>
      <c r="D2430" s="24" t="s">
        <v>1966</v>
      </c>
      <c r="E2430" s="24" t="s">
        <v>2091</v>
      </c>
      <c r="F2430" s="24" t="s">
        <v>9</v>
      </c>
      <c r="G2430" s="24" t="s">
        <v>8</v>
      </c>
      <c r="H2430" s="24" t="s">
        <v>2092</v>
      </c>
      <c r="I2430" s="27">
        <v>6056.31</v>
      </c>
    </row>
    <row r="2431" spans="2:9" ht="16">
      <c r="B2431" s="24" t="s">
        <v>536</v>
      </c>
      <c r="C2431" s="24" t="s">
        <v>13</v>
      </c>
      <c r="D2431" s="24" t="s">
        <v>2093</v>
      </c>
      <c r="E2431" s="24" t="s">
        <v>2094</v>
      </c>
      <c r="F2431" s="24" t="s">
        <v>9</v>
      </c>
      <c r="G2431" s="24" t="s">
        <v>8</v>
      </c>
      <c r="H2431" s="24" t="s">
        <v>2095</v>
      </c>
      <c r="I2431" s="27">
        <v>66357.63</v>
      </c>
    </row>
    <row r="2432" spans="2:9" ht="16">
      <c r="B2432" s="24" t="s">
        <v>536</v>
      </c>
      <c r="C2432" s="24" t="s">
        <v>13</v>
      </c>
      <c r="D2432" s="24" t="s">
        <v>1969</v>
      </c>
      <c r="E2432" s="24" t="s">
        <v>2096</v>
      </c>
      <c r="F2432" s="24" t="s">
        <v>9</v>
      </c>
      <c r="G2432" s="24" t="s">
        <v>8</v>
      </c>
      <c r="H2432" s="24" t="s">
        <v>2097</v>
      </c>
      <c r="I2432" s="27">
        <v>88476.84</v>
      </c>
    </row>
    <row r="2433" spans="2:9" ht="16">
      <c r="B2433" s="24" t="s">
        <v>2098</v>
      </c>
      <c r="C2433" s="24" t="s">
        <v>13</v>
      </c>
      <c r="D2433" s="24" t="s">
        <v>2099</v>
      </c>
      <c r="E2433" s="24" t="s">
        <v>2100</v>
      </c>
      <c r="F2433" s="24" t="s">
        <v>9</v>
      </c>
      <c r="G2433" s="24" t="s">
        <v>8</v>
      </c>
      <c r="H2433" s="24" t="s">
        <v>2101</v>
      </c>
      <c r="I2433" s="27">
        <v>950.0</v>
      </c>
    </row>
    <row r="2434" spans="2:9" ht="16">
      <c r="B2434" s="24" t="s">
        <v>1382</v>
      </c>
      <c r="C2434" s="24" t="s">
        <v>13</v>
      </c>
      <c r="D2434" s="24" t="s">
        <v>1955</v>
      </c>
      <c r="E2434" s="24" t="s">
        <v>2102</v>
      </c>
      <c r="F2434" s="24" t="s">
        <v>9</v>
      </c>
      <c r="G2434" s="24" t="s">
        <v>8</v>
      </c>
      <c r="H2434" s="24" t="s">
        <v>2103</v>
      </c>
      <c r="I2434" s="27">
        <v>34013.93</v>
      </c>
    </row>
    <row r="2435" spans="2:9" ht="16">
      <c r="B2435" s="24" t="s">
        <v>536</v>
      </c>
      <c r="C2435" s="24" t="s">
        <v>13</v>
      </c>
      <c r="D2435" s="24" t="s">
        <v>2104</v>
      </c>
      <c r="E2435" s="24" t="s">
        <v>2105</v>
      </c>
      <c r="F2435" s="24" t="s">
        <v>9</v>
      </c>
      <c r="G2435" s="24" t="s">
        <v>8</v>
      </c>
      <c r="H2435" s="24" t="s">
        <v>2106</v>
      </c>
      <c r="I2435" s="27">
        <v>24889.4</v>
      </c>
    </row>
    <row r="2436" spans="2:9" ht="16">
      <c r="B2436" s="24" t="s">
        <v>1382</v>
      </c>
      <c r="C2436" s="24" t="s">
        <v>13</v>
      </c>
      <c r="D2436" s="24" t="s">
        <v>2107</v>
      </c>
      <c r="E2436" s="24" t="s">
        <v>2108</v>
      </c>
      <c r="F2436" s="24" t="s">
        <v>9</v>
      </c>
      <c r="G2436" s="24" t="s">
        <v>8</v>
      </c>
      <c r="H2436" s="24" t="s">
        <v>2109</v>
      </c>
      <c r="I2436" s="27">
        <v>43195.62</v>
      </c>
    </row>
    <row r="2437" spans="2:9" ht="16">
      <c r="B2437" s="24" t="s">
        <v>1382</v>
      </c>
      <c r="C2437" s="24" t="s">
        <v>13</v>
      </c>
      <c r="D2437" s="24" t="s">
        <v>2110</v>
      </c>
      <c r="E2437" s="24" t="s">
        <v>2111</v>
      </c>
      <c r="F2437" s="24" t="s">
        <v>9</v>
      </c>
      <c r="G2437" s="24" t="s">
        <v>8</v>
      </c>
      <c r="H2437" s="24" t="s">
        <v>2112</v>
      </c>
      <c r="I2437" s="27">
        <v>13569.46</v>
      </c>
    </row>
    <row r="2438" spans="2:9" ht="16">
      <c r="B2438" s="24" t="s">
        <v>536</v>
      </c>
      <c r="C2438" s="24" t="s">
        <v>13</v>
      </c>
      <c r="D2438" s="24" t="s">
        <v>2113</v>
      </c>
      <c r="E2438" s="24" t="s">
        <v>2114</v>
      </c>
      <c r="F2438" s="24" t="s">
        <v>9</v>
      </c>
      <c r="G2438" s="24" t="s">
        <v>8</v>
      </c>
      <c r="H2438" s="24" t="s">
        <v>2115</v>
      </c>
      <c r="I2438" s="27">
        <v>2286.0</v>
      </c>
    </row>
    <row r="2439" spans="2:9" ht="16">
      <c r="B2439" s="24" t="s">
        <v>1382</v>
      </c>
      <c r="C2439" s="24" t="s">
        <v>13</v>
      </c>
      <c r="D2439" s="24" t="s">
        <v>2116</v>
      </c>
      <c r="E2439" s="24" t="s">
        <v>2117</v>
      </c>
      <c r="F2439" s="24" t="s">
        <v>9</v>
      </c>
      <c r="G2439" s="24" t="s">
        <v>8</v>
      </c>
      <c r="H2439" s="24" t="s">
        <v>2118</v>
      </c>
      <c r="I2439" s="27">
        <v>5556.6</v>
      </c>
    </row>
    <row r="2440" spans="2:9" ht="16">
      <c r="B2440" s="24" t="s">
        <v>1382</v>
      </c>
      <c r="C2440" s="24" t="s">
        <v>13</v>
      </c>
      <c r="D2440" s="24" t="s">
        <v>2116</v>
      </c>
      <c r="E2440" s="24" t="s">
        <v>2119</v>
      </c>
      <c r="F2440" s="24" t="s">
        <v>9</v>
      </c>
      <c r="G2440" s="24" t="s">
        <v>8</v>
      </c>
      <c r="H2440" s="24" t="s">
        <v>2120</v>
      </c>
      <c r="I2440" s="27">
        <v>10703.96</v>
      </c>
    </row>
    <row r="2441" spans="2:9" ht="16">
      <c r="B2441" s="24" t="s">
        <v>2098</v>
      </c>
      <c r="C2441" s="24" t="s">
        <v>13</v>
      </c>
      <c r="D2441" s="24" t="s">
        <v>1684</v>
      </c>
      <c r="E2441" s="24" t="s">
        <v>2121</v>
      </c>
      <c r="F2441" s="24" t="s">
        <v>9</v>
      </c>
      <c r="G2441" s="24" t="s">
        <v>8</v>
      </c>
      <c r="H2441" s="24" t="s">
        <v>2122</v>
      </c>
      <c r="I2441" s="27">
        <v>18050.0</v>
      </c>
    </row>
    <row r="2442" spans="2:9" ht="16">
      <c r="B2442" s="24" t="s">
        <v>536</v>
      </c>
      <c r="C2442" s="24" t="s">
        <v>13</v>
      </c>
      <c r="D2442" s="24" t="s">
        <v>1682</v>
      </c>
      <c r="E2442" s="24" t="s">
        <v>2123</v>
      </c>
      <c r="F2442" s="24" t="s">
        <v>9</v>
      </c>
      <c r="G2442" s="24" t="s">
        <v>8</v>
      </c>
      <c r="H2442" s="24" t="s">
        <v>2124</v>
      </c>
      <c r="I2442" s="27">
        <v>49768.21</v>
      </c>
    </row>
    <row r="2443" spans="2:9" ht="16">
      <c r="B2443" s="24" t="s">
        <v>1382</v>
      </c>
      <c r="C2443" s="24" t="s">
        <v>13</v>
      </c>
      <c r="D2443" s="24" t="s">
        <v>2125</v>
      </c>
      <c r="E2443" s="24" t="s">
        <v>2126</v>
      </c>
      <c r="F2443" s="24" t="s">
        <v>9</v>
      </c>
      <c r="G2443" s="24" t="s">
        <v>8</v>
      </c>
      <c r="H2443" s="24" t="s">
        <v>2127</v>
      </c>
      <c r="I2443" s="27">
        <v>717.0</v>
      </c>
    </row>
    <row r="2444" spans="2:9" ht="16">
      <c r="B2444" s="24" t="s">
        <v>1382</v>
      </c>
      <c r="C2444" s="24" t="s">
        <v>13</v>
      </c>
      <c r="D2444" s="24" t="s">
        <v>1486</v>
      </c>
      <c r="E2444" s="24" t="s">
        <v>2128</v>
      </c>
      <c r="F2444" s="24" t="s">
        <v>9</v>
      </c>
      <c r="G2444" s="24" t="s">
        <v>8</v>
      </c>
      <c r="H2444" s="24" t="s">
        <v>2129</v>
      </c>
      <c r="I2444" s="27">
        <v>2447.0</v>
      </c>
    </row>
    <row r="2445" spans="1:9" ht="16">
      <c r="A2445" s="35" t="s">
        <v>164</v>
      </c>
      <c r="I2445" s="28">
        <f>I2428+I2429+I2430+I2431+I2432+I2433+I2434+I2435+I2436+I2437+I2438+I2439+I2440+I2441+I2442+I2443+I2444</f>
        <v>378097.57000000007</v>
      </c>
    </row>
    <row r="2446" spans="1:1" ht="16">
      <c r="A2446" s="34" t="s">
        <v>1919</v>
      </c>
    </row>
    <row r="2447" spans="2:9" ht="16">
      <c r="B2447" s="24" t="s">
        <v>2130</v>
      </c>
      <c r="C2447" s="24" t="s">
        <v>6</v>
      </c>
      <c r="D2447" s="24" t="s">
        <v>2110</v>
      </c>
      <c r="E2447" s="24" t="s">
        <v>8</v>
      </c>
      <c r="F2447" s="24" t="s">
        <v>9</v>
      </c>
      <c r="G2447" s="24" t="s">
        <v>8</v>
      </c>
      <c r="H2447" s="24" t="s">
        <v>2131</v>
      </c>
      <c r="I2447" s="27">
        <v>16.26</v>
      </c>
    </row>
    <row r="2448" spans="2:9" ht="16">
      <c r="B2448" s="24" t="s">
        <v>119</v>
      </c>
      <c r="C2448" s="24" t="s">
        <v>6</v>
      </c>
      <c r="D2448" s="24" t="s">
        <v>1966</v>
      </c>
      <c r="E2448" s="24" t="s">
        <v>8</v>
      </c>
      <c r="F2448" s="24" t="s">
        <v>9</v>
      </c>
      <c r="G2448" s="24" t="s">
        <v>8</v>
      </c>
      <c r="H2448" s="24" t="s">
        <v>2132</v>
      </c>
      <c r="I2448" s="27">
        <v>327.71</v>
      </c>
    </row>
    <row r="2449" spans="1:9" ht="16">
      <c r="A2449" s="35" t="s">
        <v>433</v>
      </c>
      <c r="I2449" s="28">
        <f>I2446+I2447+I2448</f>
        <v>343.96999999999997</v>
      </c>
    </row>
    <row r="2450" spans="1:1" ht="16">
      <c r="A2450" s="34" t="s">
        <v>1919</v>
      </c>
    </row>
    <row r="2451" spans="2:9" ht="16">
      <c r="B2451" s="24" t="s">
        <v>45</v>
      </c>
      <c r="C2451" s="24" t="s">
        <v>6</v>
      </c>
      <c r="D2451" s="24" t="s">
        <v>1596</v>
      </c>
      <c r="E2451" s="24" t="s">
        <v>8</v>
      </c>
      <c r="F2451" s="24" t="s">
        <v>9</v>
      </c>
      <c r="G2451" s="24" t="s">
        <v>8</v>
      </c>
      <c r="H2451" s="24" t="s">
        <v>2133</v>
      </c>
      <c r="I2451" s="27">
        <v>6299.64</v>
      </c>
    </row>
    <row r="2452" spans="2:9" ht="16">
      <c r="B2452" s="24" t="s">
        <v>8</v>
      </c>
      <c r="C2452" s="24" t="s">
        <v>6</v>
      </c>
      <c r="D2452" s="24" t="s">
        <v>1597</v>
      </c>
      <c r="E2452" s="24" t="s">
        <v>8</v>
      </c>
      <c r="F2452" s="24" t="s">
        <v>9</v>
      </c>
      <c r="G2452" s="24" t="s">
        <v>8</v>
      </c>
      <c r="H2452" s="24" t="s">
        <v>47</v>
      </c>
      <c r="I2452" s="27">
        <v>14610.12</v>
      </c>
    </row>
    <row r="2453" spans="2:9" ht="16">
      <c r="B2453" s="24" t="s">
        <v>8</v>
      </c>
      <c r="C2453" s="24" t="s">
        <v>6</v>
      </c>
      <c r="D2453" s="24" t="s">
        <v>1673</v>
      </c>
      <c r="E2453" s="24" t="s">
        <v>8</v>
      </c>
      <c r="F2453" s="24" t="s">
        <v>9</v>
      </c>
      <c r="G2453" s="24" t="s">
        <v>8</v>
      </c>
      <c r="H2453" s="24" t="s">
        <v>47</v>
      </c>
      <c r="I2453" s="27">
        <v>21562.61</v>
      </c>
    </row>
    <row r="2454" spans="2:9" ht="16">
      <c r="B2454" s="24" t="s">
        <v>8</v>
      </c>
      <c r="C2454" s="24" t="s">
        <v>6</v>
      </c>
      <c r="D2454" s="24" t="s">
        <v>1672</v>
      </c>
      <c r="E2454" s="24" t="s">
        <v>8</v>
      </c>
      <c r="F2454" s="24" t="s">
        <v>9</v>
      </c>
      <c r="G2454" s="24" t="s">
        <v>8</v>
      </c>
      <c r="H2454" s="24" t="s">
        <v>47</v>
      </c>
      <c r="I2454" s="27">
        <v>1420.07</v>
      </c>
    </row>
    <row r="2455" spans="2:9" ht="16">
      <c r="B2455" s="24" t="s">
        <v>8</v>
      </c>
      <c r="C2455" s="24" t="s">
        <v>6</v>
      </c>
      <c r="D2455" s="24" t="s">
        <v>1205</v>
      </c>
      <c r="E2455" s="24" t="s">
        <v>8</v>
      </c>
      <c r="F2455" s="24" t="s">
        <v>9</v>
      </c>
      <c r="G2455" s="24" t="s">
        <v>8</v>
      </c>
      <c r="H2455" s="24" t="s">
        <v>2134</v>
      </c>
      <c r="I2455" s="27">
        <v>450.16</v>
      </c>
    </row>
    <row r="2456" spans="2:9" ht="16">
      <c r="B2456" s="24" t="s">
        <v>45</v>
      </c>
      <c r="C2456" s="24" t="s">
        <v>13</v>
      </c>
      <c r="D2456" s="24" t="s">
        <v>1674</v>
      </c>
      <c r="E2456" s="24" t="s">
        <v>8</v>
      </c>
      <c r="F2456" s="24" t="s">
        <v>9</v>
      </c>
      <c r="G2456" s="24" t="s">
        <v>8</v>
      </c>
      <c r="H2456" s="24" t="s">
        <v>8</v>
      </c>
      <c r="I2456" s="27">
        <v>19252.08</v>
      </c>
    </row>
    <row r="2457" spans="2:9" ht="16">
      <c r="B2457" s="24" t="s">
        <v>45</v>
      </c>
      <c r="C2457" s="24" t="s">
        <v>13</v>
      </c>
      <c r="D2457" s="24" t="s">
        <v>2135</v>
      </c>
      <c r="E2457" s="24" t="s">
        <v>2136</v>
      </c>
      <c r="F2457" s="24" t="s">
        <v>9</v>
      </c>
      <c r="G2457" s="24" t="s">
        <v>8</v>
      </c>
      <c r="H2457" s="24" t="s">
        <v>8</v>
      </c>
      <c r="I2457" s="27">
        <v>132.4</v>
      </c>
    </row>
    <row r="2458" spans="2:9" ht="16">
      <c r="B2458" s="24" t="s">
        <v>45</v>
      </c>
      <c r="C2458" s="24" t="s">
        <v>13</v>
      </c>
      <c r="D2458" s="24" t="s">
        <v>2137</v>
      </c>
      <c r="E2458" s="24" t="s">
        <v>2138</v>
      </c>
      <c r="F2458" s="24" t="s">
        <v>9</v>
      </c>
      <c r="G2458" s="24" t="s">
        <v>8</v>
      </c>
      <c r="H2458" s="24" t="s">
        <v>8</v>
      </c>
      <c r="I2458" s="27">
        <v>14366.65</v>
      </c>
    </row>
    <row r="2459" spans="1:9" ht="16">
      <c r="A2459" s="35" t="s">
        <v>50</v>
      </c>
      <c r="I2459" s="28">
        <f>I2450+I2451+I2452+I2453+I2454+I2455+I2456+I2457+I2458</f>
        <v>78093.73000000001</v>
      </c>
    </row>
    <row r="2460" spans="1:1" ht="16">
      <c r="A2460" s="34" t="s">
        <v>1919</v>
      </c>
    </row>
    <row r="2461" spans="2:9" ht="16">
      <c r="B2461" s="24" t="s">
        <v>961</v>
      </c>
      <c r="C2461" s="24" t="s">
        <v>6</v>
      </c>
      <c r="D2461" s="24" t="s">
        <v>1773</v>
      </c>
      <c r="E2461" s="24" t="s">
        <v>8</v>
      </c>
      <c r="F2461" s="24" t="s">
        <v>9</v>
      </c>
      <c r="G2461" s="24" t="s">
        <v>8</v>
      </c>
      <c r="H2461" s="24" t="s">
        <v>2139</v>
      </c>
      <c r="I2461" s="27">
        <v>-1044.04</v>
      </c>
    </row>
    <row r="2462" spans="2:9" ht="16">
      <c r="B2462" s="24" t="s">
        <v>961</v>
      </c>
      <c r="C2462" s="24" t="s">
        <v>6</v>
      </c>
      <c r="D2462" s="24" t="s">
        <v>2140</v>
      </c>
      <c r="E2462" s="24" t="s">
        <v>8</v>
      </c>
      <c r="F2462" s="24" t="s">
        <v>9</v>
      </c>
      <c r="G2462" s="24" t="s">
        <v>8</v>
      </c>
      <c r="H2462" s="24" t="s">
        <v>2141</v>
      </c>
      <c r="I2462" s="27">
        <v>156.31</v>
      </c>
    </row>
    <row r="2463" spans="2:9" ht="16">
      <c r="B2463" s="24" t="s">
        <v>961</v>
      </c>
      <c r="C2463" s="24" t="s">
        <v>6</v>
      </c>
      <c r="D2463" s="24" t="s">
        <v>2142</v>
      </c>
      <c r="E2463" s="24" t="s">
        <v>8</v>
      </c>
      <c r="F2463" s="24" t="s">
        <v>9</v>
      </c>
      <c r="G2463" s="24" t="s">
        <v>8</v>
      </c>
      <c r="H2463" s="24" t="s">
        <v>2143</v>
      </c>
      <c r="I2463" s="27">
        <v>169.21</v>
      </c>
    </row>
    <row r="2464" spans="2:9" ht="16">
      <c r="B2464" s="24" t="s">
        <v>8</v>
      </c>
      <c r="C2464" s="24" t="s">
        <v>6</v>
      </c>
      <c r="D2464" s="24" t="s">
        <v>1685</v>
      </c>
      <c r="E2464" s="24" t="s">
        <v>8</v>
      </c>
      <c r="F2464" s="24" t="s">
        <v>9</v>
      </c>
      <c r="G2464" s="24" t="s">
        <v>8</v>
      </c>
      <c r="H2464" s="24" t="s">
        <v>53</v>
      </c>
      <c r="I2464" s="27">
        <v>2885.33</v>
      </c>
    </row>
    <row r="2465" spans="2:9" ht="16">
      <c r="B2465" s="24" t="s">
        <v>961</v>
      </c>
      <c r="C2465" s="24" t="s">
        <v>6</v>
      </c>
      <c r="D2465" s="24" t="s">
        <v>1683</v>
      </c>
      <c r="E2465" s="24" t="s">
        <v>8</v>
      </c>
      <c r="F2465" s="24" t="s">
        <v>9</v>
      </c>
      <c r="G2465" s="24" t="s">
        <v>8</v>
      </c>
      <c r="H2465" s="24" t="s">
        <v>53</v>
      </c>
      <c r="I2465" s="27">
        <v>8419.3</v>
      </c>
    </row>
    <row r="2466" spans="2:9" ht="16">
      <c r="B2466" s="24" t="s">
        <v>961</v>
      </c>
      <c r="C2466" s="24" t="s">
        <v>6</v>
      </c>
      <c r="D2466" s="24" t="s">
        <v>1961</v>
      </c>
      <c r="E2466" s="24" t="s">
        <v>8</v>
      </c>
      <c r="F2466" s="24" t="s">
        <v>9</v>
      </c>
      <c r="G2466" s="24" t="s">
        <v>8</v>
      </c>
      <c r="H2466" s="24" t="s">
        <v>53</v>
      </c>
      <c r="I2466" s="27">
        <v>9090.33</v>
      </c>
    </row>
    <row r="2467" spans="2:9" ht="16">
      <c r="B2467" s="24" t="s">
        <v>961</v>
      </c>
      <c r="C2467" s="24" t="s">
        <v>6</v>
      </c>
      <c r="D2467" s="24" t="s">
        <v>1596</v>
      </c>
      <c r="E2467" s="24" t="s">
        <v>8</v>
      </c>
      <c r="F2467" s="24" t="s">
        <v>9</v>
      </c>
      <c r="G2467" s="24" t="s">
        <v>8</v>
      </c>
      <c r="H2467" s="24" t="s">
        <v>53</v>
      </c>
      <c r="I2467" s="27">
        <v>6149.94</v>
      </c>
    </row>
    <row r="2468" spans="2:9" ht="16">
      <c r="B2468" s="24" t="s">
        <v>961</v>
      </c>
      <c r="C2468" s="24" t="s">
        <v>6</v>
      </c>
      <c r="D2468" s="24" t="s">
        <v>1682</v>
      </c>
      <c r="E2468" s="24" t="s">
        <v>8</v>
      </c>
      <c r="F2468" s="24" t="s">
        <v>9</v>
      </c>
      <c r="G2468" s="24" t="s">
        <v>8</v>
      </c>
      <c r="H2468" s="24" t="s">
        <v>53</v>
      </c>
      <c r="I2468" s="27">
        <v>15164.88</v>
      </c>
    </row>
    <row r="2469" spans="2:9" ht="16">
      <c r="B2469" s="24" t="s">
        <v>961</v>
      </c>
      <c r="C2469" s="24" t="s">
        <v>6</v>
      </c>
      <c r="D2469" s="24" t="s">
        <v>1655</v>
      </c>
      <c r="E2469" s="24" t="s">
        <v>8</v>
      </c>
      <c r="F2469" s="24" t="s">
        <v>9</v>
      </c>
      <c r="G2469" s="24" t="s">
        <v>8</v>
      </c>
      <c r="H2469" s="24" t="s">
        <v>53</v>
      </c>
      <c r="I2469" s="27">
        <v>6546.87</v>
      </c>
    </row>
    <row r="2470" spans="2:9" ht="16">
      <c r="B2470" s="24" t="s">
        <v>961</v>
      </c>
      <c r="C2470" s="24" t="s">
        <v>6</v>
      </c>
      <c r="D2470" s="24" t="s">
        <v>1603</v>
      </c>
      <c r="E2470" s="24" t="s">
        <v>8</v>
      </c>
      <c r="F2470" s="24" t="s">
        <v>9</v>
      </c>
      <c r="G2470" s="24" t="s">
        <v>8</v>
      </c>
      <c r="H2470" s="24" t="s">
        <v>53</v>
      </c>
      <c r="I2470" s="27">
        <v>1819.34</v>
      </c>
    </row>
    <row r="2471" spans="2:9" ht="16">
      <c r="B2471" s="24" t="s">
        <v>961</v>
      </c>
      <c r="C2471" s="24" t="s">
        <v>6</v>
      </c>
      <c r="D2471" s="24" t="s">
        <v>1581</v>
      </c>
      <c r="E2471" s="24" t="s">
        <v>8</v>
      </c>
      <c r="F2471" s="24" t="s">
        <v>9</v>
      </c>
      <c r="G2471" s="24" t="s">
        <v>8</v>
      </c>
      <c r="H2471" s="24" t="s">
        <v>53</v>
      </c>
      <c r="I2471" s="27">
        <v>2163.08</v>
      </c>
    </row>
    <row r="2472" spans="2:9" ht="16">
      <c r="B2472" s="24" t="s">
        <v>961</v>
      </c>
      <c r="C2472" s="24" t="s">
        <v>6</v>
      </c>
      <c r="D2472" s="24" t="s">
        <v>1826</v>
      </c>
      <c r="E2472" s="24" t="s">
        <v>8</v>
      </c>
      <c r="F2472" s="24" t="s">
        <v>9</v>
      </c>
      <c r="G2472" s="24" t="s">
        <v>8</v>
      </c>
      <c r="H2472" s="24" t="s">
        <v>53</v>
      </c>
      <c r="I2472" s="27">
        <v>8065.83</v>
      </c>
    </row>
    <row r="2473" spans="2:9" ht="16">
      <c r="B2473" s="24" t="s">
        <v>961</v>
      </c>
      <c r="C2473" s="24" t="s">
        <v>6</v>
      </c>
      <c r="D2473" s="24" t="s">
        <v>1687</v>
      </c>
      <c r="E2473" s="24" t="s">
        <v>8</v>
      </c>
      <c r="F2473" s="24" t="s">
        <v>9</v>
      </c>
      <c r="G2473" s="24" t="s">
        <v>8</v>
      </c>
      <c r="H2473" s="24" t="s">
        <v>53</v>
      </c>
      <c r="I2473" s="27">
        <v>226.83</v>
      </c>
    </row>
    <row r="2474" spans="2:9" ht="16">
      <c r="B2474" s="24" t="s">
        <v>961</v>
      </c>
      <c r="C2474" s="24" t="s">
        <v>6</v>
      </c>
      <c r="D2474" s="24" t="s">
        <v>1988</v>
      </c>
      <c r="E2474" s="24" t="s">
        <v>8</v>
      </c>
      <c r="F2474" s="24" t="s">
        <v>9</v>
      </c>
      <c r="G2474" s="24" t="s">
        <v>8</v>
      </c>
      <c r="H2474" s="24" t="s">
        <v>53</v>
      </c>
      <c r="I2474" s="27">
        <v>2080.06</v>
      </c>
    </row>
    <row r="2475" spans="2:9" ht="16">
      <c r="B2475" s="24" t="s">
        <v>961</v>
      </c>
      <c r="C2475" s="24" t="s">
        <v>6</v>
      </c>
      <c r="D2475" s="24" t="s">
        <v>1584</v>
      </c>
      <c r="E2475" s="24" t="s">
        <v>8</v>
      </c>
      <c r="F2475" s="24" t="s">
        <v>9</v>
      </c>
      <c r="G2475" s="24" t="s">
        <v>8</v>
      </c>
      <c r="H2475" s="24" t="s">
        <v>53</v>
      </c>
      <c r="I2475" s="27">
        <v>5703.98</v>
      </c>
    </row>
    <row r="2476" spans="2:9" ht="16">
      <c r="B2476" s="24" t="s">
        <v>961</v>
      </c>
      <c r="C2476" s="24" t="s">
        <v>6</v>
      </c>
      <c r="D2476" s="24" t="s">
        <v>1547</v>
      </c>
      <c r="E2476" s="24" t="s">
        <v>8</v>
      </c>
      <c r="F2476" s="24" t="s">
        <v>9</v>
      </c>
      <c r="G2476" s="24" t="s">
        <v>8</v>
      </c>
      <c r="H2476" s="24" t="s">
        <v>53</v>
      </c>
      <c r="I2476" s="27">
        <v>697.35</v>
      </c>
    </row>
    <row r="2477" spans="2:9" ht="16">
      <c r="B2477" s="24" t="s">
        <v>961</v>
      </c>
      <c r="C2477" s="24" t="s">
        <v>6</v>
      </c>
      <c r="D2477" s="24" t="s">
        <v>1827</v>
      </c>
      <c r="E2477" s="24" t="s">
        <v>8</v>
      </c>
      <c r="F2477" s="24" t="s">
        <v>9</v>
      </c>
      <c r="G2477" s="24" t="s">
        <v>8</v>
      </c>
      <c r="H2477" s="24" t="s">
        <v>53</v>
      </c>
      <c r="I2477" s="27">
        <v>7575.1</v>
      </c>
    </row>
    <row r="2478" spans="2:9" ht="16">
      <c r="B2478" s="24" t="s">
        <v>961</v>
      </c>
      <c r="C2478" s="24" t="s">
        <v>6</v>
      </c>
      <c r="D2478" s="24" t="s">
        <v>1686</v>
      </c>
      <c r="E2478" s="24" t="s">
        <v>8</v>
      </c>
      <c r="F2478" s="24" t="s">
        <v>9</v>
      </c>
      <c r="G2478" s="24" t="s">
        <v>8</v>
      </c>
      <c r="H2478" s="24" t="s">
        <v>53</v>
      </c>
      <c r="I2478" s="27">
        <v>13370.96</v>
      </c>
    </row>
    <row r="2479" spans="2:9" ht="16">
      <c r="B2479" s="24" t="s">
        <v>51</v>
      </c>
      <c r="C2479" s="24" t="s">
        <v>6</v>
      </c>
      <c r="D2479" s="24" t="s">
        <v>1681</v>
      </c>
      <c r="E2479" s="24" t="s">
        <v>8</v>
      </c>
      <c r="F2479" s="24" t="s">
        <v>9</v>
      </c>
      <c r="G2479" s="24" t="s">
        <v>8</v>
      </c>
      <c r="H2479" s="24" t="s">
        <v>53</v>
      </c>
      <c r="I2479" s="27">
        <v>9970.03</v>
      </c>
    </row>
    <row r="2480" spans="2:9" ht="16">
      <c r="B2480" s="24" t="s">
        <v>961</v>
      </c>
      <c r="C2480" s="24" t="s">
        <v>6</v>
      </c>
      <c r="D2480" s="24" t="s">
        <v>1538</v>
      </c>
      <c r="E2480" s="24" t="s">
        <v>8</v>
      </c>
      <c r="F2480" s="24" t="s">
        <v>9</v>
      </c>
      <c r="G2480" s="24" t="s">
        <v>8</v>
      </c>
      <c r="H2480" s="24" t="s">
        <v>53</v>
      </c>
      <c r="I2480" s="27">
        <v>509.62</v>
      </c>
    </row>
    <row r="2481" spans="2:9" ht="16">
      <c r="B2481" s="24" t="s">
        <v>961</v>
      </c>
      <c r="C2481" s="24" t="s">
        <v>6</v>
      </c>
      <c r="D2481" s="24" t="s">
        <v>2144</v>
      </c>
      <c r="E2481" s="24" t="s">
        <v>8</v>
      </c>
      <c r="F2481" s="24" t="s">
        <v>9</v>
      </c>
      <c r="G2481" s="24" t="s">
        <v>8</v>
      </c>
      <c r="H2481" s="24" t="s">
        <v>53</v>
      </c>
      <c r="I2481" s="27">
        <v>268.2</v>
      </c>
    </row>
    <row r="2482" spans="2:9" ht="16">
      <c r="B2482" s="24" t="s">
        <v>961</v>
      </c>
      <c r="C2482" s="24" t="s">
        <v>6</v>
      </c>
      <c r="D2482" s="24" t="s">
        <v>1688</v>
      </c>
      <c r="E2482" s="24" t="s">
        <v>8</v>
      </c>
      <c r="F2482" s="24" t="s">
        <v>9</v>
      </c>
      <c r="G2482" s="24" t="s">
        <v>8</v>
      </c>
      <c r="H2482" s="24" t="s">
        <v>53</v>
      </c>
      <c r="I2482" s="27">
        <v>8512.18</v>
      </c>
    </row>
    <row r="2483" spans="2:9" ht="16">
      <c r="B2483" s="24" t="s">
        <v>961</v>
      </c>
      <c r="C2483" s="24" t="s">
        <v>6</v>
      </c>
      <c r="D2483" s="24" t="s">
        <v>1684</v>
      </c>
      <c r="E2483" s="24" t="s">
        <v>8</v>
      </c>
      <c r="F2483" s="24" t="s">
        <v>9</v>
      </c>
      <c r="G2483" s="24" t="s">
        <v>8</v>
      </c>
      <c r="H2483" s="24" t="s">
        <v>53</v>
      </c>
      <c r="I2483" s="27">
        <v>7485.29</v>
      </c>
    </row>
    <row r="2484" spans="2:9" ht="16">
      <c r="B2484" s="24" t="s">
        <v>961</v>
      </c>
      <c r="C2484" s="24" t="s">
        <v>6</v>
      </c>
      <c r="D2484" s="24" t="s">
        <v>962</v>
      </c>
      <c r="E2484" s="24" t="s">
        <v>8</v>
      </c>
      <c r="F2484" s="24" t="s">
        <v>9</v>
      </c>
      <c r="G2484" s="24" t="s">
        <v>8</v>
      </c>
      <c r="H2484" s="24" t="s">
        <v>53</v>
      </c>
      <c r="I2484" s="27">
        <v>5248.54</v>
      </c>
    </row>
    <row r="2485" spans="2:9" ht="16">
      <c r="B2485" s="24" t="s">
        <v>961</v>
      </c>
      <c r="C2485" s="24" t="s">
        <v>6</v>
      </c>
      <c r="D2485" s="24" t="s">
        <v>2145</v>
      </c>
      <c r="E2485" s="24" t="s">
        <v>8</v>
      </c>
      <c r="F2485" s="24" t="s">
        <v>9</v>
      </c>
      <c r="G2485" s="24" t="s">
        <v>8</v>
      </c>
      <c r="H2485" s="24" t="s">
        <v>53</v>
      </c>
      <c r="I2485" s="27">
        <v>429.15</v>
      </c>
    </row>
    <row r="2486" spans="2:9" ht="16">
      <c r="B2486" s="24" t="s">
        <v>961</v>
      </c>
      <c r="C2486" s="24" t="s">
        <v>6</v>
      </c>
      <c r="D2486" s="24" t="s">
        <v>1602</v>
      </c>
      <c r="E2486" s="24" t="s">
        <v>8</v>
      </c>
      <c r="F2486" s="24" t="s">
        <v>9</v>
      </c>
      <c r="G2486" s="24" t="s">
        <v>8</v>
      </c>
      <c r="H2486" s="24" t="s">
        <v>53</v>
      </c>
      <c r="I2486" s="27">
        <v>3328.04</v>
      </c>
    </row>
    <row r="2487" spans="2:9" ht="16">
      <c r="B2487" s="24" t="s">
        <v>961</v>
      </c>
      <c r="C2487" s="24" t="s">
        <v>6</v>
      </c>
      <c r="D2487" s="24" t="s">
        <v>2053</v>
      </c>
      <c r="E2487" s="24" t="s">
        <v>8</v>
      </c>
      <c r="F2487" s="24" t="s">
        <v>9</v>
      </c>
      <c r="G2487" s="24" t="s">
        <v>8</v>
      </c>
      <c r="H2487" s="24" t="s">
        <v>53</v>
      </c>
      <c r="I2487" s="27">
        <v>10185.88</v>
      </c>
    </row>
    <row r="2488" spans="2:9" ht="16">
      <c r="B2488" s="24" t="s">
        <v>961</v>
      </c>
      <c r="C2488" s="24" t="s">
        <v>6</v>
      </c>
      <c r="D2488" s="24" t="s">
        <v>1661</v>
      </c>
      <c r="E2488" s="24" t="s">
        <v>8</v>
      </c>
      <c r="F2488" s="24" t="s">
        <v>9</v>
      </c>
      <c r="G2488" s="24" t="s">
        <v>8</v>
      </c>
      <c r="H2488" s="24" t="s">
        <v>53</v>
      </c>
      <c r="I2488" s="27">
        <v>5677.74</v>
      </c>
    </row>
    <row r="2489" spans="2:9" ht="16">
      <c r="B2489" s="24" t="s">
        <v>961</v>
      </c>
      <c r="C2489" s="24" t="s">
        <v>6</v>
      </c>
      <c r="D2489" s="24" t="s">
        <v>1773</v>
      </c>
      <c r="E2489" s="24" t="s">
        <v>8</v>
      </c>
      <c r="F2489" s="24" t="s">
        <v>9</v>
      </c>
      <c r="G2489" s="24" t="s">
        <v>8</v>
      </c>
      <c r="H2489" s="24" t="s">
        <v>53</v>
      </c>
      <c r="I2489" s="27">
        <v>6190.52</v>
      </c>
    </row>
    <row r="2490" spans="2:9" ht="16">
      <c r="B2490" s="24" t="s">
        <v>961</v>
      </c>
      <c r="C2490" s="24" t="s">
        <v>6</v>
      </c>
      <c r="D2490" s="24" t="s">
        <v>1682</v>
      </c>
      <c r="E2490" s="24" t="s">
        <v>8</v>
      </c>
      <c r="F2490" s="24" t="s">
        <v>9</v>
      </c>
      <c r="G2490" s="24" t="s">
        <v>8</v>
      </c>
      <c r="H2490" s="24" t="s">
        <v>2146</v>
      </c>
      <c r="I2490" s="27">
        <v>-1859.29</v>
      </c>
    </row>
    <row r="2491" spans="2:9" ht="16">
      <c r="B2491" s="24" t="s">
        <v>8</v>
      </c>
      <c r="C2491" s="24" t="s">
        <v>150</v>
      </c>
      <c r="D2491" s="24" t="s">
        <v>2147</v>
      </c>
      <c r="E2491" s="24" t="s">
        <v>2148</v>
      </c>
      <c r="F2491" s="24" t="s">
        <v>9</v>
      </c>
      <c r="G2491" s="24" t="s">
        <v>8</v>
      </c>
      <c r="H2491" s="24" t="s">
        <v>2149</v>
      </c>
      <c r="I2491" s="27">
        <v>1044.04</v>
      </c>
    </row>
    <row r="2492" spans="2:9" ht="16">
      <c r="B2492" s="24" t="s">
        <v>8</v>
      </c>
      <c r="C2492" s="24" t="s">
        <v>150</v>
      </c>
      <c r="D2492" s="24" t="s">
        <v>1963</v>
      </c>
      <c r="E2492" s="24" t="s">
        <v>2150</v>
      </c>
      <c r="F2492" s="24" t="s">
        <v>9</v>
      </c>
      <c r="G2492" s="24" t="s">
        <v>8</v>
      </c>
      <c r="H2492" s="24" t="s">
        <v>2151</v>
      </c>
      <c r="I2492" s="27">
        <v>815.26</v>
      </c>
    </row>
    <row r="2493" spans="2:9" ht="16">
      <c r="B2493" s="24" t="s">
        <v>8</v>
      </c>
      <c r="C2493" s="24" t="s">
        <v>150</v>
      </c>
      <c r="D2493" s="24" t="s">
        <v>1963</v>
      </c>
      <c r="E2493" s="24" t="s">
        <v>2152</v>
      </c>
      <c r="F2493" s="24" t="s">
        <v>9</v>
      </c>
      <c r="G2493" s="24" t="s">
        <v>8</v>
      </c>
      <c r="H2493" s="24" t="s">
        <v>2153</v>
      </c>
      <c r="I2493" s="27">
        <v>305.53</v>
      </c>
    </row>
    <row r="2494" spans="2:9" ht="16">
      <c r="B2494" s="24" t="s">
        <v>8</v>
      </c>
      <c r="C2494" s="24" t="s">
        <v>150</v>
      </c>
      <c r="D2494" s="24" t="s">
        <v>1963</v>
      </c>
      <c r="E2494" s="24" t="s">
        <v>2154</v>
      </c>
      <c r="F2494" s="24" t="s">
        <v>9</v>
      </c>
      <c r="G2494" s="24" t="s">
        <v>8</v>
      </c>
      <c r="H2494" s="24" t="s">
        <v>2155</v>
      </c>
      <c r="I2494" s="27">
        <v>1044.03</v>
      </c>
    </row>
    <row r="2495" spans="2:9" ht="16">
      <c r="B2495" s="24" t="s">
        <v>8</v>
      </c>
      <c r="C2495" s="24" t="s">
        <v>150</v>
      </c>
      <c r="D2495" s="24" t="s">
        <v>1963</v>
      </c>
      <c r="E2495" s="24" t="s">
        <v>2156</v>
      </c>
      <c r="F2495" s="24" t="s">
        <v>9</v>
      </c>
      <c r="G2495" s="24" t="s">
        <v>8</v>
      </c>
      <c r="H2495" s="24" t="s">
        <v>2157</v>
      </c>
      <c r="I2495" s="27">
        <v>1206.31</v>
      </c>
    </row>
    <row r="2496" spans="2:9" ht="16">
      <c r="B2496" s="24" t="s">
        <v>961</v>
      </c>
      <c r="C2496" s="24" t="s">
        <v>6</v>
      </c>
      <c r="D2496" s="24" t="s">
        <v>1682</v>
      </c>
      <c r="E2496" s="24" t="s">
        <v>8</v>
      </c>
      <c r="F2496" s="24" t="s">
        <v>9</v>
      </c>
      <c r="G2496" s="24" t="s">
        <v>8</v>
      </c>
      <c r="H2496" s="24" t="s">
        <v>2158</v>
      </c>
      <c r="I2496" s="27">
        <v>-1511.84</v>
      </c>
    </row>
    <row r="2497" spans="2:9" ht="16">
      <c r="B2497" s="24" t="s">
        <v>961</v>
      </c>
      <c r="C2497" s="24" t="s">
        <v>6</v>
      </c>
      <c r="D2497" s="24" t="s">
        <v>2159</v>
      </c>
      <c r="E2497" s="24" t="s">
        <v>8</v>
      </c>
      <c r="F2497" s="24" t="s">
        <v>9</v>
      </c>
      <c r="G2497" s="24" t="s">
        <v>8</v>
      </c>
      <c r="H2497" s="24" t="s">
        <v>8</v>
      </c>
      <c r="I2497" s="27">
        <v>2355.07</v>
      </c>
    </row>
    <row r="2498" spans="1:9" ht="16">
      <c r="A2498" s="35" t="s">
        <v>67</v>
      </c>
      <c r="I2498" s="28">
        <f>I2460+I2461+I2462+I2463+I2464+I2465+I2466+I2467+I2468+I2469+I2470+I2471+I2472+I2473+I2474+I2475+I2476+I2477+I2478+I2479+I2480+I2481+I2482+I2483+I2484+I2485+I2486+I2487+I2488+I2489+I2490+I2491+I2492+I2493+I2494+I2495+I2496+I2497</f>
        <v>150444.95999999996</v>
      </c>
    </row>
    <row r="2499" spans="1:9" ht="16">
      <c r="A2499" s="36" t="s">
        <v>2160</v>
      </c>
      <c r="I2499" s="28">
        <f>I2303+I2308+I2312+I2411+I2415+I2418+I2421+I2427+I2445+I2449+I2459+I2498</f>
        <v>748630.16</v>
      </c>
    </row>
    <row r="2500" spans="1:1" ht="16">
      <c r="A2500" s="33" t="s">
        <v>172</v>
      </c>
    </row>
    <row r="2501" spans="1:1" ht="16">
      <c r="A2501" s="34" t="s">
        <v>2161</v>
      </c>
    </row>
    <row r="2502" spans="2:9" ht="16">
      <c r="B2502" s="24" t="s">
        <v>957</v>
      </c>
      <c r="C2502" s="24" t="s">
        <v>6</v>
      </c>
      <c r="D2502" s="24" t="s">
        <v>1587</v>
      </c>
      <c r="E2502" s="24" t="s">
        <v>8</v>
      </c>
      <c r="F2502" s="24" t="s">
        <v>9</v>
      </c>
      <c r="G2502" s="24" t="s">
        <v>8</v>
      </c>
      <c r="H2502" s="24" t="s">
        <v>958</v>
      </c>
      <c r="I2502" s="27">
        <v>395.0</v>
      </c>
    </row>
    <row r="2503" spans="2:9" ht="16">
      <c r="B2503" s="24" t="s">
        <v>957</v>
      </c>
      <c r="C2503" s="24" t="s">
        <v>6</v>
      </c>
      <c r="D2503" s="24" t="s">
        <v>1102</v>
      </c>
      <c r="E2503" s="24" t="s">
        <v>8</v>
      </c>
      <c r="F2503" s="24" t="s">
        <v>9</v>
      </c>
      <c r="G2503" s="24" t="s">
        <v>8</v>
      </c>
      <c r="H2503" s="24" t="s">
        <v>958</v>
      </c>
      <c r="I2503" s="27">
        <v>395.0</v>
      </c>
    </row>
    <row r="2504" spans="2:9" ht="16">
      <c r="B2504" s="24" t="s">
        <v>957</v>
      </c>
      <c r="C2504" s="24" t="s">
        <v>6</v>
      </c>
      <c r="D2504" s="24" t="s">
        <v>1545</v>
      </c>
      <c r="E2504" s="24" t="s">
        <v>8</v>
      </c>
      <c r="F2504" s="24" t="s">
        <v>9</v>
      </c>
      <c r="G2504" s="24" t="s">
        <v>8</v>
      </c>
      <c r="H2504" s="24" t="s">
        <v>2162</v>
      </c>
      <c r="I2504" s="27">
        <v>395.0</v>
      </c>
    </row>
    <row r="2505" spans="2:9" ht="16">
      <c r="B2505" s="24" t="s">
        <v>1176</v>
      </c>
      <c r="C2505" s="24" t="s">
        <v>6</v>
      </c>
      <c r="D2505" s="24" t="s">
        <v>974</v>
      </c>
      <c r="E2505" s="24" t="s">
        <v>8</v>
      </c>
      <c r="F2505" s="24" t="s">
        <v>9</v>
      </c>
      <c r="G2505" s="24" t="s">
        <v>8</v>
      </c>
      <c r="H2505" s="24" t="s">
        <v>2163</v>
      </c>
      <c r="I2505" s="27">
        <v>561.86</v>
      </c>
    </row>
    <row r="2506" spans="1:9" ht="16">
      <c r="A2506" s="35" t="s">
        <v>81</v>
      </c>
      <c r="I2506" s="28">
        <f>I2501+I2502+I2503+I2504+I2505</f>
        <v>1746.8600000000001</v>
      </c>
    </row>
    <row r="2507" spans="1:1" ht="16">
      <c r="A2507" s="34" t="s">
        <v>2161</v>
      </c>
    </row>
    <row r="2508" spans="2:9" ht="16">
      <c r="B2508" s="24" t="s">
        <v>21</v>
      </c>
      <c r="C2508" s="24" t="s">
        <v>13</v>
      </c>
      <c r="D2508" s="24" t="s">
        <v>560</v>
      </c>
      <c r="E2508" s="24" t="s">
        <v>2164</v>
      </c>
      <c r="F2508" s="24" t="s">
        <v>9</v>
      </c>
      <c r="G2508" s="24" t="s">
        <v>8</v>
      </c>
      <c r="H2508" s="24" t="s">
        <v>2165</v>
      </c>
      <c r="I2508" s="27">
        <v>3865.94</v>
      </c>
    </row>
    <row r="2509" spans="2:9" ht="16">
      <c r="B2509" s="24" t="s">
        <v>119</v>
      </c>
      <c r="C2509" s="24" t="s">
        <v>6</v>
      </c>
      <c r="D2509" s="24" t="s">
        <v>1732</v>
      </c>
      <c r="E2509" s="24" t="s">
        <v>8</v>
      </c>
      <c r="F2509" s="24" t="s">
        <v>9</v>
      </c>
      <c r="G2509" s="24" t="s">
        <v>8</v>
      </c>
      <c r="H2509" s="24" t="s">
        <v>2166</v>
      </c>
      <c r="I2509" s="27">
        <v>10.9</v>
      </c>
    </row>
    <row r="2510" spans="2:9" ht="16">
      <c r="B2510" s="24" t="s">
        <v>2167</v>
      </c>
      <c r="C2510" s="24" t="s">
        <v>6</v>
      </c>
      <c r="D2510" s="24" t="s">
        <v>1618</v>
      </c>
      <c r="E2510" s="24" t="s">
        <v>8</v>
      </c>
      <c r="F2510" s="24" t="s">
        <v>9</v>
      </c>
      <c r="G2510" s="24" t="s">
        <v>8</v>
      </c>
      <c r="H2510" s="24" t="s">
        <v>2168</v>
      </c>
      <c r="I2510" s="27">
        <v>63.37</v>
      </c>
    </row>
    <row r="2511" spans="2:9" ht="16">
      <c r="B2511" s="24" t="s">
        <v>2167</v>
      </c>
      <c r="C2511" s="24" t="s">
        <v>6</v>
      </c>
      <c r="D2511" s="24" t="s">
        <v>1618</v>
      </c>
      <c r="E2511" s="24" t="s">
        <v>8</v>
      </c>
      <c r="F2511" s="24" t="s">
        <v>9</v>
      </c>
      <c r="G2511" s="24" t="s">
        <v>8</v>
      </c>
      <c r="H2511" s="24" t="s">
        <v>2168</v>
      </c>
      <c r="I2511" s="27">
        <v>137.76</v>
      </c>
    </row>
    <row r="2512" spans="2:9" ht="16">
      <c r="B2512" s="24" t="s">
        <v>589</v>
      </c>
      <c r="C2512" s="24" t="s">
        <v>6</v>
      </c>
      <c r="D2512" s="24" t="s">
        <v>1682</v>
      </c>
      <c r="E2512" s="24" t="s">
        <v>8</v>
      </c>
      <c r="F2512" s="24" t="s">
        <v>9</v>
      </c>
      <c r="G2512" s="24" t="s">
        <v>8</v>
      </c>
      <c r="H2512" s="24" t="s">
        <v>2169</v>
      </c>
      <c r="I2512" s="27">
        <v>-281.44</v>
      </c>
    </row>
    <row r="2513" spans="2:9" ht="16">
      <c r="B2513" s="24" t="s">
        <v>589</v>
      </c>
      <c r="C2513" s="24" t="s">
        <v>6</v>
      </c>
      <c r="D2513" s="24" t="s">
        <v>1682</v>
      </c>
      <c r="E2513" s="24" t="s">
        <v>8</v>
      </c>
      <c r="F2513" s="24" t="s">
        <v>9</v>
      </c>
      <c r="G2513" s="24" t="s">
        <v>8</v>
      </c>
      <c r="H2513" s="24" t="s">
        <v>2169</v>
      </c>
      <c r="I2513" s="27">
        <v>281.44</v>
      </c>
    </row>
    <row r="2514" spans="2:9" ht="16">
      <c r="B2514" s="24" t="s">
        <v>119</v>
      </c>
      <c r="C2514" s="24" t="s">
        <v>6</v>
      </c>
      <c r="D2514" s="24" t="s">
        <v>1701</v>
      </c>
      <c r="E2514" s="24" t="s">
        <v>8</v>
      </c>
      <c r="F2514" s="24" t="s">
        <v>9</v>
      </c>
      <c r="G2514" s="24" t="s">
        <v>8</v>
      </c>
      <c r="H2514" s="24" t="s">
        <v>982</v>
      </c>
      <c r="I2514" s="27">
        <v>5237.5</v>
      </c>
    </row>
    <row r="2515" spans="2:9" ht="16">
      <c r="B2515" s="24" t="s">
        <v>2170</v>
      </c>
      <c r="C2515" s="24" t="s">
        <v>6</v>
      </c>
      <c r="D2515" s="24" t="s">
        <v>1826</v>
      </c>
      <c r="E2515" s="24" t="s">
        <v>8</v>
      </c>
      <c r="F2515" s="24" t="s">
        <v>9</v>
      </c>
      <c r="G2515" s="24" t="s">
        <v>8</v>
      </c>
      <c r="H2515" s="24" t="s">
        <v>2171</v>
      </c>
      <c r="I2515" s="27">
        <v>947.58</v>
      </c>
    </row>
    <row r="2516" spans="2:9" ht="16">
      <c r="B2516" s="24" t="s">
        <v>2172</v>
      </c>
      <c r="C2516" s="24" t="s">
        <v>6</v>
      </c>
      <c r="D2516" s="24" t="s">
        <v>1239</v>
      </c>
      <c r="E2516" s="24" t="s">
        <v>8</v>
      </c>
      <c r="F2516" s="24" t="s">
        <v>9</v>
      </c>
      <c r="G2516" s="24" t="s">
        <v>8</v>
      </c>
      <c r="H2516" s="24" t="s">
        <v>2173</v>
      </c>
      <c r="I2516" s="27">
        <v>623.3</v>
      </c>
    </row>
    <row r="2517" spans="2:9" ht="16">
      <c r="B2517" s="24" t="s">
        <v>119</v>
      </c>
      <c r="C2517" s="24" t="s">
        <v>6</v>
      </c>
      <c r="D2517" s="24" t="s">
        <v>2174</v>
      </c>
      <c r="E2517" s="24" t="s">
        <v>8</v>
      </c>
      <c r="F2517" s="24" t="s">
        <v>9</v>
      </c>
      <c r="G2517" s="24" t="s">
        <v>8</v>
      </c>
      <c r="H2517" s="24" t="s">
        <v>2175</v>
      </c>
      <c r="I2517" s="27">
        <v>35.86</v>
      </c>
    </row>
    <row r="2518" spans="2:9" ht="16">
      <c r="B2518" s="24" t="s">
        <v>119</v>
      </c>
      <c r="C2518" s="24" t="s">
        <v>6</v>
      </c>
      <c r="D2518" s="24" t="s">
        <v>2176</v>
      </c>
      <c r="E2518" s="24" t="s">
        <v>8</v>
      </c>
      <c r="F2518" s="24" t="s">
        <v>9</v>
      </c>
      <c r="G2518" s="24" t="s">
        <v>8</v>
      </c>
      <c r="H2518" s="24" t="s">
        <v>2177</v>
      </c>
      <c r="I2518" s="27">
        <v>354.77</v>
      </c>
    </row>
    <row r="2519" spans="2:9" ht="16">
      <c r="B2519" s="24" t="s">
        <v>119</v>
      </c>
      <c r="C2519" s="24" t="s">
        <v>6</v>
      </c>
      <c r="D2519" s="24" t="s">
        <v>2178</v>
      </c>
      <c r="E2519" s="24" t="s">
        <v>8</v>
      </c>
      <c r="F2519" s="24" t="s">
        <v>9</v>
      </c>
      <c r="G2519" s="24" t="s">
        <v>8</v>
      </c>
      <c r="H2519" s="24" t="s">
        <v>2177</v>
      </c>
      <c r="I2519" s="27">
        <v>38.98</v>
      </c>
    </row>
    <row r="2520" spans="2:9" ht="16">
      <c r="B2520" s="24" t="s">
        <v>119</v>
      </c>
      <c r="C2520" s="24" t="s">
        <v>6</v>
      </c>
      <c r="D2520" s="24" t="s">
        <v>1896</v>
      </c>
      <c r="E2520" s="24" t="s">
        <v>8</v>
      </c>
      <c r="F2520" s="24" t="s">
        <v>9</v>
      </c>
      <c r="G2520" s="24" t="s">
        <v>8</v>
      </c>
      <c r="H2520" s="24" t="s">
        <v>2177</v>
      </c>
      <c r="I2520" s="27">
        <v>21.88</v>
      </c>
    </row>
    <row r="2521" spans="2:9" ht="16">
      <c r="B2521" s="24" t="s">
        <v>119</v>
      </c>
      <c r="C2521" s="24" t="s">
        <v>6</v>
      </c>
      <c r="D2521" s="24" t="s">
        <v>1584</v>
      </c>
      <c r="E2521" s="24" t="s">
        <v>8</v>
      </c>
      <c r="F2521" s="24" t="s">
        <v>9</v>
      </c>
      <c r="G2521" s="24" t="s">
        <v>8</v>
      </c>
      <c r="H2521" s="24" t="s">
        <v>2177</v>
      </c>
      <c r="I2521" s="27">
        <v>486.63</v>
      </c>
    </row>
    <row r="2522" spans="2:9" ht="16">
      <c r="B2522" s="24" t="s">
        <v>119</v>
      </c>
      <c r="C2522" s="24" t="s">
        <v>6</v>
      </c>
      <c r="D2522" s="24" t="s">
        <v>1896</v>
      </c>
      <c r="E2522" s="24" t="s">
        <v>8</v>
      </c>
      <c r="F2522" s="24" t="s">
        <v>9</v>
      </c>
      <c r="G2522" s="24" t="s">
        <v>8</v>
      </c>
      <c r="H2522" s="24" t="s">
        <v>2177</v>
      </c>
      <c r="I2522" s="27">
        <v>62.35</v>
      </c>
    </row>
    <row r="2523" spans="2:9" ht="16">
      <c r="B2523" s="24" t="s">
        <v>12</v>
      </c>
      <c r="C2523" s="24" t="s">
        <v>13</v>
      </c>
      <c r="D2523" s="24" t="s">
        <v>1075</v>
      </c>
      <c r="E2523" s="24" t="s">
        <v>2179</v>
      </c>
      <c r="F2523" s="24" t="s">
        <v>9</v>
      </c>
      <c r="G2523" s="24" t="s">
        <v>8</v>
      </c>
      <c r="H2523" s="24" t="s">
        <v>2180</v>
      </c>
      <c r="I2523" s="27">
        <v>139.86</v>
      </c>
    </row>
    <row r="2524" spans="2:9" ht="16">
      <c r="B2524" s="24" t="s">
        <v>21</v>
      </c>
      <c r="C2524" s="24" t="s">
        <v>13</v>
      </c>
      <c r="D2524" s="24" t="s">
        <v>1141</v>
      </c>
      <c r="E2524" s="24" t="s">
        <v>2181</v>
      </c>
      <c r="F2524" s="24" t="s">
        <v>9</v>
      </c>
      <c r="G2524" s="24" t="s">
        <v>8</v>
      </c>
      <c r="H2524" s="24" t="s">
        <v>834</v>
      </c>
      <c r="I2524" s="27">
        <v>109.16</v>
      </c>
    </row>
    <row r="2525" spans="2:9" ht="16">
      <c r="B2525" s="24" t="s">
        <v>2182</v>
      </c>
      <c r="C2525" s="24" t="s">
        <v>6</v>
      </c>
      <c r="D2525" s="24" t="s">
        <v>2183</v>
      </c>
      <c r="E2525" s="24" t="s">
        <v>8</v>
      </c>
      <c r="F2525" s="24" t="s">
        <v>9</v>
      </c>
      <c r="G2525" s="24" t="s">
        <v>8</v>
      </c>
      <c r="H2525" s="24" t="s">
        <v>2184</v>
      </c>
      <c r="I2525" s="27">
        <v>1260.93</v>
      </c>
    </row>
    <row r="2526" spans="2:9" ht="16">
      <c r="B2526" s="24" t="s">
        <v>2182</v>
      </c>
      <c r="C2526" s="24" t="s">
        <v>6</v>
      </c>
      <c r="D2526" s="24" t="s">
        <v>1701</v>
      </c>
      <c r="E2526" s="24" t="s">
        <v>8</v>
      </c>
      <c r="F2526" s="24" t="s">
        <v>9</v>
      </c>
      <c r="G2526" s="24" t="s">
        <v>8</v>
      </c>
      <c r="H2526" s="24" t="s">
        <v>2184</v>
      </c>
      <c r="I2526" s="27">
        <v>493.22</v>
      </c>
    </row>
    <row r="2527" spans="2:9" ht="16">
      <c r="B2527" s="24" t="s">
        <v>2185</v>
      </c>
      <c r="C2527" s="24" t="s">
        <v>6</v>
      </c>
      <c r="D2527" s="24" t="s">
        <v>2004</v>
      </c>
      <c r="E2527" s="24" t="s">
        <v>8</v>
      </c>
      <c r="F2527" s="24" t="s">
        <v>9</v>
      </c>
      <c r="G2527" s="24" t="s">
        <v>8</v>
      </c>
      <c r="H2527" s="24" t="s">
        <v>2186</v>
      </c>
      <c r="I2527" s="27">
        <v>145.13</v>
      </c>
    </row>
    <row r="2528" spans="2:9" ht="16">
      <c r="B2528" s="24" t="s">
        <v>1167</v>
      </c>
      <c r="C2528" s="24" t="s">
        <v>6</v>
      </c>
      <c r="D2528" s="24" t="s">
        <v>2187</v>
      </c>
      <c r="E2528" s="24" t="s">
        <v>8</v>
      </c>
      <c r="F2528" s="24" t="s">
        <v>9</v>
      </c>
      <c r="G2528" s="24" t="s">
        <v>8</v>
      </c>
      <c r="H2528" s="24" t="s">
        <v>2188</v>
      </c>
      <c r="I2528" s="27">
        <v>1840.25</v>
      </c>
    </row>
    <row r="2529" spans="2:9" ht="16">
      <c r="B2529" s="24" t="s">
        <v>155</v>
      </c>
      <c r="C2529" s="24" t="s">
        <v>13</v>
      </c>
      <c r="D2529" s="24" t="s">
        <v>1701</v>
      </c>
      <c r="E2529" s="24" t="s">
        <v>2189</v>
      </c>
      <c r="F2529" s="24" t="s">
        <v>9</v>
      </c>
      <c r="G2529" s="24" t="s">
        <v>8</v>
      </c>
      <c r="H2529" s="24" t="s">
        <v>1307</v>
      </c>
      <c r="I2529" s="27">
        <v>19.07</v>
      </c>
    </row>
    <row r="2530" spans="2:9" ht="16">
      <c r="B2530" s="24" t="s">
        <v>155</v>
      </c>
      <c r="C2530" s="24" t="s">
        <v>13</v>
      </c>
      <c r="D2530" s="24" t="s">
        <v>998</v>
      </c>
      <c r="E2530" s="24" t="s">
        <v>2190</v>
      </c>
      <c r="F2530" s="24" t="s">
        <v>9</v>
      </c>
      <c r="G2530" s="24" t="s">
        <v>8</v>
      </c>
      <c r="H2530" s="24" t="s">
        <v>1307</v>
      </c>
      <c r="I2530" s="27">
        <v>92.98</v>
      </c>
    </row>
    <row r="2531" spans="2:9" ht="16">
      <c r="B2531" s="24" t="s">
        <v>2167</v>
      </c>
      <c r="C2531" s="24" t="s">
        <v>6</v>
      </c>
      <c r="D2531" s="24" t="s">
        <v>1028</v>
      </c>
      <c r="E2531" s="24" t="s">
        <v>8</v>
      </c>
      <c r="F2531" s="24" t="s">
        <v>9</v>
      </c>
      <c r="G2531" s="24" t="s">
        <v>8</v>
      </c>
      <c r="H2531" s="24" t="s">
        <v>2191</v>
      </c>
      <c r="I2531" s="27">
        <v>166.64</v>
      </c>
    </row>
    <row r="2532" spans="2:9" ht="16">
      <c r="B2532" s="24" t="s">
        <v>119</v>
      </c>
      <c r="C2532" s="24" t="s">
        <v>6</v>
      </c>
      <c r="D2532" s="24" t="s">
        <v>1356</v>
      </c>
      <c r="E2532" s="24" t="s">
        <v>8</v>
      </c>
      <c r="F2532" s="24" t="s">
        <v>9</v>
      </c>
      <c r="G2532" s="24" t="s">
        <v>8</v>
      </c>
      <c r="H2532" s="24" t="s">
        <v>2192</v>
      </c>
      <c r="I2532" s="27">
        <v>91.61</v>
      </c>
    </row>
    <row r="2533" spans="2:9" ht="16">
      <c r="B2533" s="24" t="s">
        <v>21</v>
      </c>
      <c r="C2533" s="24" t="s">
        <v>13</v>
      </c>
      <c r="D2533" s="24" t="s">
        <v>984</v>
      </c>
      <c r="E2533" s="24" t="s">
        <v>2193</v>
      </c>
      <c r="F2533" s="24" t="s">
        <v>9</v>
      </c>
      <c r="G2533" s="24" t="s">
        <v>8</v>
      </c>
      <c r="H2533" s="24" t="s">
        <v>2194</v>
      </c>
      <c r="I2533" s="27">
        <v>134.04</v>
      </c>
    </row>
    <row r="2534" spans="2:9" ht="16">
      <c r="B2534" s="24" t="s">
        <v>992</v>
      </c>
      <c r="C2534" s="24" t="s">
        <v>6</v>
      </c>
      <c r="D2534" s="24" t="s">
        <v>516</v>
      </c>
      <c r="E2534" s="24" t="s">
        <v>8</v>
      </c>
      <c r="F2534" s="24" t="s">
        <v>9</v>
      </c>
      <c r="G2534" s="24" t="s">
        <v>8</v>
      </c>
      <c r="H2534" s="24" t="s">
        <v>2195</v>
      </c>
      <c r="I2534" s="27">
        <v>6.83</v>
      </c>
    </row>
    <row r="2535" spans="2:9" ht="16">
      <c r="B2535" s="24" t="s">
        <v>119</v>
      </c>
      <c r="C2535" s="24" t="s">
        <v>6</v>
      </c>
      <c r="D2535" s="24" t="s">
        <v>1239</v>
      </c>
      <c r="E2535" s="24" t="s">
        <v>8</v>
      </c>
      <c r="F2535" s="24" t="s">
        <v>9</v>
      </c>
      <c r="G2535" s="24" t="s">
        <v>8</v>
      </c>
      <c r="H2535" s="24" t="s">
        <v>2196</v>
      </c>
      <c r="I2535" s="27">
        <v>120.23</v>
      </c>
    </row>
    <row r="2536" spans="2:9" ht="16">
      <c r="B2536" s="24" t="s">
        <v>119</v>
      </c>
      <c r="C2536" s="24" t="s">
        <v>6</v>
      </c>
      <c r="D2536" s="24" t="s">
        <v>1179</v>
      </c>
      <c r="E2536" s="24" t="s">
        <v>8</v>
      </c>
      <c r="F2536" s="24" t="s">
        <v>9</v>
      </c>
      <c r="G2536" s="24" t="s">
        <v>8</v>
      </c>
      <c r="H2536" s="24" t="s">
        <v>2197</v>
      </c>
      <c r="I2536" s="27">
        <v>17.49</v>
      </c>
    </row>
    <row r="2537" spans="2:9" ht="16">
      <c r="B2537" s="24" t="s">
        <v>119</v>
      </c>
      <c r="C2537" s="24" t="s">
        <v>6</v>
      </c>
      <c r="D2537" s="24" t="s">
        <v>1006</v>
      </c>
      <c r="E2537" s="24" t="s">
        <v>8</v>
      </c>
      <c r="F2537" s="24" t="s">
        <v>9</v>
      </c>
      <c r="G2537" s="24" t="s">
        <v>8</v>
      </c>
      <c r="H2537" s="24" t="s">
        <v>2198</v>
      </c>
      <c r="I2537" s="27">
        <v>72.2</v>
      </c>
    </row>
    <row r="2538" spans="2:9" ht="16">
      <c r="B2538" s="24" t="s">
        <v>119</v>
      </c>
      <c r="C2538" s="24" t="s">
        <v>6</v>
      </c>
      <c r="D2538" s="24" t="s">
        <v>549</v>
      </c>
      <c r="E2538" s="24" t="s">
        <v>8</v>
      </c>
      <c r="F2538" s="24" t="s">
        <v>9</v>
      </c>
      <c r="G2538" s="24" t="s">
        <v>8</v>
      </c>
      <c r="H2538" s="24" t="s">
        <v>2199</v>
      </c>
      <c r="I2538" s="27">
        <v>31.71</v>
      </c>
    </row>
    <row r="2539" spans="2:9" ht="16">
      <c r="B2539" s="24" t="s">
        <v>127</v>
      </c>
      <c r="C2539" s="24" t="s">
        <v>6</v>
      </c>
      <c r="D2539" s="24" t="s">
        <v>1106</v>
      </c>
      <c r="E2539" s="24" t="s">
        <v>8</v>
      </c>
      <c r="F2539" s="24" t="s">
        <v>9</v>
      </c>
      <c r="G2539" s="24" t="s">
        <v>8</v>
      </c>
      <c r="H2539" s="24" t="s">
        <v>2200</v>
      </c>
      <c r="I2539" s="27">
        <v>15.3</v>
      </c>
    </row>
    <row r="2540" spans="2:9" ht="16">
      <c r="B2540" s="24" t="s">
        <v>127</v>
      </c>
      <c r="C2540" s="24" t="s">
        <v>6</v>
      </c>
      <c r="D2540" s="24" t="s">
        <v>1574</v>
      </c>
      <c r="E2540" s="24" t="s">
        <v>8</v>
      </c>
      <c r="F2540" s="24" t="s">
        <v>9</v>
      </c>
      <c r="G2540" s="24" t="s">
        <v>8</v>
      </c>
      <c r="H2540" s="24" t="s">
        <v>2201</v>
      </c>
      <c r="I2540" s="27">
        <v>18.55</v>
      </c>
    </row>
    <row r="2541" spans="2:9" ht="16">
      <c r="B2541" s="24" t="s">
        <v>119</v>
      </c>
      <c r="C2541" s="24" t="s">
        <v>6</v>
      </c>
      <c r="D2541" s="24" t="s">
        <v>1581</v>
      </c>
      <c r="E2541" s="24" t="s">
        <v>8</v>
      </c>
      <c r="F2541" s="24" t="s">
        <v>9</v>
      </c>
      <c r="G2541" s="24" t="s">
        <v>8</v>
      </c>
      <c r="H2541" s="24" t="s">
        <v>2202</v>
      </c>
      <c r="I2541" s="27">
        <v>11.47</v>
      </c>
    </row>
    <row r="2542" spans="2:9" ht="16">
      <c r="B2542" s="24" t="s">
        <v>119</v>
      </c>
      <c r="C2542" s="24" t="s">
        <v>6</v>
      </c>
      <c r="D2542" s="24" t="s">
        <v>1584</v>
      </c>
      <c r="E2542" s="24" t="s">
        <v>8</v>
      </c>
      <c r="F2542" s="24" t="s">
        <v>9</v>
      </c>
      <c r="G2542" s="24" t="s">
        <v>8</v>
      </c>
      <c r="H2542" s="24" t="s">
        <v>2203</v>
      </c>
      <c r="I2542" s="27">
        <v>38.25</v>
      </c>
    </row>
    <row r="2543" spans="2:9" ht="16">
      <c r="B2543" s="24" t="s">
        <v>119</v>
      </c>
      <c r="C2543" s="24" t="s">
        <v>6</v>
      </c>
      <c r="D2543" s="24" t="s">
        <v>1636</v>
      </c>
      <c r="E2543" s="24" t="s">
        <v>8</v>
      </c>
      <c r="F2543" s="24" t="s">
        <v>9</v>
      </c>
      <c r="G2543" s="24" t="s">
        <v>8</v>
      </c>
      <c r="H2543" s="24" t="s">
        <v>2204</v>
      </c>
      <c r="I2543" s="27">
        <v>83.67</v>
      </c>
    </row>
    <row r="2544" spans="2:9" ht="16">
      <c r="B2544" s="24" t="s">
        <v>119</v>
      </c>
      <c r="C2544" s="24" t="s">
        <v>6</v>
      </c>
      <c r="D2544" s="24" t="s">
        <v>2205</v>
      </c>
      <c r="E2544" s="24" t="s">
        <v>8</v>
      </c>
      <c r="F2544" s="24" t="s">
        <v>9</v>
      </c>
      <c r="G2544" s="24" t="s">
        <v>8</v>
      </c>
      <c r="H2544" s="24" t="s">
        <v>2206</v>
      </c>
      <c r="I2544" s="27">
        <v>30.5</v>
      </c>
    </row>
    <row r="2545" spans="2:9" ht="16">
      <c r="B2545" s="24" t="s">
        <v>119</v>
      </c>
      <c r="C2545" s="24" t="s">
        <v>6</v>
      </c>
      <c r="D2545" s="24" t="s">
        <v>1927</v>
      </c>
      <c r="E2545" s="24" t="s">
        <v>8</v>
      </c>
      <c r="F2545" s="24" t="s">
        <v>9</v>
      </c>
      <c r="G2545" s="24" t="s">
        <v>8</v>
      </c>
      <c r="H2545" s="24" t="s">
        <v>2207</v>
      </c>
      <c r="I2545" s="27">
        <v>73.29</v>
      </c>
    </row>
    <row r="2546" spans="2:9" ht="16">
      <c r="B2546" s="24" t="s">
        <v>119</v>
      </c>
      <c r="C2546" s="24" t="s">
        <v>6</v>
      </c>
      <c r="D2546" s="24" t="s">
        <v>1587</v>
      </c>
      <c r="E2546" s="24" t="s">
        <v>8</v>
      </c>
      <c r="F2546" s="24" t="s">
        <v>9</v>
      </c>
      <c r="G2546" s="24" t="s">
        <v>8</v>
      </c>
      <c r="H2546" s="24" t="s">
        <v>2208</v>
      </c>
      <c r="I2546" s="27">
        <v>51.27</v>
      </c>
    </row>
    <row r="2547" spans="2:9" ht="16">
      <c r="B2547" s="24" t="s">
        <v>119</v>
      </c>
      <c r="C2547" s="24" t="s">
        <v>6</v>
      </c>
      <c r="D2547" s="24" t="s">
        <v>1597</v>
      </c>
      <c r="E2547" s="24" t="s">
        <v>8</v>
      </c>
      <c r="F2547" s="24" t="s">
        <v>9</v>
      </c>
      <c r="G2547" s="24" t="s">
        <v>8</v>
      </c>
      <c r="H2547" s="24" t="s">
        <v>2209</v>
      </c>
      <c r="I2547" s="27">
        <v>42.73</v>
      </c>
    </row>
    <row r="2548" spans="2:9" ht="16">
      <c r="B2548" s="24" t="s">
        <v>119</v>
      </c>
      <c r="C2548" s="24" t="s">
        <v>6</v>
      </c>
      <c r="D2548" s="24" t="s">
        <v>2210</v>
      </c>
      <c r="E2548" s="24" t="s">
        <v>8</v>
      </c>
      <c r="F2548" s="24" t="s">
        <v>9</v>
      </c>
      <c r="G2548" s="24" t="s">
        <v>8</v>
      </c>
      <c r="H2548" s="24" t="s">
        <v>2211</v>
      </c>
      <c r="I2548" s="27">
        <v>197.01</v>
      </c>
    </row>
    <row r="2549" spans="2:9" ht="16">
      <c r="B2549" s="24" t="s">
        <v>8</v>
      </c>
      <c r="C2549" s="24" t="s">
        <v>139</v>
      </c>
      <c r="D2549" s="24" t="s">
        <v>1980</v>
      </c>
      <c r="E2549" s="24" t="s">
        <v>8</v>
      </c>
      <c r="F2549" s="24" t="s">
        <v>9</v>
      </c>
      <c r="G2549" s="24" t="s">
        <v>8</v>
      </c>
      <c r="H2549" s="24" t="s">
        <v>2212</v>
      </c>
      <c r="I2549" s="27">
        <v>-150.91</v>
      </c>
    </row>
    <row r="2550" spans="2:9" ht="16">
      <c r="B2550" s="24" t="s">
        <v>119</v>
      </c>
      <c r="C2550" s="24" t="s">
        <v>6</v>
      </c>
      <c r="D2550" s="24" t="s">
        <v>2174</v>
      </c>
      <c r="E2550" s="24" t="s">
        <v>8</v>
      </c>
      <c r="F2550" s="24" t="s">
        <v>9</v>
      </c>
      <c r="G2550" s="24" t="s">
        <v>8</v>
      </c>
      <c r="H2550" s="24" t="s">
        <v>2213</v>
      </c>
      <c r="I2550" s="27">
        <v>189.91</v>
      </c>
    </row>
    <row r="2551" spans="2:9" ht="16">
      <c r="B2551" s="24" t="s">
        <v>119</v>
      </c>
      <c r="C2551" s="24" t="s">
        <v>6</v>
      </c>
      <c r="D2551" s="24" t="s">
        <v>1896</v>
      </c>
      <c r="E2551" s="24" t="s">
        <v>8</v>
      </c>
      <c r="F2551" s="24" t="s">
        <v>9</v>
      </c>
      <c r="G2551" s="24" t="s">
        <v>8</v>
      </c>
      <c r="H2551" s="24" t="s">
        <v>2214</v>
      </c>
      <c r="I2551" s="27">
        <v>314.36</v>
      </c>
    </row>
    <row r="2552" spans="2:9" ht="16">
      <c r="B2552" s="24" t="s">
        <v>119</v>
      </c>
      <c r="C2552" s="24" t="s">
        <v>6</v>
      </c>
      <c r="D2552" s="24" t="s">
        <v>2028</v>
      </c>
      <c r="E2552" s="24" t="s">
        <v>8</v>
      </c>
      <c r="F2552" s="24" t="s">
        <v>9</v>
      </c>
      <c r="G2552" s="24" t="s">
        <v>8</v>
      </c>
      <c r="H2552" s="24" t="s">
        <v>1460</v>
      </c>
      <c r="I2552" s="27">
        <v>55.77</v>
      </c>
    </row>
    <row r="2553" spans="2:9" ht="16">
      <c r="B2553" s="24" t="s">
        <v>21</v>
      </c>
      <c r="C2553" s="24" t="s">
        <v>13</v>
      </c>
      <c r="D2553" s="24" t="s">
        <v>1202</v>
      </c>
      <c r="E2553" s="24" t="s">
        <v>2215</v>
      </c>
      <c r="F2553" s="24" t="s">
        <v>9</v>
      </c>
      <c r="G2553" s="24" t="s">
        <v>8</v>
      </c>
      <c r="H2553" s="24" t="s">
        <v>527</v>
      </c>
      <c r="I2553" s="27">
        <v>2064.32</v>
      </c>
    </row>
    <row r="2554" spans="2:9" ht="16">
      <c r="B2554" s="24" t="s">
        <v>21</v>
      </c>
      <c r="C2554" s="24" t="s">
        <v>13</v>
      </c>
      <c r="D2554" s="24" t="s">
        <v>2210</v>
      </c>
      <c r="E2554" s="24" t="s">
        <v>2216</v>
      </c>
      <c r="F2554" s="24" t="s">
        <v>9</v>
      </c>
      <c r="G2554" s="24" t="s">
        <v>8</v>
      </c>
      <c r="H2554" s="24" t="s">
        <v>527</v>
      </c>
      <c r="I2554" s="27">
        <v>432.67</v>
      </c>
    </row>
    <row r="2555" spans="2:9" ht="16">
      <c r="B2555" s="24" t="s">
        <v>186</v>
      </c>
      <c r="C2555" s="24" t="s">
        <v>13</v>
      </c>
      <c r="D2555" s="24" t="s">
        <v>1364</v>
      </c>
      <c r="E2555" s="24" t="s">
        <v>2217</v>
      </c>
      <c r="F2555" s="24" t="s">
        <v>9</v>
      </c>
      <c r="G2555" s="24" t="s">
        <v>8</v>
      </c>
      <c r="H2555" s="24" t="s">
        <v>527</v>
      </c>
      <c r="I2555" s="27">
        <v>645.22</v>
      </c>
    </row>
    <row r="2556" spans="2:9" ht="16">
      <c r="B2556" s="24" t="s">
        <v>21</v>
      </c>
      <c r="C2556" s="24" t="s">
        <v>13</v>
      </c>
      <c r="D2556" s="24" t="s">
        <v>928</v>
      </c>
      <c r="E2556" s="24" t="s">
        <v>2218</v>
      </c>
      <c r="F2556" s="24" t="s">
        <v>9</v>
      </c>
      <c r="G2556" s="24" t="s">
        <v>8</v>
      </c>
      <c r="H2556" s="24" t="s">
        <v>527</v>
      </c>
      <c r="I2556" s="27">
        <v>14.53</v>
      </c>
    </row>
    <row r="2557" spans="2:9" ht="16">
      <c r="B2557" s="24" t="s">
        <v>21</v>
      </c>
      <c r="C2557" s="24" t="s">
        <v>13</v>
      </c>
      <c r="D2557" s="24" t="s">
        <v>1513</v>
      </c>
      <c r="E2557" s="24" t="s">
        <v>2219</v>
      </c>
      <c r="F2557" s="24" t="s">
        <v>9</v>
      </c>
      <c r="G2557" s="24" t="s">
        <v>8</v>
      </c>
      <c r="H2557" s="24" t="s">
        <v>527</v>
      </c>
      <c r="I2557" s="27">
        <v>176.56</v>
      </c>
    </row>
    <row r="2558" spans="2:9" ht="16">
      <c r="B2558" s="24" t="s">
        <v>127</v>
      </c>
      <c r="C2558" s="24" t="s">
        <v>6</v>
      </c>
      <c r="D2558" s="24" t="s">
        <v>1510</v>
      </c>
      <c r="E2558" s="24" t="s">
        <v>8</v>
      </c>
      <c r="F2558" s="24" t="s">
        <v>9</v>
      </c>
      <c r="G2558" s="24" t="s">
        <v>8</v>
      </c>
      <c r="H2558" s="24" t="s">
        <v>1112</v>
      </c>
      <c r="I2558" s="27">
        <v>13.1</v>
      </c>
    </row>
    <row r="2559" spans="2:9" ht="16">
      <c r="B2559" s="24" t="s">
        <v>127</v>
      </c>
      <c r="C2559" s="24" t="s">
        <v>6</v>
      </c>
      <c r="D2559" s="24" t="s">
        <v>1682</v>
      </c>
      <c r="E2559" s="24" t="s">
        <v>8</v>
      </c>
      <c r="F2559" s="24" t="s">
        <v>9</v>
      </c>
      <c r="G2559" s="24" t="s">
        <v>8</v>
      </c>
      <c r="H2559" s="24" t="s">
        <v>1112</v>
      </c>
      <c r="I2559" s="27">
        <v>32.79</v>
      </c>
    </row>
    <row r="2560" spans="1:9" ht="16">
      <c r="A2560" s="35" t="s">
        <v>40</v>
      </c>
      <c r="I2560" s="28">
        <f>I2507+I2508+I2509+I2510+I2511+I2512+I2513+I2514+I2515+I2516+I2517+I2518+I2519+I2520+I2521+I2522+I2523+I2524+I2525+I2526+I2527+I2528+I2529+I2530+I2531+I2532+I2533+I2534+I2535+I2536+I2537+I2538+I2539+I2540+I2541+I2542+I2543+I2544+I2545+I2546+I2547+I2548+I2549+I2550+I2551+I2552+I2553+I2554+I2555+I2556+I2557+I2558+I2559</f>
        <v>20978.53</v>
      </c>
    </row>
    <row r="2561" spans="1:1" ht="16">
      <c r="A2561" s="34" t="s">
        <v>2161</v>
      </c>
    </row>
    <row r="2562" spans="2:9" ht="16">
      <c r="B2562" s="24" t="s">
        <v>1124</v>
      </c>
      <c r="C2562" s="24" t="s">
        <v>6</v>
      </c>
      <c r="D2562" s="24" t="s">
        <v>903</v>
      </c>
      <c r="E2562" s="24" t="s">
        <v>8</v>
      </c>
      <c r="F2562" s="24" t="s">
        <v>9</v>
      </c>
      <c r="G2562" s="24" t="s">
        <v>8</v>
      </c>
      <c r="H2562" s="24" t="s">
        <v>2220</v>
      </c>
      <c r="I2562" s="27">
        <v>1130.0</v>
      </c>
    </row>
    <row r="2563" spans="1:9" ht="16">
      <c r="A2563" s="35" t="s">
        <v>1127</v>
      </c>
      <c r="I2563" s="28">
        <f>I2561+I2562</f>
        <v>1130.0</v>
      </c>
    </row>
    <row r="2564" spans="1:1" ht="16">
      <c r="A2564" s="34" t="s">
        <v>2161</v>
      </c>
    </row>
    <row r="2565" spans="2:9" ht="16">
      <c r="B2565" s="24" t="s">
        <v>119</v>
      </c>
      <c r="C2565" s="24" t="s">
        <v>6</v>
      </c>
      <c r="D2565" s="24" t="s">
        <v>1574</v>
      </c>
      <c r="E2565" s="24" t="s">
        <v>8</v>
      </c>
      <c r="F2565" s="24" t="s">
        <v>9</v>
      </c>
      <c r="G2565" s="24" t="s">
        <v>8</v>
      </c>
      <c r="H2565" s="24" t="s">
        <v>2221</v>
      </c>
      <c r="I2565" s="27">
        <v>14.64</v>
      </c>
    </row>
    <row r="2566" spans="1:9" ht="16">
      <c r="A2566" s="35" t="s">
        <v>267</v>
      </c>
      <c r="I2566" s="28">
        <f>I2564+I2565</f>
        <v>14.64</v>
      </c>
    </row>
    <row r="2567" spans="1:1" ht="16">
      <c r="A2567" s="34" t="s">
        <v>2161</v>
      </c>
    </row>
    <row r="2568" spans="2:9" ht="16">
      <c r="B2568" s="24" t="s">
        <v>1140</v>
      </c>
      <c r="C2568" s="24" t="s">
        <v>13</v>
      </c>
      <c r="D2568" s="24" t="s">
        <v>1966</v>
      </c>
      <c r="E2568" s="24" t="s">
        <v>2222</v>
      </c>
      <c r="F2568" s="24" t="s">
        <v>9</v>
      </c>
      <c r="G2568" s="24" t="s">
        <v>8</v>
      </c>
      <c r="H2568" s="24" t="s">
        <v>2223</v>
      </c>
      <c r="I2568" s="27">
        <v>9996.0</v>
      </c>
    </row>
    <row r="2569" spans="2:9" ht="16">
      <c r="B2569" s="24" t="s">
        <v>1199</v>
      </c>
      <c r="C2569" s="24" t="s">
        <v>13</v>
      </c>
      <c r="D2569" s="24" t="s">
        <v>2028</v>
      </c>
      <c r="E2569" s="24" t="s">
        <v>2224</v>
      </c>
      <c r="F2569" s="24" t="s">
        <v>9</v>
      </c>
      <c r="G2569" s="24" t="s">
        <v>8</v>
      </c>
      <c r="H2569" s="24" t="s">
        <v>2225</v>
      </c>
      <c r="I2569" s="27">
        <v>196.09</v>
      </c>
    </row>
    <row r="2570" spans="2:9" ht="16">
      <c r="B2570" s="24" t="s">
        <v>1182</v>
      </c>
      <c r="C2570" s="24" t="s">
        <v>13</v>
      </c>
      <c r="D2570" s="24" t="s">
        <v>1980</v>
      </c>
      <c r="E2570" s="24" t="s">
        <v>2226</v>
      </c>
      <c r="F2570" s="24" t="s">
        <v>9</v>
      </c>
      <c r="G2570" s="24" t="s">
        <v>8</v>
      </c>
      <c r="H2570" s="24" t="s">
        <v>2227</v>
      </c>
      <c r="I2570" s="27">
        <v>869.4</v>
      </c>
    </row>
    <row r="2571" spans="2:9" ht="16">
      <c r="B2571" s="24" t="s">
        <v>1182</v>
      </c>
      <c r="C2571" s="24" t="s">
        <v>13</v>
      </c>
      <c r="D2571" s="24" t="s">
        <v>1207</v>
      </c>
      <c r="E2571" s="24" t="s">
        <v>2228</v>
      </c>
      <c r="F2571" s="24" t="s">
        <v>9</v>
      </c>
      <c r="G2571" s="24" t="s">
        <v>8</v>
      </c>
      <c r="H2571" s="24" t="s">
        <v>2229</v>
      </c>
      <c r="I2571" s="27">
        <v>13266.0</v>
      </c>
    </row>
    <row r="2572" spans="2:9" ht="16">
      <c r="B2572" s="24" t="s">
        <v>1182</v>
      </c>
      <c r="C2572" s="24" t="s">
        <v>13</v>
      </c>
      <c r="D2572" s="24" t="s">
        <v>1988</v>
      </c>
      <c r="E2572" s="24" t="s">
        <v>2230</v>
      </c>
      <c r="F2572" s="24" t="s">
        <v>9</v>
      </c>
      <c r="G2572" s="24" t="s">
        <v>8</v>
      </c>
      <c r="H2572" s="24" t="s">
        <v>2231</v>
      </c>
      <c r="I2572" s="27">
        <v>3339.49</v>
      </c>
    </row>
    <row r="2573" spans="2:9" ht="16">
      <c r="B2573" s="24" t="s">
        <v>1199</v>
      </c>
      <c r="C2573" s="24" t="s">
        <v>13</v>
      </c>
      <c r="D2573" s="24" t="s">
        <v>1958</v>
      </c>
      <c r="E2573" s="24" t="s">
        <v>2232</v>
      </c>
      <c r="F2573" s="24" t="s">
        <v>9</v>
      </c>
      <c r="G2573" s="24" t="s">
        <v>8</v>
      </c>
      <c r="H2573" s="24" t="s">
        <v>2233</v>
      </c>
      <c r="I2573" s="27">
        <v>1764.81</v>
      </c>
    </row>
    <row r="2574" spans="2:9" ht="16">
      <c r="B2574" s="24" t="s">
        <v>1161</v>
      </c>
      <c r="C2574" s="24" t="s">
        <v>13</v>
      </c>
      <c r="D2574" s="24" t="s">
        <v>1966</v>
      </c>
      <c r="E2574" s="24" t="s">
        <v>2234</v>
      </c>
      <c r="F2574" s="24" t="s">
        <v>9</v>
      </c>
      <c r="G2574" s="24" t="s">
        <v>8</v>
      </c>
      <c r="H2574" s="24" t="s">
        <v>2235</v>
      </c>
      <c r="I2574" s="27">
        <v>2441.91</v>
      </c>
    </row>
    <row r="2575" spans="2:9" ht="16">
      <c r="B2575" s="24" t="s">
        <v>949</v>
      </c>
      <c r="C2575" s="24" t="s">
        <v>13</v>
      </c>
      <c r="D2575" s="24" t="s">
        <v>1602</v>
      </c>
      <c r="E2575" s="24" t="s">
        <v>2236</v>
      </c>
      <c r="F2575" s="24" t="s">
        <v>9</v>
      </c>
      <c r="G2575" s="24" t="s">
        <v>8</v>
      </c>
      <c r="H2575" s="24" t="s">
        <v>2237</v>
      </c>
      <c r="I2575" s="27">
        <v>13063.67</v>
      </c>
    </row>
    <row r="2576" spans="2:9" ht="16">
      <c r="B2576" s="24" t="s">
        <v>1140</v>
      </c>
      <c r="C2576" s="24" t="s">
        <v>13</v>
      </c>
      <c r="D2576" s="24" t="s">
        <v>1966</v>
      </c>
      <c r="E2576" s="24" t="s">
        <v>2222</v>
      </c>
      <c r="F2576" s="24" t="s">
        <v>9</v>
      </c>
      <c r="G2576" s="24" t="s">
        <v>8</v>
      </c>
      <c r="H2576" s="24" t="s">
        <v>2238</v>
      </c>
      <c r="I2576" s="27">
        <v>250.0</v>
      </c>
    </row>
    <row r="2577" spans="2:9" ht="16">
      <c r="B2577" s="24" t="s">
        <v>949</v>
      </c>
      <c r="C2577" s="24" t="s">
        <v>13</v>
      </c>
      <c r="D2577" s="24" t="s">
        <v>2009</v>
      </c>
      <c r="E2577" s="24" t="s">
        <v>2239</v>
      </c>
      <c r="F2577" s="24" t="s">
        <v>9</v>
      </c>
      <c r="G2577" s="24" t="s">
        <v>8</v>
      </c>
      <c r="H2577" s="24" t="s">
        <v>2240</v>
      </c>
      <c r="I2577" s="27">
        <v>4070.23</v>
      </c>
    </row>
    <row r="2578" spans="2:9" ht="16">
      <c r="B2578" s="24" t="s">
        <v>1382</v>
      </c>
      <c r="C2578" s="24" t="s">
        <v>13</v>
      </c>
      <c r="D2578" s="24" t="s">
        <v>2137</v>
      </c>
      <c r="E2578" s="24" t="s">
        <v>2241</v>
      </c>
      <c r="F2578" s="24" t="s">
        <v>9</v>
      </c>
      <c r="G2578" s="24" t="s">
        <v>8</v>
      </c>
      <c r="H2578" s="24" t="s">
        <v>163</v>
      </c>
      <c r="I2578" s="27">
        <v>435.5</v>
      </c>
    </row>
    <row r="2579" spans="2:9" ht="16">
      <c r="B2579" s="24" t="s">
        <v>1018</v>
      </c>
      <c r="C2579" s="24" t="s">
        <v>13</v>
      </c>
      <c r="D2579" s="24" t="s">
        <v>1673</v>
      </c>
      <c r="E2579" s="24" t="s">
        <v>2242</v>
      </c>
      <c r="F2579" s="24" t="s">
        <v>9</v>
      </c>
      <c r="G2579" s="24" t="s">
        <v>8</v>
      </c>
      <c r="H2579" s="24" t="s">
        <v>2243</v>
      </c>
      <c r="I2579" s="27">
        <v>9289.94</v>
      </c>
    </row>
    <row r="2580" spans="2:9" ht="16">
      <c r="B2580" s="24" t="s">
        <v>1134</v>
      </c>
      <c r="C2580" s="24" t="s">
        <v>13</v>
      </c>
      <c r="D2580" s="24" t="s">
        <v>1923</v>
      </c>
      <c r="E2580" s="24" t="s">
        <v>2244</v>
      </c>
      <c r="F2580" s="24" t="s">
        <v>9</v>
      </c>
      <c r="G2580" s="24" t="s">
        <v>8</v>
      </c>
      <c r="H2580" s="24" t="s">
        <v>2245</v>
      </c>
      <c r="I2580" s="27">
        <v>878.7</v>
      </c>
    </row>
    <row r="2581" spans="2:9" ht="16">
      <c r="B2581" s="24" t="s">
        <v>1140</v>
      </c>
      <c r="C2581" s="24" t="s">
        <v>13</v>
      </c>
      <c r="D2581" s="24" t="s">
        <v>1701</v>
      </c>
      <c r="E2581" s="24" t="s">
        <v>2246</v>
      </c>
      <c r="F2581" s="24" t="s">
        <v>9</v>
      </c>
      <c r="G2581" s="24" t="s">
        <v>8</v>
      </c>
      <c r="H2581" s="24" t="s">
        <v>2247</v>
      </c>
      <c r="I2581" s="27">
        <v>25704.0</v>
      </c>
    </row>
    <row r="2582" spans="2:9" ht="16">
      <c r="B2582" s="24" t="s">
        <v>1151</v>
      </c>
      <c r="C2582" s="24" t="s">
        <v>13</v>
      </c>
      <c r="D2582" s="24" t="s">
        <v>1615</v>
      </c>
      <c r="E2582" s="24" t="s">
        <v>2248</v>
      </c>
      <c r="F2582" s="24" t="s">
        <v>9</v>
      </c>
      <c r="G2582" s="24" t="s">
        <v>8</v>
      </c>
      <c r="H2582" s="24" t="s">
        <v>2249</v>
      </c>
      <c r="I2582" s="27">
        <v>495.0</v>
      </c>
    </row>
    <row r="2583" spans="2:9" ht="16">
      <c r="B2583" s="24" t="s">
        <v>1157</v>
      </c>
      <c r="C2583" s="24" t="s">
        <v>13</v>
      </c>
      <c r="D2583" s="24" t="s">
        <v>1602</v>
      </c>
      <c r="E2583" s="24" t="s">
        <v>2250</v>
      </c>
      <c r="F2583" s="24" t="s">
        <v>9</v>
      </c>
      <c r="G2583" s="24" t="s">
        <v>8</v>
      </c>
      <c r="H2583" s="24" t="s">
        <v>2251</v>
      </c>
      <c r="I2583" s="27">
        <v>7560.0</v>
      </c>
    </row>
    <row r="2584" spans="2:9" ht="16">
      <c r="B2584" s="24" t="s">
        <v>1157</v>
      </c>
      <c r="C2584" s="24" t="s">
        <v>13</v>
      </c>
      <c r="D2584" s="24" t="s">
        <v>1602</v>
      </c>
      <c r="E2584" s="24" t="s">
        <v>2252</v>
      </c>
      <c r="F2584" s="24" t="s">
        <v>9</v>
      </c>
      <c r="G2584" s="24" t="s">
        <v>8</v>
      </c>
      <c r="H2584" s="24" t="s">
        <v>2251</v>
      </c>
      <c r="I2584" s="27">
        <v>840.0</v>
      </c>
    </row>
    <row r="2585" spans="2:9" ht="16">
      <c r="B2585" s="24" t="s">
        <v>1382</v>
      </c>
      <c r="C2585" s="24" t="s">
        <v>13</v>
      </c>
      <c r="D2585" s="24" t="s">
        <v>1587</v>
      </c>
      <c r="E2585" s="24" t="s">
        <v>2232</v>
      </c>
      <c r="F2585" s="24" t="s">
        <v>9</v>
      </c>
      <c r="G2585" s="24" t="s">
        <v>8</v>
      </c>
      <c r="H2585" s="24" t="s">
        <v>2253</v>
      </c>
      <c r="I2585" s="27">
        <v>8274.5</v>
      </c>
    </row>
    <row r="2586" spans="2:9" ht="16">
      <c r="B2586" s="24" t="s">
        <v>1182</v>
      </c>
      <c r="C2586" s="24" t="s">
        <v>13</v>
      </c>
      <c r="D2586" s="24" t="s">
        <v>1513</v>
      </c>
      <c r="E2586" s="24" t="s">
        <v>2244</v>
      </c>
      <c r="F2586" s="24" t="s">
        <v>9</v>
      </c>
      <c r="G2586" s="24" t="s">
        <v>8</v>
      </c>
      <c r="H2586" s="24" t="s">
        <v>2254</v>
      </c>
      <c r="I2586" s="27">
        <v>10659.6</v>
      </c>
    </row>
    <row r="2587" spans="2:9" ht="16">
      <c r="B2587" s="24" t="s">
        <v>1134</v>
      </c>
      <c r="C2587" s="24" t="s">
        <v>13</v>
      </c>
      <c r="D2587" s="24" t="s">
        <v>1587</v>
      </c>
      <c r="E2587" s="24" t="s">
        <v>2255</v>
      </c>
      <c r="F2587" s="24" t="s">
        <v>9</v>
      </c>
      <c r="G2587" s="24" t="s">
        <v>8</v>
      </c>
      <c r="H2587" s="24" t="s">
        <v>2256</v>
      </c>
      <c r="I2587" s="27">
        <v>7908.3</v>
      </c>
    </row>
    <row r="2588" spans="2:9" ht="16">
      <c r="B2588" s="24" t="s">
        <v>1130</v>
      </c>
      <c r="C2588" s="24" t="s">
        <v>13</v>
      </c>
      <c r="D2588" s="24" t="s">
        <v>1885</v>
      </c>
      <c r="E2588" s="24" t="s">
        <v>2257</v>
      </c>
      <c r="F2588" s="24" t="s">
        <v>9</v>
      </c>
      <c r="G2588" s="24" t="s">
        <v>8</v>
      </c>
      <c r="H2588" s="24" t="s">
        <v>2258</v>
      </c>
      <c r="I2588" s="27">
        <v>7932.6</v>
      </c>
    </row>
    <row r="2589" spans="2:9" ht="16">
      <c r="B2589" s="24" t="s">
        <v>1130</v>
      </c>
      <c r="C2589" s="24" t="s">
        <v>13</v>
      </c>
      <c r="D2589" s="24" t="s">
        <v>1587</v>
      </c>
      <c r="E2589" s="24" t="s">
        <v>2244</v>
      </c>
      <c r="F2589" s="24" t="s">
        <v>9</v>
      </c>
      <c r="G2589" s="24" t="s">
        <v>8</v>
      </c>
      <c r="H2589" s="24" t="s">
        <v>2259</v>
      </c>
      <c r="I2589" s="27">
        <v>365.4</v>
      </c>
    </row>
    <row r="2590" spans="2:9" ht="16">
      <c r="B2590" s="24" t="s">
        <v>1130</v>
      </c>
      <c r="C2590" s="24" t="s">
        <v>13</v>
      </c>
      <c r="D2590" s="24" t="s">
        <v>1587</v>
      </c>
      <c r="E2590" s="24" t="s">
        <v>1136</v>
      </c>
      <c r="F2590" s="24" t="s">
        <v>9</v>
      </c>
      <c r="G2590" s="24" t="s">
        <v>8</v>
      </c>
      <c r="H2590" s="24" t="s">
        <v>2260</v>
      </c>
      <c r="I2590" s="27">
        <v>921.0</v>
      </c>
    </row>
    <row r="2591" spans="2:9" ht="16">
      <c r="B2591" s="24" t="s">
        <v>1182</v>
      </c>
      <c r="C2591" s="24" t="s">
        <v>13</v>
      </c>
      <c r="D2591" s="24" t="s">
        <v>456</v>
      </c>
      <c r="E2591" s="24" t="s">
        <v>2261</v>
      </c>
      <c r="F2591" s="24" t="s">
        <v>9</v>
      </c>
      <c r="G2591" s="24" t="s">
        <v>8</v>
      </c>
      <c r="H2591" s="24" t="s">
        <v>2262</v>
      </c>
      <c r="I2591" s="27">
        <v>2695.41</v>
      </c>
    </row>
    <row r="2592" spans="2:9" ht="16">
      <c r="B2592" s="24" t="s">
        <v>1182</v>
      </c>
      <c r="C2592" s="24" t="s">
        <v>13</v>
      </c>
      <c r="D2592" s="24" t="s">
        <v>1896</v>
      </c>
      <c r="E2592" s="24" t="s">
        <v>1136</v>
      </c>
      <c r="F2592" s="24" t="s">
        <v>9</v>
      </c>
      <c r="G2592" s="24" t="s">
        <v>8</v>
      </c>
      <c r="H2592" s="24" t="s">
        <v>1191</v>
      </c>
      <c r="I2592" s="27">
        <v>2565.0</v>
      </c>
    </row>
    <row r="2593" spans="1:9" ht="16">
      <c r="A2593" s="35" t="s">
        <v>164</v>
      </c>
      <c r="I2593" s="28">
        <f>I2567+I2568+I2569+I2570+I2571+I2572+I2573+I2574+I2575+I2576+I2577+I2578+I2579+I2580+I2581+I2582+I2583+I2584+I2585+I2586+I2587+I2588+I2589+I2590+I2591+I2592</f>
        <v>135782.55</v>
      </c>
    </row>
    <row r="2594" spans="1:1" ht="16">
      <c r="A2594" s="34" t="s">
        <v>2161</v>
      </c>
    </row>
    <row r="2595" spans="2:9" ht="16">
      <c r="B2595" s="24" t="s">
        <v>36</v>
      </c>
      <c r="C2595" s="24" t="s">
        <v>6</v>
      </c>
      <c r="D2595" s="24" t="s">
        <v>1154</v>
      </c>
      <c r="E2595" s="24" t="s">
        <v>8</v>
      </c>
      <c r="F2595" s="24" t="s">
        <v>9</v>
      </c>
      <c r="G2595" s="24" t="s">
        <v>8</v>
      </c>
      <c r="H2595" s="24" t="s">
        <v>2263</v>
      </c>
      <c r="I2595" s="27">
        <v>32.72</v>
      </c>
    </row>
    <row r="2596" spans="1:9" ht="16">
      <c r="A2596" s="35" t="s">
        <v>433</v>
      </c>
      <c r="I2596" s="28">
        <f>I2594+I2595</f>
        <v>32.72</v>
      </c>
    </row>
    <row r="2597" spans="1:1" ht="16">
      <c r="A2597" s="34" t="s">
        <v>2161</v>
      </c>
    </row>
    <row r="2598" spans="2:9" ht="16">
      <c r="B2598" s="24" t="s">
        <v>45</v>
      </c>
      <c r="C2598" s="24" t="s">
        <v>6</v>
      </c>
      <c r="D2598" s="24" t="s">
        <v>928</v>
      </c>
      <c r="E2598" s="24" t="s">
        <v>8</v>
      </c>
      <c r="F2598" s="24" t="s">
        <v>9</v>
      </c>
      <c r="G2598" s="24" t="s">
        <v>8</v>
      </c>
      <c r="H2598" s="24" t="s">
        <v>47</v>
      </c>
      <c r="I2598" s="27">
        <v>3992.3</v>
      </c>
    </row>
    <row r="2599" spans="2:9" ht="16">
      <c r="B2599" s="24" t="s">
        <v>8</v>
      </c>
      <c r="C2599" s="24" t="s">
        <v>6</v>
      </c>
      <c r="D2599" s="24" t="s">
        <v>1597</v>
      </c>
      <c r="E2599" s="24" t="s">
        <v>8</v>
      </c>
      <c r="F2599" s="24" t="s">
        <v>9</v>
      </c>
      <c r="G2599" s="24" t="s">
        <v>8</v>
      </c>
      <c r="H2599" s="24" t="s">
        <v>47</v>
      </c>
      <c r="I2599" s="27">
        <v>4435.4</v>
      </c>
    </row>
    <row r="2600" spans="2:9" ht="16">
      <c r="B2600" s="24" t="s">
        <v>8</v>
      </c>
      <c r="C2600" s="24" t="s">
        <v>6</v>
      </c>
      <c r="D2600" s="24" t="s">
        <v>549</v>
      </c>
      <c r="E2600" s="24" t="s">
        <v>8</v>
      </c>
      <c r="F2600" s="24" t="s">
        <v>9</v>
      </c>
      <c r="G2600" s="24" t="s">
        <v>8</v>
      </c>
      <c r="H2600" s="24" t="s">
        <v>47</v>
      </c>
      <c r="I2600" s="27">
        <v>871.42</v>
      </c>
    </row>
    <row r="2601" spans="2:9" ht="16">
      <c r="B2601" s="24" t="s">
        <v>8</v>
      </c>
      <c r="C2601" s="24" t="s">
        <v>6</v>
      </c>
      <c r="D2601" s="24" t="s">
        <v>549</v>
      </c>
      <c r="E2601" s="24" t="s">
        <v>8</v>
      </c>
      <c r="F2601" s="24" t="s">
        <v>9</v>
      </c>
      <c r="G2601" s="24" t="s">
        <v>8</v>
      </c>
      <c r="H2601" s="24" t="s">
        <v>47</v>
      </c>
      <c r="I2601" s="27">
        <v>410.08</v>
      </c>
    </row>
    <row r="2602" spans="2:9" ht="16">
      <c r="B2602" s="24" t="s">
        <v>8</v>
      </c>
      <c r="C2602" s="24" t="s">
        <v>6</v>
      </c>
      <c r="D2602" s="24" t="s">
        <v>549</v>
      </c>
      <c r="E2602" s="24" t="s">
        <v>8</v>
      </c>
      <c r="F2602" s="24" t="s">
        <v>9</v>
      </c>
      <c r="G2602" s="24" t="s">
        <v>8</v>
      </c>
      <c r="H2602" s="24" t="s">
        <v>47</v>
      </c>
      <c r="I2602" s="27">
        <v>502.2</v>
      </c>
    </row>
    <row r="2603" spans="2:9" ht="16">
      <c r="B2603" s="24" t="s">
        <v>45</v>
      </c>
      <c r="C2603" s="24" t="s">
        <v>6</v>
      </c>
      <c r="D2603" s="24" t="s">
        <v>1596</v>
      </c>
      <c r="E2603" s="24" t="s">
        <v>8</v>
      </c>
      <c r="F2603" s="24" t="s">
        <v>9</v>
      </c>
      <c r="G2603" s="24" t="s">
        <v>8</v>
      </c>
      <c r="H2603" s="24" t="s">
        <v>47</v>
      </c>
      <c r="I2603" s="27">
        <v>609.04</v>
      </c>
    </row>
    <row r="2604" spans="2:9" ht="16">
      <c r="B2604" s="24" t="s">
        <v>8</v>
      </c>
      <c r="C2604" s="24" t="s">
        <v>6</v>
      </c>
      <c r="D2604" s="24" t="s">
        <v>1205</v>
      </c>
      <c r="E2604" s="24" t="s">
        <v>8</v>
      </c>
      <c r="F2604" s="24" t="s">
        <v>9</v>
      </c>
      <c r="G2604" s="24" t="s">
        <v>8</v>
      </c>
      <c r="H2604" s="24" t="s">
        <v>47</v>
      </c>
      <c r="I2604" s="27">
        <v>3455.64</v>
      </c>
    </row>
    <row r="2605" spans="2:9" ht="16">
      <c r="B2605" s="24" t="s">
        <v>8</v>
      </c>
      <c r="C2605" s="24" t="s">
        <v>6</v>
      </c>
      <c r="D2605" s="24" t="s">
        <v>1673</v>
      </c>
      <c r="E2605" s="24" t="s">
        <v>8</v>
      </c>
      <c r="F2605" s="24" t="s">
        <v>9</v>
      </c>
      <c r="G2605" s="24" t="s">
        <v>8</v>
      </c>
      <c r="H2605" s="24" t="s">
        <v>47</v>
      </c>
      <c r="I2605" s="27">
        <v>1006.24</v>
      </c>
    </row>
    <row r="2606" spans="2:9" ht="16">
      <c r="B2606" s="24" t="s">
        <v>45</v>
      </c>
      <c r="C2606" s="24" t="s">
        <v>13</v>
      </c>
      <c r="D2606" s="24" t="s">
        <v>1674</v>
      </c>
      <c r="E2606" s="24" t="s">
        <v>8</v>
      </c>
      <c r="F2606" s="24" t="s">
        <v>9</v>
      </c>
      <c r="G2606" s="24" t="s">
        <v>8</v>
      </c>
      <c r="H2606" s="24" t="s">
        <v>8</v>
      </c>
      <c r="I2606" s="27">
        <v>148.43</v>
      </c>
    </row>
    <row r="2607" spans="1:9" ht="16">
      <c r="A2607" s="35" t="s">
        <v>50</v>
      </c>
      <c r="I2607" s="28">
        <f>I2597+I2598+I2599+I2600+I2601+I2602+I2603+I2604+I2605+I2606</f>
        <v>15430.750000000002</v>
      </c>
    </row>
    <row r="2608" spans="1:1" ht="16">
      <c r="A2608" s="34" t="s">
        <v>2161</v>
      </c>
    </row>
    <row r="2609" spans="2:9" ht="16">
      <c r="B2609" s="24" t="s">
        <v>8</v>
      </c>
      <c r="C2609" s="24" t="s">
        <v>150</v>
      </c>
      <c r="D2609" s="24" t="s">
        <v>1173</v>
      </c>
      <c r="E2609" s="24" t="s">
        <v>2264</v>
      </c>
      <c r="F2609" s="24" t="s">
        <v>9</v>
      </c>
      <c r="G2609" s="24" t="s">
        <v>8</v>
      </c>
      <c r="H2609" s="24" t="s">
        <v>2265</v>
      </c>
      <c r="I2609" s="27">
        <v>317.78</v>
      </c>
    </row>
    <row r="2610" spans="2:9" ht="16">
      <c r="B2610" s="24" t="s">
        <v>8</v>
      </c>
      <c r="C2610" s="24" t="s">
        <v>150</v>
      </c>
      <c r="D2610" s="24" t="s">
        <v>1598</v>
      </c>
      <c r="E2610" s="24" t="s">
        <v>1917</v>
      </c>
      <c r="F2610" s="24" t="s">
        <v>9</v>
      </c>
      <c r="G2610" s="24" t="s">
        <v>8</v>
      </c>
      <c r="H2610" s="24" t="s">
        <v>2266</v>
      </c>
      <c r="I2610" s="27">
        <v>938.64</v>
      </c>
    </row>
    <row r="2611" spans="2:9" ht="16">
      <c r="B2611" s="24" t="s">
        <v>961</v>
      </c>
      <c r="C2611" s="24" t="s">
        <v>6</v>
      </c>
      <c r="D2611" s="24" t="s">
        <v>1826</v>
      </c>
      <c r="E2611" s="24" t="s">
        <v>8</v>
      </c>
      <c r="F2611" s="24" t="s">
        <v>9</v>
      </c>
      <c r="G2611" s="24" t="s">
        <v>8</v>
      </c>
      <c r="H2611" s="24" t="s">
        <v>53</v>
      </c>
      <c r="I2611" s="27">
        <v>1611.05</v>
      </c>
    </row>
    <row r="2612" spans="2:9" ht="16">
      <c r="B2612" s="24" t="s">
        <v>961</v>
      </c>
      <c r="C2612" s="24" t="s">
        <v>6</v>
      </c>
      <c r="D2612" s="24" t="s">
        <v>1602</v>
      </c>
      <c r="E2612" s="24" t="s">
        <v>8</v>
      </c>
      <c r="F2612" s="24" t="s">
        <v>9</v>
      </c>
      <c r="G2612" s="24" t="s">
        <v>8</v>
      </c>
      <c r="H2612" s="24" t="s">
        <v>53</v>
      </c>
      <c r="I2612" s="27">
        <v>3030.81</v>
      </c>
    </row>
    <row r="2613" spans="2:9" ht="16">
      <c r="B2613" s="24" t="s">
        <v>51</v>
      </c>
      <c r="C2613" s="24" t="s">
        <v>6</v>
      </c>
      <c r="D2613" s="24" t="s">
        <v>984</v>
      </c>
      <c r="E2613" s="24" t="s">
        <v>8</v>
      </c>
      <c r="F2613" s="24" t="s">
        <v>9</v>
      </c>
      <c r="G2613" s="24" t="s">
        <v>8</v>
      </c>
      <c r="H2613" s="24" t="s">
        <v>53</v>
      </c>
      <c r="I2613" s="27">
        <v>1405.05</v>
      </c>
    </row>
    <row r="2614" spans="2:9" ht="16">
      <c r="B2614" s="24" t="s">
        <v>51</v>
      </c>
      <c r="C2614" s="24" t="s">
        <v>6</v>
      </c>
      <c r="D2614" s="24" t="s">
        <v>1116</v>
      </c>
      <c r="E2614" s="24" t="s">
        <v>8</v>
      </c>
      <c r="F2614" s="24" t="s">
        <v>9</v>
      </c>
      <c r="G2614" s="24" t="s">
        <v>8</v>
      </c>
      <c r="H2614" s="24" t="s">
        <v>53</v>
      </c>
      <c r="I2614" s="27">
        <v>3365.83</v>
      </c>
    </row>
    <row r="2615" spans="2:9" ht="16">
      <c r="B2615" s="24" t="s">
        <v>961</v>
      </c>
      <c r="C2615" s="24" t="s">
        <v>6</v>
      </c>
      <c r="D2615" s="24" t="s">
        <v>1603</v>
      </c>
      <c r="E2615" s="24" t="s">
        <v>8</v>
      </c>
      <c r="F2615" s="24" t="s">
        <v>9</v>
      </c>
      <c r="G2615" s="24" t="s">
        <v>8</v>
      </c>
      <c r="H2615" s="24" t="s">
        <v>53</v>
      </c>
      <c r="I2615" s="27">
        <v>514.89</v>
      </c>
    </row>
    <row r="2616" spans="2:9" ht="16">
      <c r="B2616" s="24" t="s">
        <v>961</v>
      </c>
      <c r="C2616" s="24" t="s">
        <v>6</v>
      </c>
      <c r="D2616" s="24" t="s">
        <v>1683</v>
      </c>
      <c r="E2616" s="24" t="s">
        <v>8</v>
      </c>
      <c r="F2616" s="24" t="s">
        <v>9</v>
      </c>
      <c r="G2616" s="24" t="s">
        <v>8</v>
      </c>
      <c r="H2616" s="24" t="s">
        <v>53</v>
      </c>
      <c r="I2616" s="27">
        <v>394.68</v>
      </c>
    </row>
    <row r="2617" spans="2:9" ht="16">
      <c r="B2617" s="24" t="s">
        <v>961</v>
      </c>
      <c r="C2617" s="24" t="s">
        <v>6</v>
      </c>
      <c r="D2617" s="24" t="s">
        <v>1086</v>
      </c>
      <c r="E2617" s="24" t="s">
        <v>8</v>
      </c>
      <c r="F2617" s="24" t="s">
        <v>9</v>
      </c>
      <c r="G2617" s="24" t="s">
        <v>8</v>
      </c>
      <c r="H2617" s="24" t="s">
        <v>53</v>
      </c>
      <c r="I2617" s="27">
        <v>-938.64</v>
      </c>
    </row>
    <row r="2618" spans="2:9" ht="16">
      <c r="B2618" s="24" t="s">
        <v>961</v>
      </c>
      <c r="C2618" s="24" t="s">
        <v>6</v>
      </c>
      <c r="D2618" s="24" t="s">
        <v>1086</v>
      </c>
      <c r="E2618" s="24" t="s">
        <v>8</v>
      </c>
      <c r="F2618" s="24" t="s">
        <v>9</v>
      </c>
      <c r="G2618" s="24" t="s">
        <v>8</v>
      </c>
      <c r="H2618" s="24" t="s">
        <v>53</v>
      </c>
      <c r="I2618" s="27">
        <v>3715.69</v>
      </c>
    </row>
    <row r="2619" spans="2:9" ht="16">
      <c r="B2619" s="24" t="s">
        <v>51</v>
      </c>
      <c r="C2619" s="24" t="s">
        <v>6</v>
      </c>
      <c r="D2619" s="24" t="s">
        <v>460</v>
      </c>
      <c r="E2619" s="24" t="s">
        <v>8</v>
      </c>
      <c r="F2619" s="24" t="s">
        <v>9</v>
      </c>
      <c r="G2619" s="24" t="s">
        <v>8</v>
      </c>
      <c r="H2619" s="24" t="s">
        <v>53</v>
      </c>
      <c r="I2619" s="27">
        <v>405.89</v>
      </c>
    </row>
    <row r="2620" spans="2:9" ht="16">
      <c r="B2620" s="24" t="s">
        <v>961</v>
      </c>
      <c r="C2620" s="24" t="s">
        <v>6</v>
      </c>
      <c r="D2620" s="24" t="s">
        <v>962</v>
      </c>
      <c r="E2620" s="24" t="s">
        <v>8</v>
      </c>
      <c r="F2620" s="24" t="s">
        <v>9</v>
      </c>
      <c r="G2620" s="24" t="s">
        <v>8</v>
      </c>
      <c r="H2620" s="24" t="s">
        <v>53</v>
      </c>
      <c r="I2620" s="27">
        <v>2235.31</v>
      </c>
    </row>
    <row r="2621" spans="2:9" ht="16">
      <c r="B2621" s="24" t="s">
        <v>8</v>
      </c>
      <c r="C2621" s="24" t="s">
        <v>6</v>
      </c>
      <c r="D2621" s="24" t="s">
        <v>1685</v>
      </c>
      <c r="E2621" s="24" t="s">
        <v>8</v>
      </c>
      <c r="F2621" s="24" t="s">
        <v>9</v>
      </c>
      <c r="G2621" s="24" t="s">
        <v>8</v>
      </c>
      <c r="H2621" s="24" t="s">
        <v>53</v>
      </c>
      <c r="I2621" s="27">
        <v>312.17</v>
      </c>
    </row>
    <row r="2622" spans="2:9" ht="16">
      <c r="B2622" s="24" t="s">
        <v>51</v>
      </c>
      <c r="C2622" s="24" t="s">
        <v>6</v>
      </c>
      <c r="D2622" s="24" t="s">
        <v>1207</v>
      </c>
      <c r="E2622" s="24" t="s">
        <v>8</v>
      </c>
      <c r="F2622" s="24" t="s">
        <v>9</v>
      </c>
      <c r="G2622" s="24" t="s">
        <v>8</v>
      </c>
      <c r="H2622" s="24" t="s">
        <v>53</v>
      </c>
      <c r="I2622" s="27">
        <v>1579.48</v>
      </c>
    </row>
    <row r="2623" spans="2:9" ht="16">
      <c r="B2623" s="24" t="s">
        <v>961</v>
      </c>
      <c r="C2623" s="24" t="s">
        <v>6</v>
      </c>
      <c r="D2623" s="24" t="s">
        <v>1596</v>
      </c>
      <c r="E2623" s="24" t="s">
        <v>8</v>
      </c>
      <c r="F2623" s="24" t="s">
        <v>9</v>
      </c>
      <c r="G2623" s="24" t="s">
        <v>8</v>
      </c>
      <c r="H2623" s="24" t="s">
        <v>53</v>
      </c>
      <c r="I2623" s="27">
        <v>2208.2</v>
      </c>
    </row>
    <row r="2624" spans="2:9" ht="16">
      <c r="B2624" s="24" t="s">
        <v>961</v>
      </c>
      <c r="C2624" s="24" t="s">
        <v>6</v>
      </c>
      <c r="D2624" s="24" t="s">
        <v>1682</v>
      </c>
      <c r="E2624" s="24" t="s">
        <v>8</v>
      </c>
      <c r="F2624" s="24" t="s">
        <v>9</v>
      </c>
      <c r="G2624" s="24" t="s">
        <v>8</v>
      </c>
      <c r="H2624" s="24" t="s">
        <v>53</v>
      </c>
      <c r="I2624" s="27">
        <v>666.94</v>
      </c>
    </row>
    <row r="2625" spans="2:9" ht="16">
      <c r="B2625" s="24" t="s">
        <v>51</v>
      </c>
      <c r="C2625" s="24" t="s">
        <v>6</v>
      </c>
      <c r="D2625" s="24" t="s">
        <v>1209</v>
      </c>
      <c r="E2625" s="24" t="s">
        <v>8</v>
      </c>
      <c r="F2625" s="24" t="s">
        <v>9</v>
      </c>
      <c r="G2625" s="24" t="s">
        <v>8</v>
      </c>
      <c r="H2625" s="24" t="s">
        <v>53</v>
      </c>
      <c r="I2625" s="27">
        <v>1271.08</v>
      </c>
    </row>
    <row r="2626" spans="2:9" ht="16">
      <c r="B2626" s="24" t="s">
        <v>961</v>
      </c>
      <c r="C2626" s="24" t="s">
        <v>6</v>
      </c>
      <c r="D2626" s="24" t="s">
        <v>1688</v>
      </c>
      <c r="E2626" s="24" t="s">
        <v>8</v>
      </c>
      <c r="F2626" s="24" t="s">
        <v>9</v>
      </c>
      <c r="G2626" s="24" t="s">
        <v>8</v>
      </c>
      <c r="H2626" s="24" t="s">
        <v>53</v>
      </c>
      <c r="I2626" s="27">
        <v>312.15</v>
      </c>
    </row>
    <row r="2627" spans="2:9" ht="16">
      <c r="B2627" s="24" t="s">
        <v>51</v>
      </c>
      <c r="C2627" s="24" t="s">
        <v>6</v>
      </c>
      <c r="D2627" s="24" t="s">
        <v>1206</v>
      </c>
      <c r="E2627" s="24" t="s">
        <v>8</v>
      </c>
      <c r="F2627" s="24" t="s">
        <v>9</v>
      </c>
      <c r="G2627" s="24" t="s">
        <v>8</v>
      </c>
      <c r="H2627" s="24" t="s">
        <v>53</v>
      </c>
      <c r="I2627" s="27">
        <v>1154.5</v>
      </c>
    </row>
    <row r="2628" spans="2:9" ht="16">
      <c r="B2628" s="24" t="s">
        <v>8</v>
      </c>
      <c r="C2628" s="24" t="s">
        <v>6</v>
      </c>
      <c r="D2628" s="24" t="s">
        <v>562</v>
      </c>
      <c r="E2628" s="24" t="s">
        <v>8</v>
      </c>
      <c r="F2628" s="24" t="s">
        <v>9</v>
      </c>
      <c r="G2628" s="24" t="s">
        <v>8</v>
      </c>
      <c r="H2628" s="24" t="s">
        <v>53</v>
      </c>
      <c r="I2628" s="27">
        <v>1396.28</v>
      </c>
    </row>
    <row r="2629" spans="2:9" ht="16">
      <c r="B2629" s="24" t="s">
        <v>51</v>
      </c>
      <c r="C2629" s="24" t="s">
        <v>6</v>
      </c>
      <c r="D2629" s="24" t="s">
        <v>931</v>
      </c>
      <c r="E2629" s="24" t="s">
        <v>8</v>
      </c>
      <c r="F2629" s="24" t="s">
        <v>9</v>
      </c>
      <c r="G2629" s="24" t="s">
        <v>8</v>
      </c>
      <c r="H2629" s="24" t="s">
        <v>53</v>
      </c>
      <c r="I2629" s="27">
        <v>1211.57</v>
      </c>
    </row>
    <row r="2630" spans="2:9" ht="16">
      <c r="B2630" s="24" t="s">
        <v>961</v>
      </c>
      <c r="C2630" s="24" t="s">
        <v>6</v>
      </c>
      <c r="D2630" s="24" t="s">
        <v>1538</v>
      </c>
      <c r="E2630" s="24" t="s">
        <v>8</v>
      </c>
      <c r="F2630" s="24" t="s">
        <v>9</v>
      </c>
      <c r="G2630" s="24" t="s">
        <v>8</v>
      </c>
      <c r="H2630" s="24" t="s">
        <v>53</v>
      </c>
      <c r="I2630" s="27">
        <v>1597.46</v>
      </c>
    </row>
    <row r="2631" spans="2:9" ht="16">
      <c r="B2631" s="24" t="s">
        <v>51</v>
      </c>
      <c r="C2631" s="24" t="s">
        <v>6</v>
      </c>
      <c r="D2631" s="24" t="s">
        <v>1681</v>
      </c>
      <c r="E2631" s="24" t="s">
        <v>8</v>
      </c>
      <c r="F2631" s="24" t="s">
        <v>9</v>
      </c>
      <c r="G2631" s="24" t="s">
        <v>8</v>
      </c>
      <c r="H2631" s="24" t="s">
        <v>53</v>
      </c>
      <c r="I2631" s="27">
        <v>592.93</v>
      </c>
    </row>
    <row r="2632" spans="2:9" ht="16">
      <c r="B2632" s="24" t="s">
        <v>961</v>
      </c>
      <c r="C2632" s="24" t="s">
        <v>6</v>
      </c>
      <c r="D2632" s="24" t="s">
        <v>1827</v>
      </c>
      <c r="E2632" s="24" t="s">
        <v>8</v>
      </c>
      <c r="F2632" s="24" t="s">
        <v>9</v>
      </c>
      <c r="G2632" s="24" t="s">
        <v>8</v>
      </c>
      <c r="H2632" s="24" t="s">
        <v>53</v>
      </c>
      <c r="I2632" s="27">
        <v>2220.12</v>
      </c>
    </row>
    <row r="2633" spans="2:9" ht="16">
      <c r="B2633" s="24" t="s">
        <v>8</v>
      </c>
      <c r="C2633" s="24" t="s">
        <v>6</v>
      </c>
      <c r="D2633" s="24" t="s">
        <v>1208</v>
      </c>
      <c r="E2633" s="24" t="s">
        <v>8</v>
      </c>
      <c r="F2633" s="24" t="s">
        <v>9</v>
      </c>
      <c r="G2633" s="24" t="s">
        <v>8</v>
      </c>
      <c r="H2633" s="24" t="s">
        <v>53</v>
      </c>
      <c r="I2633" s="27">
        <v>1134.17</v>
      </c>
    </row>
    <row r="2634" spans="2:9" ht="16">
      <c r="B2634" s="24" t="s">
        <v>961</v>
      </c>
      <c r="C2634" s="24" t="s">
        <v>6</v>
      </c>
      <c r="D2634" s="24" t="s">
        <v>1547</v>
      </c>
      <c r="E2634" s="24" t="s">
        <v>8</v>
      </c>
      <c r="F2634" s="24" t="s">
        <v>9</v>
      </c>
      <c r="G2634" s="24" t="s">
        <v>8</v>
      </c>
      <c r="H2634" s="24" t="s">
        <v>53</v>
      </c>
      <c r="I2634" s="27">
        <v>148.0</v>
      </c>
    </row>
    <row r="2635" spans="1:9" ht="16">
      <c r="A2635" s="35" t="s">
        <v>67</v>
      </c>
      <c r="I2635" s="28">
        <f>I2608+I2609+I2610+I2611+I2612+I2613+I2614+I2615+I2616+I2617+I2618+I2619+I2620+I2621+I2622+I2623+I2624+I2625+I2626+I2627+I2628+I2629+I2630+I2631+I2632+I2633+I2634</f>
        <v>32802.03</v>
      </c>
    </row>
    <row r="2636" spans="1:9" ht="16">
      <c r="A2636" s="36" t="s">
        <v>2267</v>
      </c>
      <c r="I2636" s="28">
        <f>I2506+I2560+I2563+I2566+I2593+I2596+I2607+I2635</f>
        <v>207918.08</v>
      </c>
    </row>
    <row r="2637" spans="1:1" ht="16">
      <c r="A2637" s="33" t="s">
        <v>324</v>
      </c>
    </row>
    <row r="2638" spans="1:1" ht="16">
      <c r="A2638" s="34" t="s">
        <v>2268</v>
      </c>
    </row>
    <row r="2639" spans="2:9" ht="16">
      <c r="B2639" s="24" t="s">
        <v>127</v>
      </c>
      <c r="C2639" s="24" t="s">
        <v>6</v>
      </c>
      <c r="D2639" s="24" t="s">
        <v>654</v>
      </c>
      <c r="E2639" s="24" t="s">
        <v>8</v>
      </c>
      <c r="F2639" s="24" t="s">
        <v>9</v>
      </c>
      <c r="G2639" s="24" t="s">
        <v>8</v>
      </c>
      <c r="H2639" s="24" t="s">
        <v>2269</v>
      </c>
      <c r="I2639" s="27">
        <v>24.49</v>
      </c>
    </row>
    <row r="2640" spans="1:9" ht="16">
      <c r="A2640" s="35" t="s">
        <v>40</v>
      </c>
      <c r="I2640" s="28">
        <f>I2638+I2639</f>
        <v>24.49</v>
      </c>
    </row>
    <row r="2641" spans="1:1" ht="16">
      <c r="A2641" s="34" t="s">
        <v>2268</v>
      </c>
    </row>
    <row r="2642" spans="2:9" ht="16">
      <c r="B2642" s="24" t="s">
        <v>8</v>
      </c>
      <c r="C2642" s="24" t="s">
        <v>6</v>
      </c>
      <c r="D2642" s="24" t="s">
        <v>549</v>
      </c>
      <c r="E2642" s="24" t="s">
        <v>8</v>
      </c>
      <c r="F2642" s="24" t="s">
        <v>9</v>
      </c>
      <c r="G2642" s="24" t="s">
        <v>8</v>
      </c>
      <c r="H2642" s="24" t="s">
        <v>47</v>
      </c>
      <c r="I2642" s="27">
        <v>76.89</v>
      </c>
    </row>
    <row r="2643" spans="2:9" ht="16">
      <c r="B2643" s="24" t="s">
        <v>8</v>
      </c>
      <c r="C2643" s="24" t="s">
        <v>6</v>
      </c>
      <c r="D2643" s="24" t="s">
        <v>550</v>
      </c>
      <c r="E2643" s="24" t="s">
        <v>8</v>
      </c>
      <c r="F2643" s="24" t="s">
        <v>9</v>
      </c>
      <c r="G2643" s="24" t="s">
        <v>8</v>
      </c>
      <c r="H2643" s="24" t="s">
        <v>47</v>
      </c>
      <c r="I2643" s="27">
        <v>486.97</v>
      </c>
    </row>
    <row r="2644" spans="1:9" ht="16">
      <c r="A2644" s="35" t="s">
        <v>50</v>
      </c>
      <c r="I2644" s="28">
        <f>I2641+I2642+I2643</f>
        <v>563.86</v>
      </c>
    </row>
    <row r="2645" spans="1:1" ht="16">
      <c r="A2645" s="34" t="s">
        <v>2268</v>
      </c>
    </row>
    <row r="2646" spans="2:9" ht="16">
      <c r="B2646" s="24" t="s">
        <v>51</v>
      </c>
      <c r="C2646" s="24" t="s">
        <v>6</v>
      </c>
      <c r="D2646" s="24" t="s">
        <v>551</v>
      </c>
      <c r="E2646" s="24" t="s">
        <v>8</v>
      </c>
      <c r="F2646" s="24" t="s">
        <v>9</v>
      </c>
      <c r="G2646" s="24" t="s">
        <v>8</v>
      </c>
      <c r="H2646" s="24" t="s">
        <v>53</v>
      </c>
      <c r="I2646" s="27">
        <v>144.13</v>
      </c>
    </row>
    <row r="2647" spans="2:9" ht="16">
      <c r="B2647" s="24" t="s">
        <v>51</v>
      </c>
      <c r="C2647" s="24" t="s">
        <v>6</v>
      </c>
      <c r="D2647" s="24" t="s">
        <v>561</v>
      </c>
      <c r="E2647" s="24" t="s">
        <v>8</v>
      </c>
      <c r="F2647" s="24" t="s">
        <v>9</v>
      </c>
      <c r="G2647" s="24" t="s">
        <v>8</v>
      </c>
      <c r="H2647" s="24" t="s">
        <v>53</v>
      </c>
      <c r="I2647" s="27">
        <v>152.2</v>
      </c>
    </row>
    <row r="2648" spans="2:9" ht="16">
      <c r="B2648" s="24" t="s">
        <v>51</v>
      </c>
      <c r="C2648" s="24" t="s">
        <v>6</v>
      </c>
      <c r="D2648" s="24" t="s">
        <v>559</v>
      </c>
      <c r="E2648" s="24" t="s">
        <v>8</v>
      </c>
      <c r="F2648" s="24" t="s">
        <v>9</v>
      </c>
      <c r="G2648" s="24" t="s">
        <v>8</v>
      </c>
      <c r="H2648" s="24" t="s">
        <v>53</v>
      </c>
      <c r="I2648" s="27">
        <v>813.8</v>
      </c>
    </row>
    <row r="2649" spans="1:9" ht="16">
      <c r="A2649" s="35" t="s">
        <v>67</v>
      </c>
      <c r="I2649" s="28">
        <f>I2645+I2646+I2647+I2648</f>
        <v>1110.1299999999999</v>
      </c>
    </row>
    <row r="2650" spans="1:9" ht="16">
      <c r="A2650" s="36" t="s">
        <v>2270</v>
      </c>
      <c r="I2650" s="28">
        <f>I2640+I2644+I2649</f>
        <v>1698.48</v>
      </c>
    </row>
    <row r="2651" spans="1:1" ht="16">
      <c r="A2651" s="33" t="s">
        <v>172</v>
      </c>
    </row>
    <row r="2652" spans="1:1" ht="16">
      <c r="A2652" s="34" t="s">
        <v>2271</v>
      </c>
    </row>
    <row r="2653" spans="2:9" ht="16">
      <c r="B2653" s="24" t="s">
        <v>77</v>
      </c>
      <c r="C2653" s="24" t="s">
        <v>13</v>
      </c>
      <c r="D2653" s="24" t="s">
        <v>1356</v>
      </c>
      <c r="E2653" s="24" t="s">
        <v>2272</v>
      </c>
      <c r="F2653" s="24" t="s">
        <v>9</v>
      </c>
      <c r="G2653" s="24" t="s">
        <v>8</v>
      </c>
      <c r="H2653" s="24" t="s">
        <v>2273</v>
      </c>
      <c r="I2653" s="27">
        <v>691.67</v>
      </c>
    </row>
    <row r="2654" spans="1:9" ht="16">
      <c r="A2654" s="35" t="s">
        <v>81</v>
      </c>
      <c r="I2654" s="28">
        <f>I2652+I2653</f>
        <v>691.67</v>
      </c>
    </row>
    <row r="2655" spans="1:1" ht="16">
      <c r="A2655" s="34" t="s">
        <v>2271</v>
      </c>
    </row>
    <row r="2656" spans="2:9" ht="16">
      <c r="B2656" s="24" t="s">
        <v>2274</v>
      </c>
      <c r="C2656" s="24" t="s">
        <v>6</v>
      </c>
      <c r="D2656" s="24" t="s">
        <v>1019</v>
      </c>
      <c r="E2656" s="24" t="s">
        <v>8</v>
      </c>
      <c r="F2656" s="24" t="s">
        <v>9</v>
      </c>
      <c r="G2656" s="24" t="s">
        <v>8</v>
      </c>
      <c r="H2656" s="24" t="s">
        <v>2275</v>
      </c>
      <c r="I2656" s="27">
        <v>59.62</v>
      </c>
    </row>
    <row r="2657" spans="1:9" ht="16">
      <c r="A2657" s="35" t="s">
        <v>40</v>
      </c>
      <c r="I2657" s="28">
        <f>I2655+I2656</f>
        <v>59.62</v>
      </c>
    </row>
    <row r="2658" spans="1:1" ht="16">
      <c r="A2658" s="34" t="s">
        <v>2271</v>
      </c>
    </row>
    <row r="2659" spans="2:9" ht="16">
      <c r="B2659" s="24" t="s">
        <v>1382</v>
      </c>
      <c r="C2659" s="24" t="s">
        <v>13</v>
      </c>
      <c r="D2659" s="24" t="s">
        <v>1208</v>
      </c>
      <c r="E2659" s="24" t="s">
        <v>2276</v>
      </c>
      <c r="F2659" s="24" t="s">
        <v>9</v>
      </c>
      <c r="G2659" s="24" t="s">
        <v>8</v>
      </c>
      <c r="H2659" s="24" t="s">
        <v>163</v>
      </c>
      <c r="I2659" s="27">
        <v>5705.0</v>
      </c>
    </row>
    <row r="2660" spans="1:9" ht="16">
      <c r="A2660" s="35" t="s">
        <v>164</v>
      </c>
      <c r="I2660" s="28">
        <f>I2658+I2659</f>
        <v>5705.0</v>
      </c>
    </row>
    <row r="2661" spans="1:1" ht="16">
      <c r="A2661" s="34" t="s">
        <v>2271</v>
      </c>
    </row>
    <row r="2662" spans="2:9" ht="16">
      <c r="B2662" s="24" t="s">
        <v>8</v>
      </c>
      <c r="C2662" s="24" t="s">
        <v>6</v>
      </c>
      <c r="D2662" s="24" t="s">
        <v>549</v>
      </c>
      <c r="E2662" s="24" t="s">
        <v>8</v>
      </c>
      <c r="F2662" s="24" t="s">
        <v>9</v>
      </c>
      <c r="G2662" s="24" t="s">
        <v>8</v>
      </c>
      <c r="H2662" s="24" t="s">
        <v>47</v>
      </c>
      <c r="I2662" s="27">
        <v>69.75</v>
      </c>
    </row>
    <row r="2663" spans="2:9" ht="16">
      <c r="B2663" s="24" t="s">
        <v>8</v>
      </c>
      <c r="C2663" s="24" t="s">
        <v>6</v>
      </c>
      <c r="D2663" s="24" t="s">
        <v>549</v>
      </c>
      <c r="E2663" s="24" t="s">
        <v>8</v>
      </c>
      <c r="F2663" s="24" t="s">
        <v>9</v>
      </c>
      <c r="G2663" s="24" t="s">
        <v>8</v>
      </c>
      <c r="H2663" s="24" t="s">
        <v>47</v>
      </c>
      <c r="I2663" s="27">
        <v>128.15</v>
      </c>
    </row>
    <row r="2664" spans="1:9" ht="16">
      <c r="A2664" s="35" t="s">
        <v>50</v>
      </c>
      <c r="I2664" s="28">
        <f>I2661+I2662+I2663</f>
        <v>197.9</v>
      </c>
    </row>
    <row r="2665" spans="1:1" ht="16">
      <c r="A2665" s="34" t="s">
        <v>2271</v>
      </c>
    </row>
    <row r="2666" spans="2:9" ht="16">
      <c r="B2666" s="24" t="s">
        <v>51</v>
      </c>
      <c r="C2666" s="24" t="s">
        <v>6</v>
      </c>
      <c r="D2666" s="24" t="s">
        <v>460</v>
      </c>
      <c r="E2666" s="24" t="s">
        <v>8</v>
      </c>
      <c r="F2666" s="24" t="s">
        <v>9</v>
      </c>
      <c r="G2666" s="24" t="s">
        <v>8</v>
      </c>
      <c r="H2666" s="24" t="s">
        <v>53</v>
      </c>
      <c r="I2666" s="27">
        <v>330.14</v>
      </c>
    </row>
    <row r="2667" spans="2:9" ht="16">
      <c r="B2667" s="24" t="s">
        <v>8</v>
      </c>
      <c r="C2667" s="24" t="s">
        <v>6</v>
      </c>
      <c r="D2667" s="24" t="s">
        <v>1208</v>
      </c>
      <c r="E2667" s="24" t="s">
        <v>8</v>
      </c>
      <c r="F2667" s="24" t="s">
        <v>9</v>
      </c>
      <c r="G2667" s="24" t="s">
        <v>8</v>
      </c>
      <c r="H2667" s="24" t="s">
        <v>53</v>
      </c>
      <c r="I2667" s="27">
        <v>404.97</v>
      </c>
    </row>
    <row r="2668" spans="1:9" ht="16">
      <c r="A2668" s="35" t="s">
        <v>67</v>
      </c>
      <c r="I2668" s="28">
        <f>I2665+I2666+I2667</f>
        <v>735.11</v>
      </c>
    </row>
    <row r="2669" spans="1:9" ht="16">
      <c r="A2669" s="36" t="s">
        <v>2277</v>
      </c>
      <c r="I2669" s="28">
        <f>I2654+I2657+I2660+I2664+I2668</f>
        <v>7389.299999999999</v>
      </c>
    </row>
    <row r="2670" spans="1:1" ht="16">
      <c r="A2670" s="33" t="s">
        <v>324</v>
      </c>
    </row>
    <row r="2671" spans="1:1" ht="16">
      <c r="A2671" s="34" t="s">
        <v>2278</v>
      </c>
    </row>
    <row r="2672" spans="2:9" ht="16">
      <c r="B2672" s="24" t="s">
        <v>119</v>
      </c>
      <c r="C2672" s="24" t="s">
        <v>6</v>
      </c>
      <c r="D2672" s="24" t="s">
        <v>561</v>
      </c>
      <c r="E2672" s="24" t="s">
        <v>8</v>
      </c>
      <c r="F2672" s="24" t="s">
        <v>9</v>
      </c>
      <c r="G2672" s="24" t="s">
        <v>8</v>
      </c>
      <c r="H2672" s="24" t="s">
        <v>2279</v>
      </c>
      <c r="I2672" s="27">
        <v>6.07</v>
      </c>
    </row>
    <row r="2673" spans="2:9" ht="16">
      <c r="B2673" s="24" t="s">
        <v>21</v>
      </c>
      <c r="C2673" s="24" t="s">
        <v>13</v>
      </c>
      <c r="D2673" s="24" t="s">
        <v>980</v>
      </c>
      <c r="E2673" s="24" t="s">
        <v>2280</v>
      </c>
      <c r="F2673" s="24" t="s">
        <v>9</v>
      </c>
      <c r="G2673" s="24" t="s">
        <v>8</v>
      </c>
      <c r="H2673" s="24" t="s">
        <v>8</v>
      </c>
      <c r="I2673" s="27">
        <v>475.98</v>
      </c>
    </row>
    <row r="2674" spans="1:9" ht="16">
      <c r="A2674" s="35" t="s">
        <v>40</v>
      </c>
      <c r="I2674" s="28">
        <f>I2671+I2672+I2673</f>
        <v>482.05</v>
      </c>
    </row>
    <row r="2675" spans="1:1" ht="16">
      <c r="A2675" s="34" t="s">
        <v>2278</v>
      </c>
    </row>
    <row r="2676" spans="2:9" ht="16">
      <c r="B2676" s="24" t="s">
        <v>8</v>
      </c>
      <c r="C2676" s="24" t="s">
        <v>6</v>
      </c>
      <c r="D2676" s="24" t="s">
        <v>549</v>
      </c>
      <c r="E2676" s="24" t="s">
        <v>8</v>
      </c>
      <c r="F2676" s="24" t="s">
        <v>9</v>
      </c>
      <c r="G2676" s="24" t="s">
        <v>8</v>
      </c>
      <c r="H2676" s="24" t="s">
        <v>47</v>
      </c>
      <c r="I2676" s="27">
        <v>205.04</v>
      </c>
    </row>
    <row r="2677" spans="2:9" ht="16">
      <c r="B2677" s="24" t="s">
        <v>8</v>
      </c>
      <c r="C2677" s="24" t="s">
        <v>6</v>
      </c>
      <c r="D2677" s="24" t="s">
        <v>549</v>
      </c>
      <c r="E2677" s="24" t="s">
        <v>8</v>
      </c>
      <c r="F2677" s="24" t="s">
        <v>9</v>
      </c>
      <c r="G2677" s="24" t="s">
        <v>8</v>
      </c>
      <c r="H2677" s="24" t="s">
        <v>47</v>
      </c>
      <c r="I2677" s="27">
        <v>166.6</v>
      </c>
    </row>
    <row r="2678" spans="1:9" ht="16">
      <c r="A2678" s="35" t="s">
        <v>50</v>
      </c>
      <c r="I2678" s="28">
        <f>I2675+I2676+I2677</f>
        <v>371.64</v>
      </c>
    </row>
    <row r="2679" spans="1:1" ht="16">
      <c r="A2679" s="34" t="s">
        <v>2278</v>
      </c>
    </row>
    <row r="2680" spans="2:9" ht="16">
      <c r="B2680" s="24" t="s">
        <v>51</v>
      </c>
      <c r="C2680" s="24" t="s">
        <v>6</v>
      </c>
      <c r="D2680" s="24" t="s">
        <v>460</v>
      </c>
      <c r="E2680" s="24" t="s">
        <v>8</v>
      </c>
      <c r="F2680" s="24" t="s">
        <v>9</v>
      </c>
      <c r="G2680" s="24" t="s">
        <v>8</v>
      </c>
      <c r="H2680" s="24" t="s">
        <v>53</v>
      </c>
      <c r="I2680" s="27">
        <v>464.03</v>
      </c>
    </row>
    <row r="2681" spans="1:9" ht="16">
      <c r="A2681" s="35" t="s">
        <v>67</v>
      </c>
      <c r="I2681" s="28">
        <f>I2679+I2680</f>
        <v>464.03</v>
      </c>
    </row>
    <row r="2682" spans="1:9" ht="16">
      <c r="A2682" s="36" t="s">
        <v>2281</v>
      </c>
      <c r="I2682" s="28">
        <f>I2674+I2678+I2681</f>
        <v>1317.72</v>
      </c>
    </row>
    <row r="2683" spans="1:1" ht="16">
      <c r="A2683" s="33" t="s">
        <v>362</v>
      </c>
    </row>
    <row r="2684" spans="1:1" ht="16">
      <c r="A2684" s="34" t="s">
        <v>2282</v>
      </c>
    </row>
    <row r="2685" spans="2:9" ht="16">
      <c r="B2685" s="24" t="s">
        <v>1382</v>
      </c>
      <c r="C2685" s="24" t="s">
        <v>13</v>
      </c>
      <c r="D2685" s="24" t="s">
        <v>1208</v>
      </c>
      <c r="E2685" s="24" t="s">
        <v>2283</v>
      </c>
      <c r="F2685" s="24" t="s">
        <v>9</v>
      </c>
      <c r="G2685" s="24" t="s">
        <v>8</v>
      </c>
      <c r="H2685" s="24" t="s">
        <v>163</v>
      </c>
      <c r="I2685" s="27">
        <v>570.0</v>
      </c>
    </row>
    <row r="2686" spans="1:9" ht="16">
      <c r="A2686" s="35" t="s">
        <v>164</v>
      </c>
      <c r="I2686" s="28">
        <f>I2684+I2685</f>
        <v>570.0</v>
      </c>
    </row>
    <row r="2687" spans="1:1" ht="16">
      <c r="A2687" s="34" t="s">
        <v>2282</v>
      </c>
    </row>
    <row r="2688" spans="2:9" ht="16">
      <c r="B2688" s="24" t="s">
        <v>8</v>
      </c>
      <c r="C2688" s="24" t="s">
        <v>6</v>
      </c>
      <c r="D2688" s="24" t="s">
        <v>549</v>
      </c>
      <c r="E2688" s="24" t="s">
        <v>8</v>
      </c>
      <c r="F2688" s="24" t="s">
        <v>9</v>
      </c>
      <c r="G2688" s="24" t="s">
        <v>8</v>
      </c>
      <c r="H2688" s="24" t="s">
        <v>47</v>
      </c>
      <c r="I2688" s="27">
        <v>51.26</v>
      </c>
    </row>
    <row r="2689" spans="1:9" ht="16">
      <c r="A2689" s="35" t="s">
        <v>50</v>
      </c>
      <c r="I2689" s="28">
        <f>I2687+I2688</f>
        <v>51.26</v>
      </c>
    </row>
    <row r="2690" spans="1:1" ht="16">
      <c r="A2690" s="34" t="s">
        <v>2282</v>
      </c>
    </row>
    <row r="2691" spans="2:9" ht="16">
      <c r="B2691" s="24" t="s">
        <v>8</v>
      </c>
      <c r="C2691" s="24" t="s">
        <v>6</v>
      </c>
      <c r="D2691" s="24" t="s">
        <v>1208</v>
      </c>
      <c r="E2691" s="24" t="s">
        <v>8</v>
      </c>
      <c r="F2691" s="24" t="s">
        <v>9</v>
      </c>
      <c r="G2691" s="24" t="s">
        <v>8</v>
      </c>
      <c r="H2691" s="24" t="s">
        <v>53</v>
      </c>
      <c r="I2691" s="27">
        <v>96.08</v>
      </c>
    </row>
    <row r="2692" spans="1:9" ht="16">
      <c r="A2692" s="35" t="s">
        <v>67</v>
      </c>
      <c r="I2692" s="28">
        <f>I2690+I2691</f>
        <v>96.08</v>
      </c>
    </row>
    <row r="2693" spans="1:9" ht="16">
      <c r="A2693" s="36" t="s">
        <v>2284</v>
      </c>
      <c r="I2693" s="28">
        <f>I2686+I2689+I2692</f>
        <v>717.34</v>
      </c>
    </row>
    <row r="2694" spans="1:1" ht="16">
      <c r="A2694" s="33" t="s">
        <v>324</v>
      </c>
    </row>
    <row r="2695" spans="1:1" ht="16">
      <c r="A2695" s="34" t="s">
        <v>2285</v>
      </c>
    </row>
    <row r="2696" spans="2:9" ht="16">
      <c r="B2696" s="24" t="s">
        <v>119</v>
      </c>
      <c r="C2696" s="24" t="s">
        <v>6</v>
      </c>
      <c r="D2696" s="24" t="s">
        <v>907</v>
      </c>
      <c r="E2696" s="24" t="s">
        <v>8</v>
      </c>
      <c r="F2696" s="24" t="s">
        <v>9</v>
      </c>
      <c r="G2696" s="24" t="s">
        <v>8</v>
      </c>
      <c r="H2696" s="24" t="s">
        <v>2286</v>
      </c>
      <c r="I2696" s="27">
        <v>463.07</v>
      </c>
    </row>
    <row r="2697" spans="2:9" ht="16">
      <c r="B2697" s="24" t="s">
        <v>119</v>
      </c>
      <c r="C2697" s="24" t="s">
        <v>6</v>
      </c>
      <c r="D2697" s="24" t="s">
        <v>907</v>
      </c>
      <c r="E2697" s="24" t="s">
        <v>8</v>
      </c>
      <c r="F2697" s="24" t="s">
        <v>9</v>
      </c>
      <c r="G2697" s="24" t="s">
        <v>8</v>
      </c>
      <c r="H2697" s="24" t="s">
        <v>2287</v>
      </c>
      <c r="I2697" s="27">
        <v>64.78</v>
      </c>
    </row>
    <row r="2698" spans="2:9" ht="16">
      <c r="B2698" s="24" t="s">
        <v>2288</v>
      </c>
      <c r="C2698" s="24" t="s">
        <v>6</v>
      </c>
      <c r="D2698" s="24" t="s">
        <v>1304</v>
      </c>
      <c r="E2698" s="24" t="s">
        <v>8</v>
      </c>
      <c r="F2698" s="24" t="s">
        <v>9</v>
      </c>
      <c r="G2698" s="24" t="s">
        <v>8</v>
      </c>
      <c r="H2698" s="24" t="s">
        <v>2289</v>
      </c>
      <c r="I2698" s="27">
        <v>152.47</v>
      </c>
    </row>
    <row r="2699" spans="2:9" ht="16">
      <c r="B2699" s="24" t="s">
        <v>36</v>
      </c>
      <c r="C2699" s="24" t="s">
        <v>6</v>
      </c>
      <c r="D2699" s="24" t="s">
        <v>1154</v>
      </c>
      <c r="E2699" s="24" t="s">
        <v>8</v>
      </c>
      <c r="F2699" s="24" t="s">
        <v>9</v>
      </c>
      <c r="G2699" s="24" t="s">
        <v>8</v>
      </c>
      <c r="H2699" s="24" t="s">
        <v>2290</v>
      </c>
      <c r="I2699" s="27">
        <v>57.95</v>
      </c>
    </row>
    <row r="2700" spans="1:9" ht="16">
      <c r="A2700" s="35" t="s">
        <v>40</v>
      </c>
      <c r="I2700" s="28">
        <f>I2695+I2696+I2697+I2698+I2699</f>
        <v>738.2700000000001</v>
      </c>
    </row>
    <row r="2701" spans="1:1" ht="16">
      <c r="A2701" s="34" t="s">
        <v>2285</v>
      </c>
    </row>
    <row r="2702" spans="2:9" ht="16">
      <c r="B2702" s="24" t="s">
        <v>45</v>
      </c>
      <c r="C2702" s="24" t="s">
        <v>6</v>
      </c>
      <c r="D2702" s="24" t="s">
        <v>928</v>
      </c>
      <c r="E2702" s="24" t="s">
        <v>8</v>
      </c>
      <c r="F2702" s="24" t="s">
        <v>9</v>
      </c>
      <c r="G2702" s="24" t="s">
        <v>8</v>
      </c>
      <c r="H2702" s="24" t="s">
        <v>47</v>
      </c>
      <c r="I2702" s="27">
        <v>1555.57</v>
      </c>
    </row>
    <row r="2703" spans="1:9" ht="16">
      <c r="A2703" s="35" t="s">
        <v>50</v>
      </c>
      <c r="I2703" s="28">
        <f>I2701+I2702</f>
        <v>1555.57</v>
      </c>
    </row>
    <row r="2704" spans="1:1" ht="16">
      <c r="A2704" s="34" t="s">
        <v>2285</v>
      </c>
    </row>
    <row r="2705" spans="2:9" ht="16">
      <c r="B2705" s="24" t="s">
        <v>8</v>
      </c>
      <c r="C2705" s="24" t="s">
        <v>150</v>
      </c>
      <c r="D2705" s="24" t="s">
        <v>1173</v>
      </c>
      <c r="E2705" s="24" t="s">
        <v>2264</v>
      </c>
      <c r="F2705" s="24" t="s">
        <v>9</v>
      </c>
      <c r="G2705" s="24" t="s">
        <v>8</v>
      </c>
      <c r="H2705" s="24" t="s">
        <v>2291</v>
      </c>
      <c r="I2705" s="27">
        <v>208.2</v>
      </c>
    </row>
    <row r="2706" spans="2:9" ht="16">
      <c r="B2706" s="24" t="s">
        <v>51</v>
      </c>
      <c r="C2706" s="24" t="s">
        <v>6</v>
      </c>
      <c r="D2706" s="24" t="s">
        <v>1206</v>
      </c>
      <c r="E2706" s="24" t="s">
        <v>8</v>
      </c>
      <c r="F2706" s="24" t="s">
        <v>9</v>
      </c>
      <c r="G2706" s="24" t="s">
        <v>8</v>
      </c>
      <c r="H2706" s="24" t="s">
        <v>53</v>
      </c>
      <c r="I2706" s="27">
        <v>642.29</v>
      </c>
    </row>
    <row r="2707" spans="2:9" ht="16">
      <c r="B2707" s="24" t="s">
        <v>51</v>
      </c>
      <c r="C2707" s="24" t="s">
        <v>6</v>
      </c>
      <c r="D2707" s="24" t="s">
        <v>984</v>
      </c>
      <c r="E2707" s="24" t="s">
        <v>8</v>
      </c>
      <c r="F2707" s="24" t="s">
        <v>9</v>
      </c>
      <c r="G2707" s="24" t="s">
        <v>8</v>
      </c>
      <c r="H2707" s="24" t="s">
        <v>53</v>
      </c>
      <c r="I2707" s="27">
        <v>2303.41</v>
      </c>
    </row>
    <row r="2708" spans="2:9" ht="16">
      <c r="B2708" s="24" t="s">
        <v>51</v>
      </c>
      <c r="C2708" s="24" t="s">
        <v>6</v>
      </c>
      <c r="D2708" s="24" t="s">
        <v>1207</v>
      </c>
      <c r="E2708" s="24" t="s">
        <v>8</v>
      </c>
      <c r="F2708" s="24" t="s">
        <v>9</v>
      </c>
      <c r="G2708" s="24" t="s">
        <v>8</v>
      </c>
      <c r="H2708" s="24" t="s">
        <v>53</v>
      </c>
      <c r="I2708" s="27">
        <v>296.77</v>
      </c>
    </row>
    <row r="2709" spans="2:9" ht="16">
      <c r="B2709" s="24" t="s">
        <v>51</v>
      </c>
      <c r="C2709" s="24" t="s">
        <v>6</v>
      </c>
      <c r="D2709" s="24" t="s">
        <v>931</v>
      </c>
      <c r="E2709" s="24" t="s">
        <v>8</v>
      </c>
      <c r="F2709" s="24" t="s">
        <v>9</v>
      </c>
      <c r="G2709" s="24" t="s">
        <v>8</v>
      </c>
      <c r="H2709" s="24" t="s">
        <v>53</v>
      </c>
      <c r="I2709" s="27">
        <v>331.25</v>
      </c>
    </row>
    <row r="2710" spans="1:9" ht="16">
      <c r="A2710" s="35" t="s">
        <v>67</v>
      </c>
      <c r="I2710" s="28">
        <f>I2704+I2705+I2706+I2707+I2708+I2709</f>
        <v>3781.9199999999996</v>
      </c>
    </row>
    <row r="2711" spans="1:9" ht="16">
      <c r="A2711" s="36" t="s">
        <v>2292</v>
      </c>
      <c r="I2711" s="28">
        <f>I2700+I2703+I2710</f>
        <v>6075.76</v>
      </c>
    </row>
    <row r="2712" spans="1:1" ht="16">
      <c r="A2712" s="33" t="s">
        <v>324</v>
      </c>
    </row>
    <row r="2713" spans="1:1" ht="16">
      <c r="A2713" s="34" t="s">
        <v>2293</v>
      </c>
    </row>
    <row r="2714" spans="2:9" ht="16">
      <c r="B2714" s="24" t="s">
        <v>119</v>
      </c>
      <c r="C2714" s="24" t="s">
        <v>6</v>
      </c>
      <c r="D2714" s="24" t="s">
        <v>1102</v>
      </c>
      <c r="E2714" s="24" t="s">
        <v>8</v>
      </c>
      <c r="F2714" s="24" t="s">
        <v>9</v>
      </c>
      <c r="G2714" s="24" t="s">
        <v>8</v>
      </c>
      <c r="H2714" s="24" t="s">
        <v>2294</v>
      </c>
      <c r="I2714" s="27">
        <v>32.56</v>
      </c>
    </row>
    <row r="2715" spans="2:9" ht="16">
      <c r="B2715" s="24" t="s">
        <v>86</v>
      </c>
      <c r="C2715" s="24" t="s">
        <v>13</v>
      </c>
      <c r="D2715" s="24" t="s">
        <v>984</v>
      </c>
      <c r="E2715" s="24" t="s">
        <v>2295</v>
      </c>
      <c r="F2715" s="24" t="s">
        <v>9</v>
      </c>
      <c r="G2715" s="24" t="s">
        <v>8</v>
      </c>
      <c r="H2715" s="24" t="s">
        <v>8</v>
      </c>
      <c r="I2715" s="27">
        <v>345.84</v>
      </c>
    </row>
    <row r="2716" spans="1:9" ht="16">
      <c r="A2716" s="35" t="s">
        <v>40</v>
      </c>
      <c r="I2716" s="28">
        <f>I2713+I2714+I2715</f>
        <v>378.4</v>
      </c>
    </row>
    <row r="2717" spans="1:1" ht="16">
      <c r="A2717" s="34" t="s">
        <v>2293</v>
      </c>
    </row>
    <row r="2718" spans="2:9" ht="16">
      <c r="B2718" s="24" t="s">
        <v>45</v>
      </c>
      <c r="C2718" s="24" t="s">
        <v>6</v>
      </c>
      <c r="D2718" s="24" t="s">
        <v>928</v>
      </c>
      <c r="E2718" s="24" t="s">
        <v>8</v>
      </c>
      <c r="F2718" s="24" t="s">
        <v>9</v>
      </c>
      <c r="G2718" s="24" t="s">
        <v>8</v>
      </c>
      <c r="H2718" s="24" t="s">
        <v>47</v>
      </c>
      <c r="I2718" s="27">
        <v>211.84</v>
      </c>
    </row>
    <row r="2719" spans="1:9" ht="16">
      <c r="A2719" s="35" t="s">
        <v>50</v>
      </c>
      <c r="I2719" s="28">
        <f>I2717+I2718</f>
        <v>211.84</v>
      </c>
    </row>
    <row r="2720" spans="1:1" ht="16">
      <c r="A2720" s="34" t="s">
        <v>2293</v>
      </c>
    </row>
    <row r="2721" spans="2:9" ht="16">
      <c r="B2721" s="24" t="s">
        <v>51</v>
      </c>
      <c r="C2721" s="24" t="s">
        <v>6</v>
      </c>
      <c r="D2721" s="24" t="s">
        <v>1116</v>
      </c>
      <c r="E2721" s="24" t="s">
        <v>8</v>
      </c>
      <c r="F2721" s="24" t="s">
        <v>9</v>
      </c>
      <c r="G2721" s="24" t="s">
        <v>8</v>
      </c>
      <c r="H2721" s="24" t="s">
        <v>53</v>
      </c>
      <c r="I2721" s="27">
        <v>208.1</v>
      </c>
    </row>
    <row r="2722" spans="1:9" ht="16">
      <c r="A2722" s="35" t="s">
        <v>67</v>
      </c>
      <c r="I2722" s="28">
        <f>I2720+I2721</f>
        <v>208.1</v>
      </c>
    </row>
    <row r="2723" spans="1:9" ht="16">
      <c r="A2723" s="36" t="s">
        <v>2296</v>
      </c>
      <c r="I2723" s="28">
        <f>I2716+I2719+I2722</f>
        <v>798.34</v>
      </c>
    </row>
    <row r="2724" spans="1:1" ht="16">
      <c r="A2724" s="33" t="s">
        <v>324</v>
      </c>
    </row>
    <row r="2725" spans="1:1" ht="16">
      <c r="A2725" s="34" t="s">
        <v>2297</v>
      </c>
    </row>
    <row r="2726" spans="2:9" ht="16">
      <c r="B2726" s="24" t="s">
        <v>316</v>
      </c>
      <c r="C2726" s="24" t="s">
        <v>6</v>
      </c>
      <c r="D2726" s="24" t="s">
        <v>1715</v>
      </c>
      <c r="E2726" s="24" t="s">
        <v>8</v>
      </c>
      <c r="F2726" s="24" t="s">
        <v>9</v>
      </c>
      <c r="G2726" s="24" t="s">
        <v>8</v>
      </c>
      <c r="H2726" s="24" t="s">
        <v>2298</v>
      </c>
      <c r="I2726" s="27">
        <v>135.84</v>
      </c>
    </row>
    <row r="2727" spans="1:9" ht="16">
      <c r="A2727" s="35" t="s">
        <v>40</v>
      </c>
      <c r="I2727" s="28">
        <f>I2725+I2726</f>
        <v>135.84</v>
      </c>
    </row>
    <row r="2728" spans="1:1" ht="16">
      <c r="A2728" s="34" t="s">
        <v>2297</v>
      </c>
    </row>
    <row r="2729" spans="2:9" ht="16">
      <c r="B2729" s="24" t="s">
        <v>1382</v>
      </c>
      <c r="C2729" s="24" t="s">
        <v>13</v>
      </c>
      <c r="D2729" s="24" t="s">
        <v>1383</v>
      </c>
      <c r="E2729" s="24" t="s">
        <v>2299</v>
      </c>
      <c r="F2729" s="24" t="s">
        <v>9</v>
      </c>
      <c r="G2729" s="24" t="s">
        <v>8</v>
      </c>
      <c r="H2729" s="24" t="s">
        <v>2300</v>
      </c>
      <c r="I2729" s="27">
        <v>1500.0</v>
      </c>
    </row>
    <row r="2730" spans="1:9" ht="16">
      <c r="A2730" s="35" t="s">
        <v>164</v>
      </c>
      <c r="I2730" s="28">
        <f>I2728+I2729</f>
        <v>1500.0</v>
      </c>
    </row>
    <row r="2731" spans="1:1" ht="16">
      <c r="A2731" s="34" t="s">
        <v>2297</v>
      </c>
    </row>
    <row r="2732" spans="2:9" ht="16">
      <c r="B2732" s="24" t="s">
        <v>45</v>
      </c>
      <c r="C2732" s="24" t="s">
        <v>6</v>
      </c>
      <c r="D2732" s="24" t="s">
        <v>928</v>
      </c>
      <c r="E2732" s="24" t="s">
        <v>8</v>
      </c>
      <c r="F2732" s="24" t="s">
        <v>9</v>
      </c>
      <c r="G2732" s="24" t="s">
        <v>8</v>
      </c>
      <c r="H2732" s="24" t="s">
        <v>47</v>
      </c>
      <c r="I2732" s="27">
        <v>242.94</v>
      </c>
    </row>
    <row r="2733" spans="1:9" ht="16">
      <c r="A2733" s="35" t="s">
        <v>50</v>
      </c>
      <c r="I2733" s="28">
        <f>I2731+I2732</f>
        <v>242.94</v>
      </c>
    </row>
    <row r="2734" spans="1:1" ht="16">
      <c r="A2734" s="34" t="s">
        <v>2297</v>
      </c>
    </row>
    <row r="2735" spans="2:9" ht="16">
      <c r="B2735" s="24" t="s">
        <v>51</v>
      </c>
      <c r="C2735" s="24" t="s">
        <v>6</v>
      </c>
      <c r="D2735" s="24" t="s">
        <v>1206</v>
      </c>
      <c r="E2735" s="24" t="s">
        <v>8</v>
      </c>
      <c r="F2735" s="24" t="s">
        <v>9</v>
      </c>
      <c r="G2735" s="24" t="s">
        <v>8</v>
      </c>
      <c r="H2735" s="24" t="s">
        <v>53</v>
      </c>
      <c r="I2735" s="27">
        <v>575.37</v>
      </c>
    </row>
    <row r="2736" spans="1:9" ht="16">
      <c r="A2736" s="35" t="s">
        <v>67</v>
      </c>
      <c r="I2736" s="28">
        <f>I2734+I2735</f>
        <v>575.37</v>
      </c>
    </row>
    <row r="2737" spans="1:9" ht="16">
      <c r="A2737" s="36" t="s">
        <v>2301</v>
      </c>
      <c r="I2737" s="28">
        <f>I2727+I2730+I2733+I2736</f>
        <v>2454.15</v>
      </c>
    </row>
    <row r="2738" spans="1:1" ht="16">
      <c r="A2738" s="33" t="s">
        <v>324</v>
      </c>
    </row>
    <row r="2739" spans="1:1" ht="16">
      <c r="A2739" s="34" t="s">
        <v>2302</v>
      </c>
    </row>
    <row r="2740" spans="2:9" ht="16">
      <c r="B2740" s="24" t="s">
        <v>86</v>
      </c>
      <c r="C2740" s="24" t="s">
        <v>13</v>
      </c>
      <c r="D2740" s="24" t="s">
        <v>1896</v>
      </c>
      <c r="E2740" s="24" t="s">
        <v>2303</v>
      </c>
      <c r="F2740" s="24" t="s">
        <v>9</v>
      </c>
      <c r="G2740" s="24" t="s">
        <v>8</v>
      </c>
      <c r="H2740" s="24" t="s">
        <v>834</v>
      </c>
      <c r="I2740" s="27">
        <v>15.84</v>
      </c>
    </row>
    <row r="2741" spans="2:9" ht="16">
      <c r="B2741" s="24" t="s">
        <v>21</v>
      </c>
      <c r="C2741" s="24" t="s">
        <v>13</v>
      </c>
      <c r="D2741" s="24" t="s">
        <v>1086</v>
      </c>
      <c r="E2741" s="24" t="s">
        <v>2304</v>
      </c>
      <c r="F2741" s="24" t="s">
        <v>9</v>
      </c>
      <c r="G2741" s="24" t="s">
        <v>8</v>
      </c>
      <c r="H2741" s="24" t="s">
        <v>2305</v>
      </c>
      <c r="I2741" s="27">
        <v>1392.95</v>
      </c>
    </row>
    <row r="2742" spans="2:9" ht="16">
      <c r="B2742" s="24" t="s">
        <v>119</v>
      </c>
      <c r="C2742" s="24" t="s">
        <v>6</v>
      </c>
      <c r="D2742" s="24" t="s">
        <v>1508</v>
      </c>
      <c r="E2742" s="24" t="s">
        <v>8</v>
      </c>
      <c r="F2742" s="24" t="s">
        <v>9</v>
      </c>
      <c r="G2742" s="24" t="s">
        <v>8</v>
      </c>
      <c r="H2742" s="24" t="s">
        <v>2306</v>
      </c>
      <c r="I2742" s="27">
        <v>100.86</v>
      </c>
    </row>
    <row r="2743" spans="2:9" ht="16">
      <c r="B2743" s="24" t="s">
        <v>119</v>
      </c>
      <c r="C2743" s="24" t="s">
        <v>6</v>
      </c>
      <c r="D2743" s="24" t="s">
        <v>1508</v>
      </c>
      <c r="E2743" s="24" t="s">
        <v>8</v>
      </c>
      <c r="F2743" s="24" t="s">
        <v>9</v>
      </c>
      <c r="G2743" s="24" t="s">
        <v>8</v>
      </c>
      <c r="H2743" s="24" t="s">
        <v>2307</v>
      </c>
      <c r="I2743" s="27">
        <v>27.31</v>
      </c>
    </row>
    <row r="2744" spans="2:9" ht="16">
      <c r="B2744" s="24" t="s">
        <v>21</v>
      </c>
      <c r="C2744" s="24" t="s">
        <v>13</v>
      </c>
      <c r="D2744" s="24" t="s">
        <v>1541</v>
      </c>
      <c r="E2744" s="24" t="s">
        <v>2308</v>
      </c>
      <c r="F2744" s="24" t="s">
        <v>9</v>
      </c>
      <c r="G2744" s="24" t="s">
        <v>8</v>
      </c>
      <c r="H2744" s="24" t="s">
        <v>2309</v>
      </c>
      <c r="I2744" s="27">
        <v>405.01</v>
      </c>
    </row>
    <row r="2745" spans="2:9" ht="16">
      <c r="B2745" s="24" t="s">
        <v>2310</v>
      </c>
      <c r="C2745" s="24" t="s">
        <v>6</v>
      </c>
      <c r="D2745" s="24" t="s">
        <v>1965</v>
      </c>
      <c r="E2745" s="24" t="s">
        <v>2311</v>
      </c>
      <c r="F2745" s="24" t="s">
        <v>9</v>
      </c>
      <c r="G2745" s="24" t="s">
        <v>8</v>
      </c>
      <c r="H2745" s="24" t="s">
        <v>2312</v>
      </c>
      <c r="I2745" s="27">
        <v>79.67</v>
      </c>
    </row>
    <row r="2746" spans="2:9" ht="16">
      <c r="B2746" s="24" t="s">
        <v>119</v>
      </c>
      <c r="C2746" s="24" t="s">
        <v>6</v>
      </c>
      <c r="D2746" s="24" t="s">
        <v>1965</v>
      </c>
      <c r="E2746" s="24" t="s">
        <v>8</v>
      </c>
      <c r="F2746" s="24" t="s">
        <v>9</v>
      </c>
      <c r="G2746" s="24" t="s">
        <v>8</v>
      </c>
      <c r="H2746" s="24" t="s">
        <v>2313</v>
      </c>
      <c r="I2746" s="27">
        <v>27.5</v>
      </c>
    </row>
    <row r="2747" spans="2:9" ht="16">
      <c r="B2747" s="24" t="s">
        <v>119</v>
      </c>
      <c r="C2747" s="24" t="s">
        <v>6</v>
      </c>
      <c r="D2747" s="24" t="s">
        <v>1769</v>
      </c>
      <c r="E2747" s="24" t="s">
        <v>8</v>
      </c>
      <c r="F2747" s="24" t="s">
        <v>9</v>
      </c>
      <c r="G2747" s="24" t="s">
        <v>8</v>
      </c>
      <c r="H2747" s="24" t="s">
        <v>2314</v>
      </c>
      <c r="I2747" s="27">
        <v>18.3</v>
      </c>
    </row>
    <row r="2748" spans="2:9" ht="16">
      <c r="B2748" s="24" t="s">
        <v>119</v>
      </c>
      <c r="C2748" s="24" t="s">
        <v>6</v>
      </c>
      <c r="D2748" s="24" t="s">
        <v>1513</v>
      </c>
      <c r="E2748" s="24" t="s">
        <v>8</v>
      </c>
      <c r="F2748" s="24" t="s">
        <v>9</v>
      </c>
      <c r="G2748" s="24" t="s">
        <v>8</v>
      </c>
      <c r="H2748" s="24" t="s">
        <v>2315</v>
      </c>
      <c r="I2748" s="27">
        <v>74.51</v>
      </c>
    </row>
    <row r="2749" spans="2:9" ht="16">
      <c r="B2749" s="24" t="s">
        <v>119</v>
      </c>
      <c r="C2749" s="24" t="s">
        <v>6</v>
      </c>
      <c r="D2749" s="24" t="s">
        <v>1508</v>
      </c>
      <c r="E2749" s="24" t="s">
        <v>8</v>
      </c>
      <c r="F2749" s="24" t="s">
        <v>9</v>
      </c>
      <c r="G2749" s="24" t="s">
        <v>8</v>
      </c>
      <c r="H2749" s="24" t="s">
        <v>2316</v>
      </c>
      <c r="I2749" s="27">
        <v>141.77</v>
      </c>
    </row>
    <row r="2750" spans="2:9" ht="16">
      <c r="B2750" s="24" t="s">
        <v>21</v>
      </c>
      <c r="C2750" s="24" t="s">
        <v>13</v>
      </c>
      <c r="D2750" s="24" t="s">
        <v>1547</v>
      </c>
      <c r="E2750" s="24" t="s">
        <v>2317</v>
      </c>
      <c r="F2750" s="24" t="s">
        <v>9</v>
      </c>
      <c r="G2750" s="24" t="s">
        <v>8</v>
      </c>
      <c r="H2750" s="24" t="s">
        <v>527</v>
      </c>
      <c r="I2750" s="27">
        <v>115.63</v>
      </c>
    </row>
    <row r="2751" spans="1:9" ht="16">
      <c r="A2751" s="35" t="s">
        <v>40</v>
      </c>
      <c r="I2751" s="28">
        <f>I2739+I2740+I2741+I2742+I2743+I2744+I2745+I2746+I2747+I2748+I2749+I2750</f>
        <v>2399.3500000000004</v>
      </c>
    </row>
    <row r="2752" spans="1:1" ht="16">
      <c r="A2752" s="34" t="s">
        <v>2302</v>
      </c>
    </row>
    <row r="2753" spans="2:9" ht="16">
      <c r="B2753" s="24" t="s">
        <v>1382</v>
      </c>
      <c r="C2753" s="24" t="s">
        <v>13</v>
      </c>
      <c r="D2753" s="24" t="s">
        <v>1383</v>
      </c>
      <c r="E2753" s="24" t="s">
        <v>2318</v>
      </c>
      <c r="F2753" s="24" t="s">
        <v>9</v>
      </c>
      <c r="G2753" s="24" t="s">
        <v>8</v>
      </c>
      <c r="H2753" s="24" t="s">
        <v>163</v>
      </c>
      <c r="I2753" s="27">
        <v>3500.0</v>
      </c>
    </row>
    <row r="2754" spans="1:9" ht="16">
      <c r="A2754" s="35" t="s">
        <v>164</v>
      </c>
      <c r="I2754" s="28">
        <f>I2752+I2753</f>
        <v>3500.0</v>
      </c>
    </row>
    <row r="2755" spans="1:1" ht="16">
      <c r="A2755" s="34" t="s">
        <v>2302</v>
      </c>
    </row>
    <row r="2756" spans="2:9" ht="16">
      <c r="B2756" s="24" t="s">
        <v>8</v>
      </c>
      <c r="C2756" s="24" t="s">
        <v>6</v>
      </c>
      <c r="D2756" s="24" t="s">
        <v>1205</v>
      </c>
      <c r="E2756" s="24" t="s">
        <v>8</v>
      </c>
      <c r="F2756" s="24" t="s">
        <v>9</v>
      </c>
      <c r="G2756" s="24" t="s">
        <v>8</v>
      </c>
      <c r="H2756" s="24" t="s">
        <v>47</v>
      </c>
      <c r="I2756" s="27">
        <v>503.12</v>
      </c>
    </row>
    <row r="2757" spans="2:9" ht="16">
      <c r="B2757" s="24" t="s">
        <v>45</v>
      </c>
      <c r="C2757" s="24" t="s">
        <v>6</v>
      </c>
      <c r="D2757" s="24" t="s">
        <v>1596</v>
      </c>
      <c r="E2757" s="24" t="s">
        <v>8</v>
      </c>
      <c r="F2757" s="24" t="s">
        <v>9</v>
      </c>
      <c r="G2757" s="24" t="s">
        <v>8</v>
      </c>
      <c r="H2757" s="24" t="s">
        <v>47</v>
      </c>
      <c r="I2757" s="27">
        <v>767.92</v>
      </c>
    </row>
    <row r="2758" spans="2:9" ht="16">
      <c r="B2758" s="24" t="s">
        <v>8</v>
      </c>
      <c r="C2758" s="24" t="s">
        <v>6</v>
      </c>
      <c r="D2758" s="24" t="s">
        <v>1597</v>
      </c>
      <c r="E2758" s="24" t="s">
        <v>8</v>
      </c>
      <c r="F2758" s="24" t="s">
        <v>9</v>
      </c>
      <c r="G2758" s="24" t="s">
        <v>8</v>
      </c>
      <c r="H2758" s="24" t="s">
        <v>47</v>
      </c>
      <c r="I2758" s="27">
        <v>304.52</v>
      </c>
    </row>
    <row r="2759" spans="1:9" ht="16">
      <c r="A2759" s="35" t="s">
        <v>50</v>
      </c>
      <c r="I2759" s="28">
        <f>I2755+I2756+I2757+I2758</f>
        <v>1575.56</v>
      </c>
    </row>
    <row r="2760" spans="1:1" ht="16">
      <c r="A2760" s="34" t="s">
        <v>2302</v>
      </c>
    </row>
    <row r="2761" spans="2:9" ht="16">
      <c r="B2761" s="24" t="s">
        <v>961</v>
      </c>
      <c r="C2761" s="24" t="s">
        <v>6</v>
      </c>
      <c r="D2761" s="24" t="s">
        <v>1826</v>
      </c>
      <c r="E2761" s="24" t="s">
        <v>8</v>
      </c>
      <c r="F2761" s="24" t="s">
        <v>9</v>
      </c>
      <c r="G2761" s="24" t="s">
        <v>8</v>
      </c>
      <c r="H2761" s="24" t="s">
        <v>53</v>
      </c>
      <c r="I2761" s="27">
        <v>156.08</v>
      </c>
    </row>
    <row r="2762" spans="2:9" ht="16">
      <c r="B2762" s="24" t="s">
        <v>961</v>
      </c>
      <c r="C2762" s="24" t="s">
        <v>6</v>
      </c>
      <c r="D2762" s="24" t="s">
        <v>1603</v>
      </c>
      <c r="E2762" s="24" t="s">
        <v>8</v>
      </c>
      <c r="F2762" s="24" t="s">
        <v>9</v>
      </c>
      <c r="G2762" s="24" t="s">
        <v>8</v>
      </c>
      <c r="H2762" s="24" t="s">
        <v>53</v>
      </c>
      <c r="I2762" s="27">
        <v>548.72</v>
      </c>
    </row>
    <row r="2763" spans="2:9" ht="16">
      <c r="B2763" s="24" t="s">
        <v>961</v>
      </c>
      <c r="C2763" s="24" t="s">
        <v>6</v>
      </c>
      <c r="D2763" s="24" t="s">
        <v>1581</v>
      </c>
      <c r="E2763" s="24" t="s">
        <v>8</v>
      </c>
      <c r="F2763" s="24" t="s">
        <v>9</v>
      </c>
      <c r="G2763" s="24" t="s">
        <v>8</v>
      </c>
      <c r="H2763" s="24" t="s">
        <v>53</v>
      </c>
      <c r="I2763" s="27">
        <v>1150.09</v>
      </c>
    </row>
    <row r="2764" spans="2:9" ht="16">
      <c r="B2764" s="24" t="s">
        <v>961</v>
      </c>
      <c r="C2764" s="24" t="s">
        <v>6</v>
      </c>
      <c r="D2764" s="24" t="s">
        <v>1827</v>
      </c>
      <c r="E2764" s="24" t="s">
        <v>8</v>
      </c>
      <c r="F2764" s="24" t="s">
        <v>9</v>
      </c>
      <c r="G2764" s="24" t="s">
        <v>8</v>
      </c>
      <c r="H2764" s="24" t="s">
        <v>53</v>
      </c>
      <c r="I2764" s="27">
        <v>624.33</v>
      </c>
    </row>
    <row r="2765" spans="2:9" ht="16">
      <c r="B2765" s="24" t="s">
        <v>961</v>
      </c>
      <c r="C2765" s="24" t="s">
        <v>6</v>
      </c>
      <c r="D2765" s="24" t="s">
        <v>1547</v>
      </c>
      <c r="E2765" s="24" t="s">
        <v>8</v>
      </c>
      <c r="F2765" s="24" t="s">
        <v>9</v>
      </c>
      <c r="G2765" s="24" t="s">
        <v>8</v>
      </c>
      <c r="H2765" s="24" t="s">
        <v>53</v>
      </c>
      <c r="I2765" s="27">
        <v>475.76</v>
      </c>
    </row>
    <row r="2766" spans="2:9" ht="16">
      <c r="B2766" s="24" t="s">
        <v>961</v>
      </c>
      <c r="C2766" s="24" t="s">
        <v>6</v>
      </c>
      <c r="D2766" s="24" t="s">
        <v>1602</v>
      </c>
      <c r="E2766" s="24" t="s">
        <v>8</v>
      </c>
      <c r="F2766" s="24" t="s">
        <v>9</v>
      </c>
      <c r="G2766" s="24" t="s">
        <v>8</v>
      </c>
      <c r="H2766" s="24" t="s">
        <v>53</v>
      </c>
      <c r="I2766" s="27">
        <v>78.04</v>
      </c>
    </row>
    <row r="2767" spans="2:9" ht="16">
      <c r="B2767" s="24" t="s">
        <v>961</v>
      </c>
      <c r="C2767" s="24" t="s">
        <v>6</v>
      </c>
      <c r="D2767" s="24" t="s">
        <v>1584</v>
      </c>
      <c r="E2767" s="24" t="s">
        <v>8</v>
      </c>
      <c r="F2767" s="24" t="s">
        <v>9</v>
      </c>
      <c r="G2767" s="24" t="s">
        <v>8</v>
      </c>
      <c r="H2767" s="24" t="s">
        <v>53</v>
      </c>
      <c r="I2767" s="27">
        <v>416.22</v>
      </c>
    </row>
    <row r="2768" spans="2:9" ht="16">
      <c r="B2768" s="24" t="s">
        <v>961</v>
      </c>
      <c r="C2768" s="24" t="s">
        <v>6</v>
      </c>
      <c r="D2768" s="24" t="s">
        <v>1538</v>
      </c>
      <c r="E2768" s="24" t="s">
        <v>8</v>
      </c>
      <c r="F2768" s="24" t="s">
        <v>9</v>
      </c>
      <c r="G2768" s="24" t="s">
        <v>8</v>
      </c>
      <c r="H2768" s="24" t="s">
        <v>53</v>
      </c>
      <c r="I2768" s="27">
        <v>879.77</v>
      </c>
    </row>
    <row r="2769" spans="1:9" ht="16">
      <c r="A2769" s="35" t="s">
        <v>67</v>
      </c>
      <c r="I2769" s="28">
        <f>I2760+I2761+I2762+I2763+I2764+I2765+I2766+I2767+I2768</f>
        <v>4329.01</v>
      </c>
    </row>
    <row r="2770" spans="1:9" ht="16">
      <c r="A2770" s="36" t="s">
        <v>2319</v>
      </c>
      <c r="I2770" s="28">
        <f>I2751+I2754+I2759+I2769</f>
        <v>11803.92</v>
      </c>
    </row>
    <row r="2771" spans="1:1" ht="16">
      <c r="A2771" s="33" t="s">
        <v>324</v>
      </c>
    </row>
    <row r="2772" spans="1:1" ht="16">
      <c r="A2772" s="34" t="s">
        <v>2320</v>
      </c>
    </row>
    <row r="2773" spans="2:9" ht="16">
      <c r="B2773" s="24" t="s">
        <v>333</v>
      </c>
      <c r="C2773" s="24" t="s">
        <v>6</v>
      </c>
      <c r="D2773" s="24" t="s">
        <v>1158</v>
      </c>
      <c r="E2773" s="24" t="s">
        <v>8</v>
      </c>
      <c r="F2773" s="24" t="s">
        <v>9</v>
      </c>
      <c r="G2773" s="24" t="s">
        <v>8</v>
      </c>
      <c r="H2773" s="24" t="s">
        <v>2321</v>
      </c>
      <c r="I2773" s="27">
        <v>95.82</v>
      </c>
    </row>
    <row r="2774" spans="2:9" ht="16">
      <c r="B2774" s="24" t="s">
        <v>119</v>
      </c>
      <c r="C2774" s="24" t="s">
        <v>6</v>
      </c>
      <c r="D2774" s="24" t="s">
        <v>1158</v>
      </c>
      <c r="E2774" s="24" t="s">
        <v>8</v>
      </c>
      <c r="F2774" s="24" t="s">
        <v>9</v>
      </c>
      <c r="G2774" s="24" t="s">
        <v>8</v>
      </c>
      <c r="H2774" s="24" t="s">
        <v>2322</v>
      </c>
      <c r="I2774" s="27">
        <v>794.62</v>
      </c>
    </row>
    <row r="2775" spans="2:9" ht="16">
      <c r="B2775" s="24" t="s">
        <v>119</v>
      </c>
      <c r="C2775" s="24" t="s">
        <v>6</v>
      </c>
      <c r="D2775" s="24" t="s">
        <v>1158</v>
      </c>
      <c r="E2775" s="24" t="s">
        <v>8</v>
      </c>
      <c r="F2775" s="24" t="s">
        <v>9</v>
      </c>
      <c r="G2775" s="24" t="s">
        <v>8</v>
      </c>
      <c r="H2775" s="24" t="s">
        <v>2323</v>
      </c>
      <c r="I2775" s="27">
        <v>106.53</v>
      </c>
    </row>
    <row r="2776" spans="1:9" ht="16">
      <c r="A2776" s="35" t="s">
        <v>40</v>
      </c>
      <c r="I2776" s="28">
        <f>I2772+I2773+I2774+I2775</f>
        <v>996.97</v>
      </c>
    </row>
    <row r="2777" spans="1:1" ht="16">
      <c r="A2777" s="34" t="s">
        <v>2320</v>
      </c>
    </row>
    <row r="2778" spans="2:9" ht="16">
      <c r="B2778" s="24" t="s">
        <v>8</v>
      </c>
      <c r="C2778" s="24" t="s">
        <v>6</v>
      </c>
      <c r="D2778" s="24" t="s">
        <v>1205</v>
      </c>
      <c r="E2778" s="24" t="s">
        <v>8</v>
      </c>
      <c r="F2778" s="24" t="s">
        <v>9</v>
      </c>
      <c r="G2778" s="24" t="s">
        <v>8</v>
      </c>
      <c r="H2778" s="24" t="s">
        <v>47</v>
      </c>
      <c r="I2778" s="27">
        <v>317.76</v>
      </c>
    </row>
    <row r="2779" spans="1:9" ht="16">
      <c r="A2779" s="35" t="s">
        <v>50</v>
      </c>
      <c r="I2779" s="28">
        <f>I2777+I2778</f>
        <v>317.76</v>
      </c>
    </row>
    <row r="2780" spans="1:1" ht="16">
      <c r="A2780" s="34" t="s">
        <v>2320</v>
      </c>
    </row>
    <row r="2781" spans="2:9" ht="16">
      <c r="B2781" s="24" t="s">
        <v>961</v>
      </c>
      <c r="C2781" s="24" t="s">
        <v>6</v>
      </c>
      <c r="D2781" s="24" t="s">
        <v>1086</v>
      </c>
      <c r="E2781" s="24" t="s">
        <v>8</v>
      </c>
      <c r="F2781" s="24" t="s">
        <v>9</v>
      </c>
      <c r="G2781" s="24" t="s">
        <v>8</v>
      </c>
      <c r="H2781" s="24" t="s">
        <v>53</v>
      </c>
      <c r="I2781" s="27">
        <v>800.7</v>
      </c>
    </row>
    <row r="2782" spans="1:9" ht="16">
      <c r="A2782" s="35" t="s">
        <v>67</v>
      </c>
      <c r="I2782" s="28">
        <f>I2780+I2781</f>
        <v>800.7</v>
      </c>
    </row>
    <row r="2783" spans="1:9" ht="16">
      <c r="A2783" s="36" t="s">
        <v>2324</v>
      </c>
      <c r="I2783" s="28">
        <f>I2776+I2779+I2782</f>
        <v>2115.4300000000003</v>
      </c>
    </row>
    <row r="2784" spans="1:1" ht="16">
      <c r="A2784" s="33" t="s">
        <v>324</v>
      </c>
    </row>
    <row r="2785" spans="1:1" ht="16">
      <c r="A2785" s="34" t="s">
        <v>2325</v>
      </c>
    </row>
    <row r="2786" spans="2:9" ht="16">
      <c r="B2786" s="24" t="s">
        <v>127</v>
      </c>
      <c r="C2786" s="24" t="s">
        <v>6</v>
      </c>
      <c r="D2786" s="24" t="s">
        <v>2326</v>
      </c>
      <c r="E2786" s="24" t="s">
        <v>8</v>
      </c>
      <c r="F2786" s="24" t="s">
        <v>9</v>
      </c>
      <c r="G2786" s="24" t="s">
        <v>8</v>
      </c>
      <c r="H2786" s="24" t="s">
        <v>2327</v>
      </c>
      <c r="I2786" s="27">
        <v>25.2</v>
      </c>
    </row>
    <row r="2787" spans="1:9" ht="16">
      <c r="A2787" s="35" t="s">
        <v>40</v>
      </c>
      <c r="I2787" s="28">
        <f>I2785+I2786</f>
        <v>25.2</v>
      </c>
    </row>
    <row r="2788" spans="1:1" ht="16">
      <c r="A2788" s="34" t="s">
        <v>2325</v>
      </c>
    </row>
    <row r="2789" spans="2:9" ht="16">
      <c r="B2789" s="24" t="s">
        <v>119</v>
      </c>
      <c r="C2789" s="24" t="s">
        <v>6</v>
      </c>
      <c r="D2789" s="24" t="s">
        <v>1538</v>
      </c>
      <c r="E2789" s="24" t="s">
        <v>8</v>
      </c>
      <c r="F2789" s="24" t="s">
        <v>9</v>
      </c>
      <c r="G2789" s="24" t="s">
        <v>8</v>
      </c>
      <c r="H2789" s="24" t="s">
        <v>2328</v>
      </c>
      <c r="I2789" s="27">
        <v>184.39</v>
      </c>
    </row>
    <row r="2790" spans="1:9" ht="16">
      <c r="A2790" s="35" t="s">
        <v>267</v>
      </c>
      <c r="I2790" s="28">
        <f>I2788+I2789</f>
        <v>184.39</v>
      </c>
    </row>
    <row r="2791" spans="1:1" ht="16">
      <c r="A2791" s="34" t="s">
        <v>2325</v>
      </c>
    </row>
    <row r="2792" spans="2:9" ht="16">
      <c r="B2792" s="24" t="s">
        <v>45</v>
      </c>
      <c r="C2792" s="24" t="s">
        <v>6</v>
      </c>
      <c r="D2792" s="24" t="s">
        <v>1596</v>
      </c>
      <c r="E2792" s="24" t="s">
        <v>8</v>
      </c>
      <c r="F2792" s="24" t="s">
        <v>9</v>
      </c>
      <c r="G2792" s="24" t="s">
        <v>8</v>
      </c>
      <c r="H2792" s="24" t="s">
        <v>47</v>
      </c>
      <c r="I2792" s="27">
        <v>529.28</v>
      </c>
    </row>
    <row r="2793" spans="1:9" ht="16">
      <c r="A2793" s="35" t="s">
        <v>50</v>
      </c>
      <c r="I2793" s="28">
        <f>I2791+I2792</f>
        <v>529.28</v>
      </c>
    </row>
    <row r="2794" spans="1:1" ht="16">
      <c r="A2794" s="34" t="s">
        <v>2325</v>
      </c>
    </row>
    <row r="2795" spans="2:9" ht="16">
      <c r="B2795" s="24" t="s">
        <v>961</v>
      </c>
      <c r="C2795" s="24" t="s">
        <v>6</v>
      </c>
      <c r="D2795" s="24" t="s">
        <v>1581</v>
      </c>
      <c r="E2795" s="24" t="s">
        <v>8</v>
      </c>
      <c r="F2795" s="24" t="s">
        <v>9</v>
      </c>
      <c r="G2795" s="24" t="s">
        <v>8</v>
      </c>
      <c r="H2795" s="24" t="s">
        <v>53</v>
      </c>
      <c r="I2795" s="27">
        <v>130.41</v>
      </c>
    </row>
    <row r="2796" spans="2:9" ht="16">
      <c r="B2796" s="24" t="s">
        <v>961</v>
      </c>
      <c r="C2796" s="24" t="s">
        <v>6</v>
      </c>
      <c r="D2796" s="24" t="s">
        <v>1584</v>
      </c>
      <c r="E2796" s="24" t="s">
        <v>8</v>
      </c>
      <c r="F2796" s="24" t="s">
        <v>9</v>
      </c>
      <c r="G2796" s="24" t="s">
        <v>8</v>
      </c>
      <c r="H2796" s="24" t="s">
        <v>53</v>
      </c>
      <c r="I2796" s="27">
        <v>207.53</v>
      </c>
    </row>
    <row r="2797" spans="2:9" ht="16">
      <c r="B2797" s="24" t="s">
        <v>961</v>
      </c>
      <c r="C2797" s="24" t="s">
        <v>6</v>
      </c>
      <c r="D2797" s="24" t="s">
        <v>1547</v>
      </c>
      <c r="E2797" s="24" t="s">
        <v>8</v>
      </c>
      <c r="F2797" s="24" t="s">
        <v>9</v>
      </c>
      <c r="G2797" s="24" t="s">
        <v>8</v>
      </c>
      <c r="H2797" s="24" t="s">
        <v>53</v>
      </c>
      <c r="I2797" s="27">
        <v>1076.28</v>
      </c>
    </row>
    <row r="2798" spans="1:9" ht="16">
      <c r="A2798" s="35" t="s">
        <v>67</v>
      </c>
      <c r="I2798" s="28">
        <f>I2794+I2795+I2796+I2797</f>
        <v>1414.22</v>
      </c>
    </row>
    <row r="2799" spans="1:9" ht="16">
      <c r="A2799" s="36" t="s">
        <v>2329</v>
      </c>
      <c r="I2799" s="28">
        <f>I2787+I2790+I2793+I2798</f>
        <v>2153.09</v>
      </c>
    </row>
    <row r="2800" spans="1:1" ht="16">
      <c r="A2800" s="33" t="s">
        <v>324</v>
      </c>
    </row>
    <row r="2801" spans="1:1" ht="16">
      <c r="A2801" s="34" t="s">
        <v>2330</v>
      </c>
    </row>
    <row r="2802" spans="2:9" ht="16">
      <c r="B2802" s="24" t="s">
        <v>239</v>
      </c>
      <c r="C2802" s="24" t="s">
        <v>6</v>
      </c>
      <c r="D2802" s="24" t="s">
        <v>1549</v>
      </c>
      <c r="E2802" s="24" t="s">
        <v>8</v>
      </c>
      <c r="F2802" s="24" t="s">
        <v>9</v>
      </c>
      <c r="G2802" s="24" t="s">
        <v>8</v>
      </c>
      <c r="H2802" s="24" t="s">
        <v>576</v>
      </c>
      <c r="I2802" s="27">
        <v>56.7</v>
      </c>
    </row>
    <row r="2803" spans="2:9" ht="16">
      <c r="B2803" s="24" t="s">
        <v>21</v>
      </c>
      <c r="C2803" s="24" t="s">
        <v>13</v>
      </c>
      <c r="D2803" s="24" t="s">
        <v>1541</v>
      </c>
      <c r="E2803" s="24" t="s">
        <v>2331</v>
      </c>
      <c r="F2803" s="24" t="s">
        <v>9</v>
      </c>
      <c r="G2803" s="24" t="s">
        <v>8</v>
      </c>
      <c r="H2803" s="24" t="s">
        <v>2332</v>
      </c>
      <c r="I2803" s="27">
        <v>303.3</v>
      </c>
    </row>
    <row r="2804" spans="2:9" ht="16">
      <c r="B2804" s="24" t="s">
        <v>1219</v>
      </c>
      <c r="C2804" s="24" t="s">
        <v>6</v>
      </c>
      <c r="D2804" s="24" t="s">
        <v>928</v>
      </c>
      <c r="E2804" s="24" t="s">
        <v>8</v>
      </c>
      <c r="F2804" s="24" t="s">
        <v>9</v>
      </c>
      <c r="G2804" s="24" t="s">
        <v>8</v>
      </c>
      <c r="H2804" s="24" t="s">
        <v>2333</v>
      </c>
      <c r="I2804" s="27">
        <v>123.2</v>
      </c>
    </row>
    <row r="2805" spans="2:9" ht="16">
      <c r="B2805" s="24" t="s">
        <v>239</v>
      </c>
      <c r="C2805" s="24" t="s">
        <v>6</v>
      </c>
      <c r="D2805" s="24" t="s">
        <v>1513</v>
      </c>
      <c r="E2805" s="24" t="s">
        <v>8</v>
      </c>
      <c r="F2805" s="24" t="s">
        <v>9</v>
      </c>
      <c r="G2805" s="24" t="s">
        <v>8</v>
      </c>
      <c r="H2805" s="24" t="s">
        <v>2334</v>
      </c>
      <c r="I2805" s="27">
        <v>275.12</v>
      </c>
    </row>
    <row r="2806" spans="2:9" ht="16">
      <c r="B2806" s="24" t="s">
        <v>119</v>
      </c>
      <c r="C2806" s="24" t="s">
        <v>6</v>
      </c>
      <c r="D2806" s="24" t="s">
        <v>2326</v>
      </c>
      <c r="E2806" s="24" t="s">
        <v>8</v>
      </c>
      <c r="F2806" s="24" t="s">
        <v>9</v>
      </c>
      <c r="G2806" s="24" t="s">
        <v>8</v>
      </c>
      <c r="H2806" s="24" t="s">
        <v>2335</v>
      </c>
      <c r="I2806" s="27">
        <v>53.07</v>
      </c>
    </row>
    <row r="2807" spans="2:9" ht="16">
      <c r="B2807" s="24" t="s">
        <v>119</v>
      </c>
      <c r="C2807" s="24" t="s">
        <v>6</v>
      </c>
      <c r="D2807" s="24" t="s">
        <v>1521</v>
      </c>
      <c r="E2807" s="24" t="s">
        <v>8</v>
      </c>
      <c r="F2807" s="24" t="s">
        <v>9</v>
      </c>
      <c r="G2807" s="24" t="s">
        <v>8</v>
      </c>
      <c r="H2807" s="24" t="s">
        <v>2336</v>
      </c>
      <c r="I2807" s="27">
        <v>17.08</v>
      </c>
    </row>
    <row r="2808" spans="2:9" ht="16">
      <c r="B2808" s="24" t="s">
        <v>333</v>
      </c>
      <c r="C2808" s="24" t="s">
        <v>6</v>
      </c>
      <c r="D2808" s="24" t="s">
        <v>928</v>
      </c>
      <c r="E2808" s="24" t="s">
        <v>8</v>
      </c>
      <c r="F2808" s="24" t="s">
        <v>9</v>
      </c>
      <c r="G2808" s="24" t="s">
        <v>8</v>
      </c>
      <c r="H2808" s="24" t="s">
        <v>2337</v>
      </c>
      <c r="I2808" s="27">
        <v>119.67</v>
      </c>
    </row>
    <row r="2809" spans="2:9" ht="16">
      <c r="B2809" s="24" t="s">
        <v>36</v>
      </c>
      <c r="C2809" s="24" t="s">
        <v>6</v>
      </c>
      <c r="D2809" s="24" t="s">
        <v>2338</v>
      </c>
      <c r="E2809" s="24" t="s">
        <v>8</v>
      </c>
      <c r="F2809" s="24" t="s">
        <v>9</v>
      </c>
      <c r="G2809" s="24" t="s">
        <v>8</v>
      </c>
      <c r="H2809" s="24" t="s">
        <v>2339</v>
      </c>
      <c r="I2809" s="27">
        <v>243.12</v>
      </c>
    </row>
    <row r="2810" spans="2:9" ht="16">
      <c r="B2810" s="24" t="s">
        <v>333</v>
      </c>
      <c r="C2810" s="24" t="s">
        <v>6</v>
      </c>
      <c r="D2810" s="24" t="s">
        <v>1516</v>
      </c>
      <c r="E2810" s="24" t="s">
        <v>8</v>
      </c>
      <c r="F2810" s="24" t="s">
        <v>9</v>
      </c>
      <c r="G2810" s="24" t="s">
        <v>8</v>
      </c>
      <c r="H2810" s="24" t="s">
        <v>2340</v>
      </c>
      <c r="I2810" s="27">
        <v>119.67</v>
      </c>
    </row>
    <row r="2811" spans="2:9" ht="16">
      <c r="B2811" s="24" t="s">
        <v>316</v>
      </c>
      <c r="C2811" s="24" t="s">
        <v>6</v>
      </c>
      <c r="D2811" s="24" t="s">
        <v>1508</v>
      </c>
      <c r="E2811" s="24" t="s">
        <v>8</v>
      </c>
      <c r="F2811" s="24" t="s">
        <v>9</v>
      </c>
      <c r="G2811" s="24" t="s">
        <v>8</v>
      </c>
      <c r="H2811" s="24" t="s">
        <v>2341</v>
      </c>
      <c r="I2811" s="27">
        <v>46.2</v>
      </c>
    </row>
    <row r="2812" spans="2:9" ht="16">
      <c r="B2812" s="24" t="s">
        <v>316</v>
      </c>
      <c r="C2812" s="24" t="s">
        <v>6</v>
      </c>
      <c r="D2812" s="24" t="s">
        <v>2338</v>
      </c>
      <c r="E2812" s="24" t="s">
        <v>8</v>
      </c>
      <c r="F2812" s="24" t="s">
        <v>9</v>
      </c>
      <c r="G2812" s="24" t="s">
        <v>8</v>
      </c>
      <c r="H2812" s="24" t="s">
        <v>2342</v>
      </c>
      <c r="I2812" s="27">
        <v>376.22</v>
      </c>
    </row>
    <row r="2813" spans="2:9" ht="16">
      <c r="B2813" s="24" t="s">
        <v>119</v>
      </c>
      <c r="C2813" s="24" t="s">
        <v>6</v>
      </c>
      <c r="D2813" s="24" t="s">
        <v>1630</v>
      </c>
      <c r="E2813" s="24" t="s">
        <v>8</v>
      </c>
      <c r="F2813" s="24" t="s">
        <v>9</v>
      </c>
      <c r="G2813" s="24" t="s">
        <v>8</v>
      </c>
      <c r="H2813" s="24" t="s">
        <v>2343</v>
      </c>
      <c r="I2813" s="27">
        <v>49.57</v>
      </c>
    </row>
    <row r="2814" spans="2:9" ht="16">
      <c r="B2814" s="24" t="s">
        <v>119</v>
      </c>
      <c r="C2814" s="24" t="s">
        <v>6</v>
      </c>
      <c r="D2814" s="24" t="s">
        <v>2178</v>
      </c>
      <c r="E2814" s="24" t="s">
        <v>8</v>
      </c>
      <c r="F2814" s="24" t="s">
        <v>9</v>
      </c>
      <c r="G2814" s="24" t="s">
        <v>8</v>
      </c>
      <c r="H2814" s="24" t="s">
        <v>2344</v>
      </c>
      <c r="I2814" s="27">
        <v>17.77</v>
      </c>
    </row>
    <row r="2815" spans="2:9" ht="16">
      <c r="B2815" s="24" t="s">
        <v>127</v>
      </c>
      <c r="C2815" s="24" t="s">
        <v>6</v>
      </c>
      <c r="D2815" s="24" t="s">
        <v>1086</v>
      </c>
      <c r="E2815" s="24" t="s">
        <v>8</v>
      </c>
      <c r="F2815" s="24" t="s">
        <v>9</v>
      </c>
      <c r="G2815" s="24" t="s">
        <v>8</v>
      </c>
      <c r="H2815" s="24" t="s">
        <v>2345</v>
      </c>
      <c r="I2815" s="27">
        <v>35.6</v>
      </c>
    </row>
    <row r="2816" spans="1:9" ht="16">
      <c r="A2816" s="35" t="s">
        <v>40</v>
      </c>
      <c r="I2816" s="28">
        <f>I2801+I2802+I2803+I2804+I2805+I2806+I2807+I2808+I2809+I2810+I2811+I2812+I2813+I2814+I2815</f>
        <v>1836.29</v>
      </c>
    </row>
    <row r="2817" spans="1:1" ht="16">
      <c r="A2817" s="34" t="s">
        <v>2330</v>
      </c>
    </row>
    <row r="2818" spans="2:9" ht="16">
      <c r="B2818" s="24" t="s">
        <v>1382</v>
      </c>
      <c r="C2818" s="24" t="s">
        <v>13</v>
      </c>
      <c r="D2818" s="24" t="s">
        <v>1383</v>
      </c>
      <c r="E2818" s="24" t="s">
        <v>2346</v>
      </c>
      <c r="F2818" s="24" t="s">
        <v>9</v>
      </c>
      <c r="G2818" s="24" t="s">
        <v>8</v>
      </c>
      <c r="H2818" s="24" t="s">
        <v>2347</v>
      </c>
      <c r="I2818" s="27">
        <v>1092.0</v>
      </c>
    </row>
    <row r="2819" spans="1:9" ht="16">
      <c r="A2819" s="35" t="s">
        <v>164</v>
      </c>
      <c r="I2819" s="28">
        <f>I2817+I2818</f>
        <v>1092.0</v>
      </c>
    </row>
    <row r="2820" spans="1:1" ht="16">
      <c r="A2820" s="34" t="s">
        <v>2330</v>
      </c>
    </row>
    <row r="2821" spans="2:9" ht="16">
      <c r="B2821" s="24" t="s">
        <v>8</v>
      </c>
      <c r="C2821" s="24" t="s">
        <v>6</v>
      </c>
      <c r="D2821" s="24" t="s">
        <v>1205</v>
      </c>
      <c r="E2821" s="24" t="s">
        <v>8</v>
      </c>
      <c r="F2821" s="24" t="s">
        <v>9</v>
      </c>
      <c r="G2821" s="24" t="s">
        <v>8</v>
      </c>
      <c r="H2821" s="24" t="s">
        <v>47</v>
      </c>
      <c r="I2821" s="27">
        <v>211.66</v>
      </c>
    </row>
    <row r="2822" spans="2:9" ht="16">
      <c r="B2822" s="24" t="s">
        <v>45</v>
      </c>
      <c r="C2822" s="24" t="s">
        <v>6</v>
      </c>
      <c r="D2822" s="24" t="s">
        <v>1596</v>
      </c>
      <c r="E2822" s="24" t="s">
        <v>8</v>
      </c>
      <c r="F2822" s="24" t="s">
        <v>9</v>
      </c>
      <c r="G2822" s="24" t="s">
        <v>8</v>
      </c>
      <c r="H2822" s="24" t="s">
        <v>47</v>
      </c>
      <c r="I2822" s="27">
        <v>291.28</v>
      </c>
    </row>
    <row r="2823" spans="1:9" ht="16">
      <c r="A2823" s="35" t="s">
        <v>50</v>
      </c>
      <c r="I2823" s="28">
        <f>I2820+I2821+I2822</f>
        <v>502.93999999999994</v>
      </c>
    </row>
    <row r="2824" spans="1:1" ht="16">
      <c r="A2824" s="34" t="s">
        <v>2330</v>
      </c>
    </row>
    <row r="2825" spans="2:9" ht="16">
      <c r="B2825" s="24" t="s">
        <v>961</v>
      </c>
      <c r="C2825" s="24" t="s">
        <v>6</v>
      </c>
      <c r="D2825" s="24" t="s">
        <v>1584</v>
      </c>
      <c r="E2825" s="24" t="s">
        <v>8</v>
      </c>
      <c r="F2825" s="24" t="s">
        <v>9</v>
      </c>
      <c r="G2825" s="24" t="s">
        <v>8</v>
      </c>
      <c r="H2825" s="24" t="s">
        <v>53</v>
      </c>
      <c r="I2825" s="27">
        <v>459.45</v>
      </c>
    </row>
    <row r="2826" spans="2:9" ht="16">
      <c r="B2826" s="24" t="s">
        <v>961</v>
      </c>
      <c r="C2826" s="24" t="s">
        <v>6</v>
      </c>
      <c r="D2826" s="24" t="s">
        <v>1538</v>
      </c>
      <c r="E2826" s="24" t="s">
        <v>8</v>
      </c>
      <c r="F2826" s="24" t="s">
        <v>9</v>
      </c>
      <c r="G2826" s="24" t="s">
        <v>8</v>
      </c>
      <c r="H2826" s="24" t="s">
        <v>53</v>
      </c>
      <c r="I2826" s="27">
        <v>601.02</v>
      </c>
    </row>
    <row r="2827" spans="2:9" ht="16">
      <c r="B2827" s="24" t="s">
        <v>961</v>
      </c>
      <c r="C2827" s="24" t="s">
        <v>6</v>
      </c>
      <c r="D2827" s="24" t="s">
        <v>1547</v>
      </c>
      <c r="E2827" s="24" t="s">
        <v>8</v>
      </c>
      <c r="F2827" s="24" t="s">
        <v>9</v>
      </c>
      <c r="G2827" s="24" t="s">
        <v>8</v>
      </c>
      <c r="H2827" s="24" t="s">
        <v>53</v>
      </c>
      <c r="I2827" s="27">
        <v>457.21</v>
      </c>
    </row>
    <row r="2828" spans="2:9" ht="16">
      <c r="B2828" s="24" t="s">
        <v>961</v>
      </c>
      <c r="C2828" s="24" t="s">
        <v>6</v>
      </c>
      <c r="D2828" s="24" t="s">
        <v>1581</v>
      </c>
      <c r="E2828" s="24" t="s">
        <v>8</v>
      </c>
      <c r="F2828" s="24" t="s">
        <v>9</v>
      </c>
      <c r="G2828" s="24" t="s">
        <v>8</v>
      </c>
      <c r="H2828" s="24" t="s">
        <v>53</v>
      </c>
      <c r="I2828" s="27">
        <v>3683.9</v>
      </c>
    </row>
    <row r="2829" spans="1:9" ht="16">
      <c r="A2829" s="35" t="s">
        <v>67</v>
      </c>
      <c r="I2829" s="28">
        <f>I2824+I2825+I2826+I2827+I2828</f>
        <v>5201.58</v>
      </c>
    </row>
    <row r="2830" spans="1:9" ht="16">
      <c r="A2830" s="36" t="s">
        <v>2348</v>
      </c>
      <c r="I2830" s="28">
        <f>I2816+I2819+I2823+I2829</f>
        <v>8632.81</v>
      </c>
    </row>
    <row r="2831" spans="1:1" ht="16">
      <c r="A2831" s="33" t="s">
        <v>172</v>
      </c>
    </row>
    <row r="2832" spans="1:1" ht="16">
      <c r="A2832" s="34" t="s">
        <v>2349</v>
      </c>
    </row>
    <row r="2833" spans="2:9" ht="16">
      <c r="B2833" s="24" t="s">
        <v>957</v>
      </c>
      <c r="C2833" s="24" t="s">
        <v>6</v>
      </c>
      <c r="D2833" s="24" t="s">
        <v>1628</v>
      </c>
      <c r="E2833" s="24" t="s">
        <v>8</v>
      </c>
      <c r="F2833" s="24" t="s">
        <v>9</v>
      </c>
      <c r="G2833" s="24" t="s">
        <v>8</v>
      </c>
      <c r="H2833" s="24" t="s">
        <v>958</v>
      </c>
      <c r="I2833" s="27">
        <v>395.0</v>
      </c>
    </row>
    <row r="2834" spans="2:9" ht="16">
      <c r="B2834" s="24" t="s">
        <v>957</v>
      </c>
      <c r="C2834" s="24" t="s">
        <v>6</v>
      </c>
      <c r="D2834" s="24" t="s">
        <v>2350</v>
      </c>
      <c r="E2834" s="24" t="s">
        <v>8</v>
      </c>
      <c r="F2834" s="24" t="s">
        <v>9</v>
      </c>
      <c r="G2834" s="24" t="s">
        <v>8</v>
      </c>
      <c r="H2834" s="24" t="s">
        <v>2351</v>
      </c>
      <c r="I2834" s="27">
        <v>395.0</v>
      </c>
    </row>
    <row r="2835" spans="2:9" ht="16">
      <c r="B2835" s="24" t="s">
        <v>957</v>
      </c>
      <c r="C2835" s="24" t="s">
        <v>6</v>
      </c>
      <c r="D2835" s="24" t="s">
        <v>1630</v>
      </c>
      <c r="E2835" s="24" t="s">
        <v>8</v>
      </c>
      <c r="F2835" s="24" t="s">
        <v>9</v>
      </c>
      <c r="G2835" s="24" t="s">
        <v>8</v>
      </c>
      <c r="H2835" s="24" t="s">
        <v>2352</v>
      </c>
      <c r="I2835" s="27">
        <v>395.0</v>
      </c>
    </row>
    <row r="2836" spans="1:9" ht="16">
      <c r="A2836" s="35" t="s">
        <v>81</v>
      </c>
      <c r="I2836" s="28">
        <f>I2832+I2833+I2834+I2835</f>
        <v>1185.0</v>
      </c>
    </row>
    <row r="2837" spans="1:1" ht="16">
      <c r="A2837" s="34" t="s">
        <v>2349</v>
      </c>
    </row>
    <row r="2838" spans="2:9" ht="16">
      <c r="B2838" s="24" t="s">
        <v>2353</v>
      </c>
      <c r="C2838" s="24" t="s">
        <v>6</v>
      </c>
      <c r="D2838" s="24" t="s">
        <v>2187</v>
      </c>
      <c r="E2838" s="24" t="s">
        <v>8</v>
      </c>
      <c r="F2838" s="24" t="s">
        <v>9</v>
      </c>
      <c r="G2838" s="24" t="s">
        <v>8</v>
      </c>
      <c r="H2838" s="24" t="s">
        <v>2354</v>
      </c>
      <c r="I2838" s="27">
        <v>330.0</v>
      </c>
    </row>
    <row r="2839" spans="2:9" ht="16">
      <c r="B2839" s="24" t="s">
        <v>589</v>
      </c>
      <c r="C2839" s="24" t="s">
        <v>6</v>
      </c>
      <c r="D2839" s="24" t="s">
        <v>1826</v>
      </c>
      <c r="E2839" s="24" t="s">
        <v>2355</v>
      </c>
      <c r="F2839" s="24" t="s">
        <v>9</v>
      </c>
      <c r="G2839" s="24" t="s">
        <v>8</v>
      </c>
      <c r="H2839" s="24" t="s">
        <v>2356</v>
      </c>
      <c r="I2839" s="27">
        <v>114.39</v>
      </c>
    </row>
    <row r="2840" spans="2:9" ht="16">
      <c r="B2840" s="24" t="s">
        <v>589</v>
      </c>
      <c r="C2840" s="24" t="s">
        <v>6</v>
      </c>
      <c r="D2840" s="24" t="s">
        <v>2072</v>
      </c>
      <c r="E2840" s="24" t="s">
        <v>8</v>
      </c>
      <c r="F2840" s="24" t="s">
        <v>9</v>
      </c>
      <c r="G2840" s="24" t="s">
        <v>8</v>
      </c>
      <c r="H2840" s="24" t="s">
        <v>2357</v>
      </c>
      <c r="I2840" s="27">
        <v>-20.12</v>
      </c>
    </row>
    <row r="2841" spans="2:9" ht="16">
      <c r="B2841" s="24" t="s">
        <v>589</v>
      </c>
      <c r="C2841" s="24" t="s">
        <v>6</v>
      </c>
      <c r="D2841" s="24" t="s">
        <v>2072</v>
      </c>
      <c r="E2841" s="24" t="s">
        <v>8</v>
      </c>
      <c r="F2841" s="24" t="s">
        <v>9</v>
      </c>
      <c r="G2841" s="24" t="s">
        <v>8</v>
      </c>
      <c r="H2841" s="24" t="s">
        <v>2357</v>
      </c>
      <c r="I2841" s="27">
        <v>20.12</v>
      </c>
    </row>
    <row r="2842" spans="2:9" ht="16">
      <c r="B2842" s="24" t="s">
        <v>589</v>
      </c>
      <c r="C2842" s="24" t="s">
        <v>6</v>
      </c>
      <c r="D2842" s="24" t="s">
        <v>1769</v>
      </c>
      <c r="E2842" s="24" t="s">
        <v>8</v>
      </c>
      <c r="F2842" s="24" t="s">
        <v>9</v>
      </c>
      <c r="G2842" s="24" t="s">
        <v>8</v>
      </c>
      <c r="H2842" s="24" t="s">
        <v>2358</v>
      </c>
      <c r="I2842" s="27">
        <v>-332.85</v>
      </c>
    </row>
    <row r="2843" spans="2:9" ht="16">
      <c r="B2843" s="24" t="s">
        <v>589</v>
      </c>
      <c r="C2843" s="24" t="s">
        <v>6</v>
      </c>
      <c r="D2843" s="24" t="s">
        <v>1769</v>
      </c>
      <c r="E2843" s="24" t="s">
        <v>8</v>
      </c>
      <c r="F2843" s="24" t="s">
        <v>9</v>
      </c>
      <c r="G2843" s="24" t="s">
        <v>8</v>
      </c>
      <c r="H2843" s="24" t="s">
        <v>2358</v>
      </c>
      <c r="I2843" s="27">
        <v>332.85</v>
      </c>
    </row>
    <row r="2844" spans="2:9" ht="16">
      <c r="B2844" s="24" t="s">
        <v>589</v>
      </c>
      <c r="C2844" s="24" t="s">
        <v>6</v>
      </c>
      <c r="D2844" s="24" t="s">
        <v>1205</v>
      </c>
      <c r="E2844" s="24" t="s">
        <v>2355</v>
      </c>
      <c r="F2844" s="24" t="s">
        <v>9</v>
      </c>
      <c r="G2844" s="24" t="s">
        <v>8</v>
      </c>
      <c r="H2844" s="24" t="s">
        <v>2359</v>
      </c>
      <c r="I2844" s="27">
        <v>32.79</v>
      </c>
    </row>
    <row r="2845" spans="2:9" ht="16">
      <c r="B2845" s="24" t="s">
        <v>589</v>
      </c>
      <c r="C2845" s="24" t="s">
        <v>6</v>
      </c>
      <c r="D2845" s="24" t="s">
        <v>2360</v>
      </c>
      <c r="E2845" s="24" t="s">
        <v>2355</v>
      </c>
      <c r="F2845" s="24" t="s">
        <v>9</v>
      </c>
      <c r="G2845" s="24" t="s">
        <v>8</v>
      </c>
      <c r="H2845" s="24" t="s">
        <v>2361</v>
      </c>
      <c r="I2845" s="27">
        <v>52.54</v>
      </c>
    </row>
    <row r="2846" spans="2:9" ht="16">
      <c r="B2846" s="24" t="s">
        <v>949</v>
      </c>
      <c r="C2846" s="24" t="s">
        <v>13</v>
      </c>
      <c r="D2846" s="24" t="s">
        <v>1506</v>
      </c>
      <c r="E2846" s="24" t="s">
        <v>2362</v>
      </c>
      <c r="F2846" s="24" t="s">
        <v>9</v>
      </c>
      <c r="G2846" s="24" t="s">
        <v>8</v>
      </c>
      <c r="H2846" s="24" t="s">
        <v>983</v>
      </c>
      <c r="I2846" s="27">
        <v>13221.16</v>
      </c>
    </row>
    <row r="2847" spans="2:9" ht="16">
      <c r="B2847" s="24" t="s">
        <v>119</v>
      </c>
      <c r="C2847" s="24" t="s">
        <v>6</v>
      </c>
      <c r="D2847" s="24" t="s">
        <v>2363</v>
      </c>
      <c r="E2847" s="24" t="s">
        <v>8</v>
      </c>
      <c r="F2847" s="24" t="s">
        <v>9</v>
      </c>
      <c r="G2847" s="24" t="s">
        <v>8</v>
      </c>
      <c r="H2847" s="24" t="s">
        <v>1001</v>
      </c>
      <c r="I2847" s="27">
        <v>43.75</v>
      </c>
    </row>
    <row r="2848" spans="2:9" ht="16">
      <c r="B2848" s="24" t="s">
        <v>119</v>
      </c>
      <c r="C2848" s="24" t="s">
        <v>6</v>
      </c>
      <c r="D2848" s="24" t="s">
        <v>2178</v>
      </c>
      <c r="E2848" s="24" t="s">
        <v>8</v>
      </c>
      <c r="F2848" s="24" t="s">
        <v>9</v>
      </c>
      <c r="G2848" s="24" t="s">
        <v>8</v>
      </c>
      <c r="H2848" s="24" t="s">
        <v>2364</v>
      </c>
      <c r="I2848" s="27">
        <v>45.3</v>
      </c>
    </row>
    <row r="2849" spans="2:9" ht="16">
      <c r="B2849" s="24" t="s">
        <v>589</v>
      </c>
      <c r="C2849" s="24" t="s">
        <v>6</v>
      </c>
      <c r="D2849" s="24" t="s">
        <v>2365</v>
      </c>
      <c r="E2849" s="24" t="s">
        <v>8</v>
      </c>
      <c r="F2849" s="24" t="s">
        <v>9</v>
      </c>
      <c r="G2849" s="24" t="s">
        <v>8</v>
      </c>
      <c r="H2849" s="24" t="s">
        <v>2366</v>
      </c>
      <c r="I2849" s="27">
        <v>291.7</v>
      </c>
    </row>
    <row r="2850" spans="2:9" ht="16">
      <c r="B2850" s="24" t="s">
        <v>36</v>
      </c>
      <c r="C2850" s="24" t="s">
        <v>6</v>
      </c>
      <c r="D2850" s="24" t="s">
        <v>2367</v>
      </c>
      <c r="E2850" s="24" t="s">
        <v>8</v>
      </c>
      <c r="F2850" s="24" t="s">
        <v>9</v>
      </c>
      <c r="G2850" s="24" t="s">
        <v>8</v>
      </c>
      <c r="H2850" s="24" t="s">
        <v>2368</v>
      </c>
      <c r="I2850" s="27">
        <v>201.75</v>
      </c>
    </row>
    <row r="2851" spans="2:9" ht="16">
      <c r="B2851" s="24" t="s">
        <v>8</v>
      </c>
      <c r="C2851" s="24" t="s">
        <v>139</v>
      </c>
      <c r="D2851" s="24" t="s">
        <v>2350</v>
      </c>
      <c r="E2851" s="24" t="s">
        <v>8</v>
      </c>
      <c r="F2851" s="24" t="s">
        <v>9</v>
      </c>
      <c r="G2851" s="24" t="s">
        <v>8</v>
      </c>
      <c r="H2851" s="24" t="s">
        <v>575</v>
      </c>
      <c r="I2851" s="27">
        <v>-207.99</v>
      </c>
    </row>
    <row r="2852" spans="2:9" ht="16">
      <c r="B2852" s="24" t="s">
        <v>493</v>
      </c>
      <c r="C2852" s="24" t="s">
        <v>13</v>
      </c>
      <c r="D2852" s="24" t="s">
        <v>1508</v>
      </c>
      <c r="E2852" s="24" t="s">
        <v>2369</v>
      </c>
      <c r="F2852" s="24" t="s">
        <v>9</v>
      </c>
      <c r="G2852" s="24" t="s">
        <v>8</v>
      </c>
      <c r="H2852" s="24" t="s">
        <v>2370</v>
      </c>
      <c r="I2852" s="27">
        <v>480.68</v>
      </c>
    </row>
    <row r="2853" spans="2:9" ht="16">
      <c r="B2853" s="24" t="s">
        <v>239</v>
      </c>
      <c r="C2853" s="24" t="s">
        <v>6</v>
      </c>
      <c r="D2853" s="24" t="s">
        <v>1927</v>
      </c>
      <c r="E2853" s="24" t="s">
        <v>8</v>
      </c>
      <c r="F2853" s="24" t="s">
        <v>9</v>
      </c>
      <c r="G2853" s="24" t="s">
        <v>8</v>
      </c>
      <c r="H2853" s="24" t="s">
        <v>2371</v>
      </c>
      <c r="I2853" s="27">
        <v>456.75</v>
      </c>
    </row>
    <row r="2854" spans="2:9" ht="16">
      <c r="B2854" s="24" t="s">
        <v>589</v>
      </c>
      <c r="C2854" s="24" t="s">
        <v>6</v>
      </c>
      <c r="D2854" s="24" t="s">
        <v>1633</v>
      </c>
      <c r="E2854" s="24" t="s">
        <v>8</v>
      </c>
      <c r="F2854" s="24" t="s">
        <v>9</v>
      </c>
      <c r="G2854" s="24" t="s">
        <v>8</v>
      </c>
      <c r="H2854" s="24" t="s">
        <v>2372</v>
      </c>
      <c r="I2854" s="27">
        <v>163.65</v>
      </c>
    </row>
    <row r="2855" spans="2:9" ht="16">
      <c r="B2855" s="24" t="s">
        <v>119</v>
      </c>
      <c r="C2855" s="24" t="s">
        <v>6</v>
      </c>
      <c r="D2855" s="24" t="s">
        <v>1553</v>
      </c>
      <c r="E2855" s="24" t="s">
        <v>8</v>
      </c>
      <c r="F2855" s="24" t="s">
        <v>9</v>
      </c>
      <c r="G2855" s="24" t="s">
        <v>8</v>
      </c>
      <c r="H2855" s="24" t="s">
        <v>2373</v>
      </c>
      <c r="I2855" s="27">
        <v>19.22</v>
      </c>
    </row>
    <row r="2856" spans="2:9" ht="16">
      <c r="B2856" s="24" t="s">
        <v>119</v>
      </c>
      <c r="C2856" s="24" t="s">
        <v>6</v>
      </c>
      <c r="D2856" s="24" t="s">
        <v>1553</v>
      </c>
      <c r="E2856" s="24" t="s">
        <v>8</v>
      </c>
      <c r="F2856" s="24" t="s">
        <v>9</v>
      </c>
      <c r="G2856" s="24" t="s">
        <v>8</v>
      </c>
      <c r="H2856" s="24" t="s">
        <v>2374</v>
      </c>
      <c r="I2856" s="27">
        <v>45.59</v>
      </c>
    </row>
    <row r="2857" spans="2:9" ht="16">
      <c r="B2857" s="24" t="s">
        <v>127</v>
      </c>
      <c r="C2857" s="24" t="s">
        <v>6</v>
      </c>
      <c r="D2857" s="24" t="s">
        <v>1553</v>
      </c>
      <c r="E2857" s="24" t="s">
        <v>8</v>
      </c>
      <c r="F2857" s="24" t="s">
        <v>9</v>
      </c>
      <c r="G2857" s="24" t="s">
        <v>8</v>
      </c>
      <c r="H2857" s="24" t="s">
        <v>2375</v>
      </c>
      <c r="I2857" s="27">
        <v>32.78</v>
      </c>
    </row>
    <row r="2858" spans="2:9" ht="16">
      <c r="B2858" s="24" t="s">
        <v>119</v>
      </c>
      <c r="C2858" s="24" t="s">
        <v>6</v>
      </c>
      <c r="D2858" s="24" t="s">
        <v>1508</v>
      </c>
      <c r="E2858" s="24" t="s">
        <v>8</v>
      </c>
      <c r="F2858" s="24" t="s">
        <v>9</v>
      </c>
      <c r="G2858" s="24" t="s">
        <v>8</v>
      </c>
      <c r="H2858" s="24" t="s">
        <v>2376</v>
      </c>
      <c r="I2858" s="27">
        <v>44.47</v>
      </c>
    </row>
    <row r="2859" spans="2:9" ht="16">
      <c r="B2859" s="24" t="s">
        <v>127</v>
      </c>
      <c r="C2859" s="24" t="s">
        <v>6</v>
      </c>
      <c r="D2859" s="24" t="s">
        <v>1628</v>
      </c>
      <c r="E2859" s="24" t="s">
        <v>8</v>
      </c>
      <c r="F2859" s="24" t="s">
        <v>9</v>
      </c>
      <c r="G2859" s="24" t="s">
        <v>8</v>
      </c>
      <c r="H2859" s="24" t="s">
        <v>2377</v>
      </c>
      <c r="I2859" s="27">
        <v>26.26</v>
      </c>
    </row>
    <row r="2860" spans="2:9" ht="16">
      <c r="B2860" s="24" t="s">
        <v>119</v>
      </c>
      <c r="C2860" s="24" t="s">
        <v>6</v>
      </c>
      <c r="D2860" s="24" t="s">
        <v>1581</v>
      </c>
      <c r="E2860" s="24" t="s">
        <v>8</v>
      </c>
      <c r="F2860" s="24" t="s">
        <v>9</v>
      </c>
      <c r="G2860" s="24" t="s">
        <v>8</v>
      </c>
      <c r="H2860" s="24" t="s">
        <v>2378</v>
      </c>
      <c r="I2860" s="27">
        <v>103.85</v>
      </c>
    </row>
    <row r="2861" spans="2:9" ht="16">
      <c r="B2861" s="24" t="s">
        <v>21</v>
      </c>
      <c r="C2861" s="24" t="s">
        <v>13</v>
      </c>
      <c r="D2861" s="24" t="s">
        <v>1516</v>
      </c>
      <c r="E2861" s="24" t="s">
        <v>2379</v>
      </c>
      <c r="F2861" s="24" t="s">
        <v>9</v>
      </c>
      <c r="G2861" s="24" t="s">
        <v>8</v>
      </c>
      <c r="H2861" s="24" t="s">
        <v>2380</v>
      </c>
      <c r="I2861" s="27">
        <v>229.7</v>
      </c>
    </row>
    <row r="2862" spans="2:9" ht="16">
      <c r="B2862" s="24" t="s">
        <v>119</v>
      </c>
      <c r="C2862" s="24" t="s">
        <v>6</v>
      </c>
      <c r="D2862" s="24" t="s">
        <v>1205</v>
      </c>
      <c r="E2862" s="24" t="s">
        <v>8</v>
      </c>
      <c r="F2862" s="24" t="s">
        <v>9</v>
      </c>
      <c r="G2862" s="24" t="s">
        <v>8</v>
      </c>
      <c r="H2862" s="24" t="s">
        <v>2381</v>
      </c>
      <c r="I2862" s="27">
        <v>107.25</v>
      </c>
    </row>
    <row r="2863" spans="2:9" ht="16">
      <c r="B2863" s="24" t="s">
        <v>2382</v>
      </c>
      <c r="C2863" s="24" t="s">
        <v>6</v>
      </c>
      <c r="D2863" s="24" t="s">
        <v>1205</v>
      </c>
      <c r="E2863" s="24" t="s">
        <v>2383</v>
      </c>
      <c r="F2863" s="24" t="s">
        <v>9</v>
      </c>
      <c r="G2863" s="24" t="s">
        <v>8</v>
      </c>
      <c r="H2863" s="24" t="s">
        <v>2384</v>
      </c>
      <c r="I2863" s="27">
        <v>87.56</v>
      </c>
    </row>
    <row r="2864" spans="2:9" ht="16">
      <c r="B2864" s="24" t="s">
        <v>119</v>
      </c>
      <c r="C2864" s="24" t="s">
        <v>6</v>
      </c>
      <c r="D2864" s="24" t="s">
        <v>1516</v>
      </c>
      <c r="E2864" s="24" t="s">
        <v>8</v>
      </c>
      <c r="F2864" s="24" t="s">
        <v>9</v>
      </c>
      <c r="G2864" s="24" t="s">
        <v>8</v>
      </c>
      <c r="H2864" s="24" t="s">
        <v>2385</v>
      </c>
      <c r="I2864" s="27">
        <v>6.14</v>
      </c>
    </row>
    <row r="2865" spans="2:9" ht="16">
      <c r="B2865" s="24" t="s">
        <v>119</v>
      </c>
      <c r="C2865" s="24" t="s">
        <v>6</v>
      </c>
      <c r="D2865" s="24" t="s">
        <v>2386</v>
      </c>
      <c r="E2865" s="24" t="s">
        <v>8</v>
      </c>
      <c r="F2865" s="24" t="s">
        <v>9</v>
      </c>
      <c r="G2865" s="24" t="s">
        <v>8</v>
      </c>
      <c r="H2865" s="24" t="s">
        <v>2387</v>
      </c>
      <c r="I2865" s="27">
        <v>1372.61</v>
      </c>
    </row>
    <row r="2866" spans="2:9" ht="16">
      <c r="B2866" s="24" t="s">
        <v>119</v>
      </c>
      <c r="C2866" s="24" t="s">
        <v>6</v>
      </c>
      <c r="D2866" s="24" t="s">
        <v>2386</v>
      </c>
      <c r="E2866" s="24" t="s">
        <v>8</v>
      </c>
      <c r="F2866" s="24" t="s">
        <v>9</v>
      </c>
      <c r="G2866" s="24" t="s">
        <v>8</v>
      </c>
      <c r="H2866" s="24" t="s">
        <v>2388</v>
      </c>
      <c r="I2866" s="27">
        <v>203.61</v>
      </c>
    </row>
    <row r="2867" spans="2:9" ht="16">
      <c r="B2867" s="24" t="s">
        <v>119</v>
      </c>
      <c r="C2867" s="24" t="s">
        <v>6</v>
      </c>
      <c r="D2867" s="24" t="s">
        <v>1506</v>
      </c>
      <c r="E2867" s="24" t="s">
        <v>8</v>
      </c>
      <c r="F2867" s="24" t="s">
        <v>9</v>
      </c>
      <c r="G2867" s="24" t="s">
        <v>8</v>
      </c>
      <c r="H2867" s="24" t="s">
        <v>2389</v>
      </c>
      <c r="I2867" s="27">
        <v>32.8</v>
      </c>
    </row>
    <row r="2868" spans="2:9" ht="16">
      <c r="B2868" s="24" t="s">
        <v>119</v>
      </c>
      <c r="C2868" s="24" t="s">
        <v>6</v>
      </c>
      <c r="D2868" s="24" t="s">
        <v>1769</v>
      </c>
      <c r="E2868" s="24" t="s">
        <v>8</v>
      </c>
      <c r="F2868" s="24" t="s">
        <v>9</v>
      </c>
      <c r="G2868" s="24" t="s">
        <v>8</v>
      </c>
      <c r="H2868" s="24" t="s">
        <v>2390</v>
      </c>
      <c r="I2868" s="27">
        <v>26.26</v>
      </c>
    </row>
    <row r="2869" spans="2:9" ht="16">
      <c r="B2869" s="24" t="s">
        <v>119</v>
      </c>
      <c r="C2869" s="24" t="s">
        <v>6</v>
      </c>
      <c r="D2869" s="24" t="s">
        <v>2205</v>
      </c>
      <c r="E2869" s="24" t="s">
        <v>8</v>
      </c>
      <c r="F2869" s="24" t="s">
        <v>9</v>
      </c>
      <c r="G2869" s="24" t="s">
        <v>8</v>
      </c>
      <c r="H2869" s="24" t="s">
        <v>2391</v>
      </c>
      <c r="I2869" s="27">
        <v>131.74</v>
      </c>
    </row>
    <row r="2870" spans="2:9" ht="16">
      <c r="B2870" s="24" t="s">
        <v>119</v>
      </c>
      <c r="C2870" s="24" t="s">
        <v>6</v>
      </c>
      <c r="D2870" s="24" t="s">
        <v>2205</v>
      </c>
      <c r="E2870" s="24" t="s">
        <v>8</v>
      </c>
      <c r="F2870" s="24" t="s">
        <v>9</v>
      </c>
      <c r="G2870" s="24" t="s">
        <v>8</v>
      </c>
      <c r="H2870" s="24" t="s">
        <v>2392</v>
      </c>
      <c r="I2870" s="27">
        <v>31.13</v>
      </c>
    </row>
    <row r="2871" spans="2:9" ht="16">
      <c r="B2871" s="24" t="s">
        <v>119</v>
      </c>
      <c r="C2871" s="24" t="s">
        <v>6</v>
      </c>
      <c r="D2871" s="24" t="s">
        <v>2009</v>
      </c>
      <c r="E2871" s="24" t="s">
        <v>8</v>
      </c>
      <c r="F2871" s="24" t="s">
        <v>9</v>
      </c>
      <c r="G2871" s="24" t="s">
        <v>8</v>
      </c>
      <c r="H2871" s="24" t="s">
        <v>2393</v>
      </c>
      <c r="I2871" s="27">
        <v>108.82</v>
      </c>
    </row>
    <row r="2872" spans="2:9" ht="16">
      <c r="B2872" s="24" t="s">
        <v>119</v>
      </c>
      <c r="C2872" s="24" t="s">
        <v>6</v>
      </c>
      <c r="D2872" s="24" t="s">
        <v>1969</v>
      </c>
      <c r="E2872" s="24" t="s">
        <v>8</v>
      </c>
      <c r="F2872" s="24" t="s">
        <v>9</v>
      </c>
      <c r="G2872" s="24" t="s">
        <v>8</v>
      </c>
      <c r="H2872" s="24" t="s">
        <v>2394</v>
      </c>
      <c r="I2872" s="27">
        <v>105.58</v>
      </c>
    </row>
    <row r="2873" spans="2:9" ht="16">
      <c r="B2873" s="24" t="s">
        <v>2130</v>
      </c>
      <c r="C2873" s="24" t="s">
        <v>6</v>
      </c>
      <c r="D2873" s="24" t="s">
        <v>2053</v>
      </c>
      <c r="E2873" s="24" t="s">
        <v>8</v>
      </c>
      <c r="F2873" s="24" t="s">
        <v>9</v>
      </c>
      <c r="G2873" s="24" t="s">
        <v>8</v>
      </c>
      <c r="H2873" s="24" t="s">
        <v>2394</v>
      </c>
      <c r="I2873" s="27">
        <v>51.15</v>
      </c>
    </row>
    <row r="2874" spans="2:9" ht="16">
      <c r="B2874" s="24" t="s">
        <v>119</v>
      </c>
      <c r="C2874" s="24" t="s">
        <v>6</v>
      </c>
      <c r="D2874" s="24" t="s">
        <v>1826</v>
      </c>
      <c r="E2874" s="24" t="s">
        <v>8</v>
      </c>
      <c r="F2874" s="24" t="s">
        <v>9</v>
      </c>
      <c r="G2874" s="24" t="s">
        <v>8</v>
      </c>
      <c r="H2874" s="24" t="s">
        <v>2394</v>
      </c>
      <c r="I2874" s="27">
        <v>47.56</v>
      </c>
    </row>
    <row r="2875" spans="2:9" ht="16">
      <c r="B2875" s="24" t="s">
        <v>119</v>
      </c>
      <c r="C2875" s="24" t="s">
        <v>6</v>
      </c>
      <c r="D2875" s="24" t="s">
        <v>1683</v>
      </c>
      <c r="E2875" s="24" t="s">
        <v>8</v>
      </c>
      <c r="F2875" s="24" t="s">
        <v>9</v>
      </c>
      <c r="G2875" s="24" t="s">
        <v>8</v>
      </c>
      <c r="H2875" s="24" t="s">
        <v>2395</v>
      </c>
      <c r="I2875" s="27">
        <v>28.57</v>
      </c>
    </row>
    <row r="2876" spans="2:9" ht="16">
      <c r="B2876" s="24" t="s">
        <v>8</v>
      </c>
      <c r="C2876" s="24" t="s">
        <v>139</v>
      </c>
      <c r="D2876" s="24" t="s">
        <v>962</v>
      </c>
      <c r="E2876" s="24" t="s">
        <v>8</v>
      </c>
      <c r="F2876" s="24" t="s">
        <v>9</v>
      </c>
      <c r="G2876" s="24" t="s">
        <v>8</v>
      </c>
      <c r="H2876" s="24" t="s">
        <v>2395</v>
      </c>
      <c r="I2876" s="27">
        <v>-43.49</v>
      </c>
    </row>
    <row r="2877" spans="2:9" ht="16">
      <c r="B2877" s="24" t="s">
        <v>8</v>
      </c>
      <c r="C2877" s="24" t="s">
        <v>139</v>
      </c>
      <c r="D2877" s="24" t="s">
        <v>1587</v>
      </c>
      <c r="E2877" s="24" t="s">
        <v>8</v>
      </c>
      <c r="F2877" s="24" t="s">
        <v>9</v>
      </c>
      <c r="G2877" s="24" t="s">
        <v>8</v>
      </c>
      <c r="H2877" s="24" t="s">
        <v>2395</v>
      </c>
      <c r="I2877" s="27">
        <v>-123.73</v>
      </c>
    </row>
    <row r="2878" spans="2:9" ht="16">
      <c r="B2878" s="24" t="s">
        <v>2130</v>
      </c>
      <c r="C2878" s="24" t="s">
        <v>6</v>
      </c>
      <c r="D2878" s="24" t="s">
        <v>2053</v>
      </c>
      <c r="E2878" s="24" t="s">
        <v>8</v>
      </c>
      <c r="F2878" s="24" t="s">
        <v>9</v>
      </c>
      <c r="G2878" s="24" t="s">
        <v>8</v>
      </c>
      <c r="H2878" s="24" t="s">
        <v>2396</v>
      </c>
      <c r="I2878" s="27">
        <v>4.98</v>
      </c>
    </row>
    <row r="2879" spans="2:9" ht="16">
      <c r="B2879" s="24" t="s">
        <v>119</v>
      </c>
      <c r="C2879" s="24" t="s">
        <v>6</v>
      </c>
      <c r="D2879" s="24" t="s">
        <v>1969</v>
      </c>
      <c r="E2879" s="24" t="s">
        <v>8</v>
      </c>
      <c r="F2879" s="24" t="s">
        <v>9</v>
      </c>
      <c r="G2879" s="24" t="s">
        <v>8</v>
      </c>
      <c r="H2879" s="24" t="s">
        <v>1100</v>
      </c>
      <c r="I2879" s="27">
        <v>8.74</v>
      </c>
    </row>
    <row r="2880" spans="2:9" ht="16">
      <c r="B2880" s="24" t="s">
        <v>119</v>
      </c>
      <c r="C2880" s="24" t="s">
        <v>6</v>
      </c>
      <c r="D2880" s="24" t="s">
        <v>1966</v>
      </c>
      <c r="E2880" s="24" t="s">
        <v>8</v>
      </c>
      <c r="F2880" s="24" t="s">
        <v>9</v>
      </c>
      <c r="G2880" s="24" t="s">
        <v>8</v>
      </c>
      <c r="H2880" s="24" t="s">
        <v>577</v>
      </c>
      <c r="I2880" s="27">
        <v>667.0</v>
      </c>
    </row>
    <row r="2881" spans="2:9" ht="16">
      <c r="B2881" s="24" t="s">
        <v>119</v>
      </c>
      <c r="C2881" s="24" t="s">
        <v>6</v>
      </c>
      <c r="D2881" s="24" t="s">
        <v>2386</v>
      </c>
      <c r="E2881" s="24" t="s">
        <v>8</v>
      </c>
      <c r="F2881" s="24" t="s">
        <v>9</v>
      </c>
      <c r="G2881" s="24" t="s">
        <v>8</v>
      </c>
      <c r="H2881" s="24" t="s">
        <v>644</v>
      </c>
      <c r="I2881" s="27">
        <v>942.6</v>
      </c>
    </row>
    <row r="2882" spans="2:9" ht="16">
      <c r="B2882" s="24" t="s">
        <v>8</v>
      </c>
      <c r="C2882" s="24" t="s">
        <v>139</v>
      </c>
      <c r="D2882" s="24" t="s">
        <v>1966</v>
      </c>
      <c r="E2882" s="24" t="s">
        <v>8</v>
      </c>
      <c r="F2882" s="24" t="s">
        <v>9</v>
      </c>
      <c r="G2882" s="24" t="s">
        <v>8</v>
      </c>
      <c r="H2882" s="24" t="s">
        <v>644</v>
      </c>
      <c r="I2882" s="27">
        <v>-115.0</v>
      </c>
    </row>
    <row r="2883" spans="2:9" ht="16">
      <c r="B2883" s="24" t="s">
        <v>119</v>
      </c>
      <c r="C2883" s="24" t="s">
        <v>6</v>
      </c>
      <c r="D2883" s="24" t="s">
        <v>1602</v>
      </c>
      <c r="E2883" s="24" t="s">
        <v>8</v>
      </c>
      <c r="F2883" s="24" t="s">
        <v>9</v>
      </c>
      <c r="G2883" s="24" t="s">
        <v>8</v>
      </c>
      <c r="H2883" s="24" t="s">
        <v>2397</v>
      </c>
      <c r="I2883" s="27">
        <v>108.5</v>
      </c>
    </row>
    <row r="2884" spans="2:9" ht="16">
      <c r="B2884" s="24" t="s">
        <v>119</v>
      </c>
      <c r="C2884" s="24" t="s">
        <v>6</v>
      </c>
      <c r="D2884" s="24" t="s">
        <v>1896</v>
      </c>
      <c r="E2884" s="24" t="s">
        <v>8</v>
      </c>
      <c r="F2884" s="24" t="s">
        <v>9</v>
      </c>
      <c r="G2884" s="24" t="s">
        <v>8</v>
      </c>
      <c r="H2884" s="24" t="s">
        <v>2398</v>
      </c>
      <c r="I2884" s="27">
        <v>1261.93</v>
      </c>
    </row>
    <row r="2885" spans="2:9" ht="16">
      <c r="B2885" s="24" t="s">
        <v>119</v>
      </c>
      <c r="C2885" s="24" t="s">
        <v>6</v>
      </c>
      <c r="D2885" s="24" t="s">
        <v>2187</v>
      </c>
      <c r="E2885" s="24" t="s">
        <v>8</v>
      </c>
      <c r="F2885" s="24" t="s">
        <v>9</v>
      </c>
      <c r="G2885" s="24" t="s">
        <v>8</v>
      </c>
      <c r="H2885" s="24" t="s">
        <v>649</v>
      </c>
      <c r="I2885" s="27">
        <v>30.0</v>
      </c>
    </row>
    <row r="2886" spans="2:9" ht="16">
      <c r="B2886" s="24" t="s">
        <v>119</v>
      </c>
      <c r="C2886" s="24" t="s">
        <v>6</v>
      </c>
      <c r="D2886" s="24" t="s">
        <v>2009</v>
      </c>
      <c r="E2886" s="24" t="s">
        <v>8</v>
      </c>
      <c r="F2886" s="24" t="s">
        <v>9</v>
      </c>
      <c r="G2886" s="24" t="s">
        <v>8</v>
      </c>
      <c r="H2886" s="24" t="s">
        <v>2399</v>
      </c>
      <c r="I2886" s="27">
        <v>14.65</v>
      </c>
    </row>
    <row r="2887" spans="2:9" ht="16">
      <c r="B2887" s="24" t="s">
        <v>8</v>
      </c>
      <c r="C2887" s="24" t="s">
        <v>6</v>
      </c>
      <c r="D2887" s="24" t="s">
        <v>1980</v>
      </c>
      <c r="E2887" s="24" t="s">
        <v>8</v>
      </c>
      <c r="F2887" s="24" t="s">
        <v>9</v>
      </c>
      <c r="G2887" s="24" t="s">
        <v>8</v>
      </c>
      <c r="H2887" s="24" t="s">
        <v>2399</v>
      </c>
      <c r="I2887" s="27">
        <v>9.01</v>
      </c>
    </row>
    <row r="2888" spans="2:9" ht="16">
      <c r="B2888" s="24" t="s">
        <v>119</v>
      </c>
      <c r="C2888" s="24" t="s">
        <v>6</v>
      </c>
      <c r="D2888" s="24" t="s">
        <v>1205</v>
      </c>
      <c r="E2888" s="24" t="s">
        <v>8</v>
      </c>
      <c r="F2888" s="24" t="s">
        <v>9</v>
      </c>
      <c r="G2888" s="24" t="s">
        <v>8</v>
      </c>
      <c r="H2888" s="24" t="s">
        <v>2400</v>
      </c>
      <c r="I2888" s="27">
        <v>29.04</v>
      </c>
    </row>
    <row r="2889" spans="2:9" ht="16">
      <c r="B2889" s="24" t="s">
        <v>127</v>
      </c>
      <c r="C2889" s="24" t="s">
        <v>6</v>
      </c>
      <c r="D2889" s="24" t="s">
        <v>2174</v>
      </c>
      <c r="E2889" s="24" t="s">
        <v>8</v>
      </c>
      <c r="F2889" s="24" t="s">
        <v>9</v>
      </c>
      <c r="G2889" s="24" t="s">
        <v>8</v>
      </c>
      <c r="H2889" s="24" t="s">
        <v>655</v>
      </c>
      <c r="I2889" s="27">
        <v>37.24</v>
      </c>
    </row>
    <row r="2890" spans="2:9" ht="16">
      <c r="B2890" s="24" t="s">
        <v>119</v>
      </c>
      <c r="C2890" s="24" t="s">
        <v>6</v>
      </c>
      <c r="D2890" s="24" t="s">
        <v>962</v>
      </c>
      <c r="E2890" s="24" t="s">
        <v>8</v>
      </c>
      <c r="F2890" s="24" t="s">
        <v>9</v>
      </c>
      <c r="G2890" s="24" t="s">
        <v>8</v>
      </c>
      <c r="H2890" s="24" t="s">
        <v>8</v>
      </c>
      <c r="I2890" s="27">
        <v>281.99</v>
      </c>
    </row>
    <row r="2891" spans="2:9" ht="16">
      <c r="B2891" s="24" t="s">
        <v>119</v>
      </c>
      <c r="C2891" s="24" t="s">
        <v>6</v>
      </c>
      <c r="D2891" s="24" t="s">
        <v>1822</v>
      </c>
      <c r="E2891" s="24" t="s">
        <v>8</v>
      </c>
      <c r="F2891" s="24" t="s">
        <v>9</v>
      </c>
      <c r="G2891" s="24" t="s">
        <v>8</v>
      </c>
      <c r="H2891" s="24" t="s">
        <v>8</v>
      </c>
      <c r="I2891" s="27">
        <v>131.55</v>
      </c>
    </row>
    <row r="2892" spans="1:9" ht="16">
      <c r="A2892" s="35" t="s">
        <v>40</v>
      </c>
      <c r="I2892" s="28">
        <f>I2837+I2838+I2839+I2840+I2841+I2842+I2843+I2844+I2845+I2846+I2847+I2848+I2849+I2850+I2851+I2852+I2853+I2854+I2855+I2856+I2857+I2858+I2859+I2860+I2861+I2862+I2863+I2864+I2865+I2866+I2867+I2868+I2869+I2870+I2871+I2872+I2873+I2874+I2875+I2876+I2877+I2878+I2879+I2880+I2881+I2882+I2883+I2884+I2885+I2886+I2887+I2888+I2889+I2890+I2891</f>
        <v>21314.130000000005</v>
      </c>
    </row>
    <row r="2893" spans="1:1" ht="16">
      <c r="A2893" s="34" t="s">
        <v>2349</v>
      </c>
    </row>
    <row r="2894" spans="2:9" ht="16">
      <c r="B2894" s="24" t="s">
        <v>589</v>
      </c>
      <c r="C2894" s="24" t="s">
        <v>6</v>
      </c>
      <c r="D2894" s="24" t="s">
        <v>2360</v>
      </c>
      <c r="E2894" s="24" t="s">
        <v>2355</v>
      </c>
      <c r="F2894" s="24" t="s">
        <v>9</v>
      </c>
      <c r="G2894" s="24" t="s">
        <v>8</v>
      </c>
      <c r="H2894" s="24" t="s">
        <v>2401</v>
      </c>
      <c r="I2894" s="27">
        <v>8.42</v>
      </c>
    </row>
    <row r="2895" spans="2:9" ht="16">
      <c r="B2895" s="24" t="s">
        <v>589</v>
      </c>
      <c r="C2895" s="24" t="s">
        <v>6</v>
      </c>
      <c r="D2895" s="24" t="s">
        <v>2021</v>
      </c>
      <c r="E2895" s="24" t="s">
        <v>8</v>
      </c>
      <c r="F2895" s="24" t="s">
        <v>9</v>
      </c>
      <c r="G2895" s="24" t="s">
        <v>8</v>
      </c>
      <c r="H2895" s="24" t="s">
        <v>2402</v>
      </c>
      <c r="I2895" s="27">
        <v>56.29</v>
      </c>
    </row>
    <row r="2896" spans="2:9" ht="16">
      <c r="B2896" s="24" t="s">
        <v>589</v>
      </c>
      <c r="C2896" s="24" t="s">
        <v>6</v>
      </c>
      <c r="D2896" s="24" t="s">
        <v>2021</v>
      </c>
      <c r="E2896" s="24" t="s">
        <v>8</v>
      </c>
      <c r="F2896" s="24" t="s">
        <v>9</v>
      </c>
      <c r="G2896" s="24" t="s">
        <v>8</v>
      </c>
      <c r="H2896" s="24" t="s">
        <v>2402</v>
      </c>
      <c r="I2896" s="27">
        <v>-56.29</v>
      </c>
    </row>
    <row r="2897" spans="2:9" ht="16">
      <c r="B2897" s="24" t="s">
        <v>119</v>
      </c>
      <c r="C2897" s="24" t="s">
        <v>6</v>
      </c>
      <c r="D2897" s="24" t="s">
        <v>2174</v>
      </c>
      <c r="E2897" s="24" t="s">
        <v>8</v>
      </c>
      <c r="F2897" s="24" t="s">
        <v>9</v>
      </c>
      <c r="G2897" s="24" t="s">
        <v>8</v>
      </c>
      <c r="H2897" s="24" t="s">
        <v>2394</v>
      </c>
      <c r="I2897" s="27">
        <v>56.87</v>
      </c>
    </row>
    <row r="2898" spans="2:9" ht="16">
      <c r="B2898" s="24" t="s">
        <v>119</v>
      </c>
      <c r="C2898" s="24" t="s">
        <v>6</v>
      </c>
      <c r="D2898" s="24" t="s">
        <v>2174</v>
      </c>
      <c r="E2898" s="24" t="s">
        <v>8</v>
      </c>
      <c r="F2898" s="24" t="s">
        <v>9</v>
      </c>
      <c r="G2898" s="24" t="s">
        <v>8</v>
      </c>
      <c r="H2898" s="24" t="s">
        <v>2394</v>
      </c>
      <c r="I2898" s="27">
        <v>20.78</v>
      </c>
    </row>
    <row r="2899" spans="2:9" ht="16">
      <c r="B2899" s="24" t="s">
        <v>119</v>
      </c>
      <c r="C2899" s="24" t="s">
        <v>6</v>
      </c>
      <c r="D2899" s="24" t="s">
        <v>2004</v>
      </c>
      <c r="E2899" s="24" t="s">
        <v>8</v>
      </c>
      <c r="F2899" s="24" t="s">
        <v>9</v>
      </c>
      <c r="G2899" s="24" t="s">
        <v>8</v>
      </c>
      <c r="H2899" s="24" t="s">
        <v>2394</v>
      </c>
      <c r="I2899" s="27">
        <v>24.35</v>
      </c>
    </row>
    <row r="2900" spans="2:9" ht="16">
      <c r="B2900" s="24" t="s">
        <v>119</v>
      </c>
      <c r="C2900" s="24" t="s">
        <v>6</v>
      </c>
      <c r="D2900" s="24" t="s">
        <v>1826</v>
      </c>
      <c r="E2900" s="24" t="s">
        <v>8</v>
      </c>
      <c r="F2900" s="24" t="s">
        <v>9</v>
      </c>
      <c r="G2900" s="24" t="s">
        <v>8</v>
      </c>
      <c r="H2900" s="24" t="s">
        <v>2394</v>
      </c>
      <c r="I2900" s="27">
        <v>37.67</v>
      </c>
    </row>
    <row r="2901" spans="2:9" ht="16">
      <c r="B2901" s="24" t="s">
        <v>119</v>
      </c>
      <c r="C2901" s="24" t="s">
        <v>6</v>
      </c>
      <c r="D2901" s="24" t="s">
        <v>2174</v>
      </c>
      <c r="E2901" s="24" t="s">
        <v>8</v>
      </c>
      <c r="F2901" s="24" t="s">
        <v>9</v>
      </c>
      <c r="G2901" s="24" t="s">
        <v>8</v>
      </c>
      <c r="H2901" s="24" t="s">
        <v>2394</v>
      </c>
      <c r="I2901" s="27">
        <v>185.95</v>
      </c>
    </row>
    <row r="2902" spans="2:9" ht="16">
      <c r="B2902" s="24" t="s">
        <v>119</v>
      </c>
      <c r="C2902" s="24" t="s">
        <v>6</v>
      </c>
      <c r="D2902" s="24" t="s">
        <v>1969</v>
      </c>
      <c r="E2902" s="24" t="s">
        <v>8</v>
      </c>
      <c r="F2902" s="24" t="s">
        <v>9</v>
      </c>
      <c r="G2902" s="24" t="s">
        <v>8</v>
      </c>
      <c r="H2902" s="24" t="s">
        <v>2045</v>
      </c>
      <c r="I2902" s="27">
        <v>462.58</v>
      </c>
    </row>
    <row r="2903" spans="1:9" ht="16">
      <c r="A2903" s="35" t="s">
        <v>267</v>
      </c>
      <c r="I2903" s="28">
        <f>I2893+I2894+I2895+I2896+I2897+I2898+I2899+I2900+I2901+I2902</f>
        <v>796.6199999999999</v>
      </c>
    </row>
    <row r="2904" spans="1:1" ht="16">
      <c r="A2904" s="34" t="s">
        <v>2349</v>
      </c>
    </row>
    <row r="2905" spans="2:9" ht="16">
      <c r="B2905" s="24" t="s">
        <v>633</v>
      </c>
      <c r="C2905" s="24" t="s">
        <v>13</v>
      </c>
      <c r="D2905" s="24" t="s">
        <v>1827</v>
      </c>
      <c r="E2905" s="24" t="s">
        <v>2403</v>
      </c>
      <c r="F2905" s="24" t="s">
        <v>9</v>
      </c>
      <c r="G2905" s="24" t="s">
        <v>8</v>
      </c>
      <c r="H2905" s="24" t="s">
        <v>2404</v>
      </c>
      <c r="I2905" s="27">
        <v>5145.26</v>
      </c>
    </row>
    <row r="2906" spans="2:9" ht="16">
      <c r="B2906" s="24" t="s">
        <v>1382</v>
      </c>
      <c r="C2906" s="24" t="s">
        <v>13</v>
      </c>
      <c r="D2906" s="24" t="s">
        <v>1666</v>
      </c>
      <c r="E2906" s="24" t="s">
        <v>308</v>
      </c>
      <c r="F2906" s="24" t="s">
        <v>9</v>
      </c>
      <c r="G2906" s="24" t="s">
        <v>8</v>
      </c>
      <c r="H2906" s="24" t="s">
        <v>2405</v>
      </c>
      <c r="I2906" s="27">
        <v>12290.0</v>
      </c>
    </row>
    <row r="2907" spans="2:9" ht="16">
      <c r="B2907" s="24" t="s">
        <v>2406</v>
      </c>
      <c r="C2907" s="24" t="s">
        <v>13</v>
      </c>
      <c r="D2907" s="24" t="s">
        <v>1516</v>
      </c>
      <c r="E2907" s="24" t="s">
        <v>2407</v>
      </c>
      <c r="F2907" s="24" t="s">
        <v>9</v>
      </c>
      <c r="G2907" s="24" t="s">
        <v>8</v>
      </c>
      <c r="H2907" s="24" t="s">
        <v>2408</v>
      </c>
      <c r="I2907" s="27">
        <v>350.0</v>
      </c>
    </row>
    <row r="2908" spans="1:9" ht="16">
      <c r="A2908" s="35" t="s">
        <v>164</v>
      </c>
      <c r="I2908" s="28">
        <f>I2904+I2905+I2906+I2907</f>
        <v>17785.260000000002</v>
      </c>
    </row>
    <row r="2909" spans="1:1" ht="16">
      <c r="A2909" s="34" t="s">
        <v>2349</v>
      </c>
    </row>
    <row r="2910" spans="2:9" ht="16">
      <c r="B2910" s="24" t="s">
        <v>8</v>
      </c>
      <c r="C2910" s="24" t="s">
        <v>6</v>
      </c>
      <c r="D2910" s="24" t="s">
        <v>1673</v>
      </c>
      <c r="E2910" s="24" t="s">
        <v>8</v>
      </c>
      <c r="F2910" s="24" t="s">
        <v>9</v>
      </c>
      <c r="G2910" s="24" t="s">
        <v>8</v>
      </c>
      <c r="H2910" s="24" t="s">
        <v>47</v>
      </c>
      <c r="I2910" s="27">
        <v>1350.48</v>
      </c>
    </row>
    <row r="2911" spans="2:9" ht="16">
      <c r="B2911" s="24" t="s">
        <v>45</v>
      </c>
      <c r="C2911" s="24" t="s">
        <v>6</v>
      </c>
      <c r="D2911" s="24" t="s">
        <v>1596</v>
      </c>
      <c r="E2911" s="24" t="s">
        <v>8</v>
      </c>
      <c r="F2911" s="24" t="s">
        <v>9</v>
      </c>
      <c r="G2911" s="24" t="s">
        <v>8</v>
      </c>
      <c r="H2911" s="24" t="s">
        <v>47</v>
      </c>
      <c r="I2911" s="27">
        <v>1562.32</v>
      </c>
    </row>
    <row r="2912" spans="2:9" ht="16">
      <c r="B2912" s="24" t="s">
        <v>8</v>
      </c>
      <c r="C2912" s="24" t="s">
        <v>6</v>
      </c>
      <c r="D2912" s="24" t="s">
        <v>1597</v>
      </c>
      <c r="E2912" s="24" t="s">
        <v>8</v>
      </c>
      <c r="F2912" s="24" t="s">
        <v>9</v>
      </c>
      <c r="G2912" s="24" t="s">
        <v>8</v>
      </c>
      <c r="H2912" s="24" t="s">
        <v>47</v>
      </c>
      <c r="I2912" s="27">
        <v>4686.96</v>
      </c>
    </row>
    <row r="2913" spans="2:9" ht="16">
      <c r="B2913" s="24" t="s">
        <v>45</v>
      </c>
      <c r="C2913" s="24" t="s">
        <v>13</v>
      </c>
      <c r="D2913" s="24" t="s">
        <v>1674</v>
      </c>
      <c r="E2913" s="24" t="s">
        <v>8</v>
      </c>
      <c r="F2913" s="24" t="s">
        <v>9</v>
      </c>
      <c r="G2913" s="24" t="s">
        <v>8</v>
      </c>
      <c r="H2913" s="24" t="s">
        <v>8</v>
      </c>
      <c r="I2913" s="27">
        <v>98.95</v>
      </c>
    </row>
    <row r="2914" spans="1:9" ht="16">
      <c r="A2914" s="35" t="s">
        <v>50</v>
      </c>
      <c r="I2914" s="28">
        <f>I2909+I2910+I2911+I2912+I2913</f>
        <v>7698.71</v>
      </c>
    </row>
    <row r="2915" spans="1:1" ht="16">
      <c r="A2915" s="34" t="s">
        <v>2349</v>
      </c>
    </row>
    <row r="2916" spans="2:9" ht="16">
      <c r="B2916" s="24" t="s">
        <v>961</v>
      </c>
      <c r="C2916" s="24" t="s">
        <v>6</v>
      </c>
      <c r="D2916" s="24" t="s">
        <v>1596</v>
      </c>
      <c r="E2916" s="24" t="s">
        <v>8</v>
      </c>
      <c r="F2916" s="24" t="s">
        <v>9</v>
      </c>
      <c r="G2916" s="24" t="s">
        <v>8</v>
      </c>
      <c r="H2916" s="24" t="s">
        <v>53</v>
      </c>
      <c r="I2916" s="27">
        <v>561.0</v>
      </c>
    </row>
    <row r="2917" spans="2:9" ht="16">
      <c r="B2917" s="24" t="s">
        <v>961</v>
      </c>
      <c r="C2917" s="24" t="s">
        <v>6</v>
      </c>
      <c r="D2917" s="24" t="s">
        <v>1584</v>
      </c>
      <c r="E2917" s="24" t="s">
        <v>8</v>
      </c>
      <c r="F2917" s="24" t="s">
        <v>9</v>
      </c>
      <c r="G2917" s="24" t="s">
        <v>8</v>
      </c>
      <c r="H2917" s="24" t="s">
        <v>53</v>
      </c>
      <c r="I2917" s="27">
        <v>1334.62</v>
      </c>
    </row>
    <row r="2918" spans="2:9" ht="16">
      <c r="B2918" s="24" t="s">
        <v>961</v>
      </c>
      <c r="C2918" s="24" t="s">
        <v>6</v>
      </c>
      <c r="D2918" s="24" t="s">
        <v>1682</v>
      </c>
      <c r="E2918" s="24" t="s">
        <v>8</v>
      </c>
      <c r="F2918" s="24" t="s">
        <v>9</v>
      </c>
      <c r="G2918" s="24" t="s">
        <v>8</v>
      </c>
      <c r="H2918" s="24" t="s">
        <v>53</v>
      </c>
      <c r="I2918" s="27">
        <v>1991.89</v>
      </c>
    </row>
    <row r="2919" spans="2:9" ht="16">
      <c r="B2919" s="24" t="s">
        <v>961</v>
      </c>
      <c r="C2919" s="24" t="s">
        <v>6</v>
      </c>
      <c r="D2919" s="24" t="s">
        <v>1961</v>
      </c>
      <c r="E2919" s="24" t="s">
        <v>8</v>
      </c>
      <c r="F2919" s="24" t="s">
        <v>9</v>
      </c>
      <c r="G2919" s="24" t="s">
        <v>8</v>
      </c>
      <c r="H2919" s="24" t="s">
        <v>53</v>
      </c>
      <c r="I2919" s="27">
        <v>350.28</v>
      </c>
    </row>
    <row r="2920" spans="2:9" ht="16">
      <c r="B2920" s="24" t="s">
        <v>961</v>
      </c>
      <c r="C2920" s="24" t="s">
        <v>6</v>
      </c>
      <c r="D2920" s="24" t="s">
        <v>1603</v>
      </c>
      <c r="E2920" s="24" t="s">
        <v>8</v>
      </c>
      <c r="F2920" s="24" t="s">
        <v>9</v>
      </c>
      <c r="G2920" s="24" t="s">
        <v>8</v>
      </c>
      <c r="H2920" s="24" t="s">
        <v>53</v>
      </c>
      <c r="I2920" s="27">
        <v>2220.2</v>
      </c>
    </row>
    <row r="2921" spans="2:9" ht="16">
      <c r="B2921" s="24" t="s">
        <v>961</v>
      </c>
      <c r="C2921" s="24" t="s">
        <v>6</v>
      </c>
      <c r="D2921" s="24" t="s">
        <v>1827</v>
      </c>
      <c r="E2921" s="24" t="s">
        <v>8</v>
      </c>
      <c r="F2921" s="24" t="s">
        <v>9</v>
      </c>
      <c r="G2921" s="24" t="s">
        <v>8</v>
      </c>
      <c r="H2921" s="24" t="s">
        <v>53</v>
      </c>
      <c r="I2921" s="27">
        <v>3819.42</v>
      </c>
    </row>
    <row r="2922" spans="2:9" ht="16">
      <c r="B2922" s="24" t="s">
        <v>961</v>
      </c>
      <c r="C2922" s="24" t="s">
        <v>6</v>
      </c>
      <c r="D2922" s="24" t="s">
        <v>962</v>
      </c>
      <c r="E2922" s="24" t="s">
        <v>8</v>
      </c>
      <c r="F2922" s="24" t="s">
        <v>9</v>
      </c>
      <c r="G2922" s="24" t="s">
        <v>8</v>
      </c>
      <c r="H2922" s="24" t="s">
        <v>53</v>
      </c>
      <c r="I2922" s="27">
        <v>3649.58</v>
      </c>
    </row>
    <row r="2923" spans="2:9" ht="16">
      <c r="B2923" s="24" t="s">
        <v>961</v>
      </c>
      <c r="C2923" s="24" t="s">
        <v>6</v>
      </c>
      <c r="D2923" s="24" t="s">
        <v>1826</v>
      </c>
      <c r="E2923" s="24" t="s">
        <v>8</v>
      </c>
      <c r="F2923" s="24" t="s">
        <v>9</v>
      </c>
      <c r="G2923" s="24" t="s">
        <v>8</v>
      </c>
      <c r="H2923" s="24" t="s">
        <v>53</v>
      </c>
      <c r="I2923" s="27">
        <v>1106.92</v>
      </c>
    </row>
    <row r="2924" spans="2:9" ht="16">
      <c r="B2924" s="24" t="s">
        <v>961</v>
      </c>
      <c r="C2924" s="24" t="s">
        <v>6</v>
      </c>
      <c r="D2924" s="24" t="s">
        <v>1683</v>
      </c>
      <c r="E2924" s="24" t="s">
        <v>8</v>
      </c>
      <c r="F2924" s="24" t="s">
        <v>9</v>
      </c>
      <c r="G2924" s="24" t="s">
        <v>8</v>
      </c>
      <c r="H2924" s="24" t="s">
        <v>53</v>
      </c>
      <c r="I2924" s="27">
        <v>909.59</v>
      </c>
    </row>
    <row r="2925" spans="1:9" ht="16">
      <c r="A2925" s="35" t="s">
        <v>67</v>
      </c>
      <c r="I2925" s="28">
        <f>I2915+I2916+I2917+I2918+I2919+I2920+I2921+I2922+I2923+I2924</f>
        <v>15943.5</v>
      </c>
    </row>
    <row r="2926" spans="1:9" ht="16">
      <c r="A2926" s="36" t="s">
        <v>2409</v>
      </c>
      <c r="I2926" s="28">
        <f>I2836+I2892+I2903+I2908+I2914+I2925</f>
        <v>64723.22000000001</v>
      </c>
    </row>
    <row r="2927" spans="1:1" ht="16">
      <c r="A2927" s="33" t="s">
        <v>324</v>
      </c>
    </row>
    <row r="2928" spans="1:1" ht="16">
      <c r="A2928" s="34" t="s">
        <v>2410</v>
      </c>
    </row>
    <row r="2929" spans="2:9" ht="16">
      <c r="B2929" s="24" t="s">
        <v>21</v>
      </c>
      <c r="C2929" s="24" t="s">
        <v>13</v>
      </c>
      <c r="D2929" s="24" t="s">
        <v>1545</v>
      </c>
      <c r="E2929" s="24" t="s">
        <v>2411</v>
      </c>
      <c r="F2929" s="24" t="s">
        <v>9</v>
      </c>
      <c r="G2929" s="24" t="s">
        <v>8</v>
      </c>
      <c r="H2929" s="24" t="s">
        <v>2412</v>
      </c>
      <c r="I2929" s="27">
        <v>886.0</v>
      </c>
    </row>
    <row r="2930" spans="2:9" ht="16">
      <c r="B2930" s="24" t="s">
        <v>119</v>
      </c>
      <c r="C2930" s="24" t="s">
        <v>6</v>
      </c>
      <c r="D2930" s="24" t="s">
        <v>1965</v>
      </c>
      <c r="E2930" s="24" t="s">
        <v>8</v>
      </c>
      <c r="F2930" s="24" t="s">
        <v>9</v>
      </c>
      <c r="G2930" s="24" t="s">
        <v>8</v>
      </c>
      <c r="H2930" s="24" t="s">
        <v>2413</v>
      </c>
      <c r="I2930" s="27">
        <v>134.25</v>
      </c>
    </row>
    <row r="2931" spans="2:9" ht="16">
      <c r="B2931" s="24" t="s">
        <v>21</v>
      </c>
      <c r="C2931" s="24" t="s">
        <v>13</v>
      </c>
      <c r="D2931" s="24" t="s">
        <v>1516</v>
      </c>
      <c r="E2931" s="24" t="s">
        <v>2414</v>
      </c>
      <c r="F2931" s="24" t="s">
        <v>9</v>
      </c>
      <c r="G2931" s="24" t="s">
        <v>8</v>
      </c>
      <c r="H2931" s="24" t="s">
        <v>2415</v>
      </c>
      <c r="I2931" s="27">
        <v>602.25</v>
      </c>
    </row>
    <row r="2932" spans="1:9" ht="16">
      <c r="A2932" s="35" t="s">
        <v>40</v>
      </c>
      <c r="I2932" s="28">
        <f>I2928+I2929+I2930+I2931</f>
        <v>1622.5</v>
      </c>
    </row>
    <row r="2933" spans="1:1" ht="16">
      <c r="A2933" s="34" t="s">
        <v>2410</v>
      </c>
    </row>
    <row r="2934" spans="2:9" ht="16">
      <c r="B2934" s="24" t="s">
        <v>1382</v>
      </c>
      <c r="C2934" s="24" t="s">
        <v>13</v>
      </c>
      <c r="D2934" s="24" t="s">
        <v>1597</v>
      </c>
      <c r="E2934" s="24" t="s">
        <v>2416</v>
      </c>
      <c r="F2934" s="24" t="s">
        <v>9</v>
      </c>
      <c r="G2934" s="24" t="s">
        <v>8</v>
      </c>
      <c r="H2934" s="24" t="s">
        <v>163</v>
      </c>
      <c r="I2934" s="27">
        <v>4100.0</v>
      </c>
    </row>
    <row r="2935" spans="1:9" ht="16">
      <c r="A2935" s="35" t="s">
        <v>164</v>
      </c>
      <c r="I2935" s="28">
        <f>I2933+I2934</f>
        <v>4100.0</v>
      </c>
    </row>
    <row r="2936" spans="1:1" ht="16">
      <c r="A2936" s="34" t="s">
        <v>2410</v>
      </c>
    </row>
    <row r="2937" spans="2:9" ht="16">
      <c r="B2937" s="24" t="s">
        <v>8</v>
      </c>
      <c r="C2937" s="24" t="s">
        <v>6</v>
      </c>
      <c r="D2937" s="24" t="s">
        <v>1597</v>
      </c>
      <c r="E2937" s="24" t="s">
        <v>8</v>
      </c>
      <c r="F2937" s="24" t="s">
        <v>9</v>
      </c>
      <c r="G2937" s="24" t="s">
        <v>8</v>
      </c>
      <c r="H2937" s="24" t="s">
        <v>47</v>
      </c>
      <c r="I2937" s="27">
        <v>529.6</v>
      </c>
    </row>
    <row r="2938" spans="2:9" ht="16">
      <c r="B2938" s="24" t="s">
        <v>45</v>
      </c>
      <c r="C2938" s="24" t="s">
        <v>6</v>
      </c>
      <c r="D2938" s="24" t="s">
        <v>1596</v>
      </c>
      <c r="E2938" s="24" t="s">
        <v>8</v>
      </c>
      <c r="F2938" s="24" t="s">
        <v>9</v>
      </c>
      <c r="G2938" s="24" t="s">
        <v>8</v>
      </c>
      <c r="H2938" s="24" t="s">
        <v>47</v>
      </c>
      <c r="I2938" s="27">
        <v>1059.2</v>
      </c>
    </row>
    <row r="2939" spans="1:9" ht="16">
      <c r="A2939" s="35" t="s">
        <v>50</v>
      </c>
      <c r="I2939" s="28">
        <f>I2936+I2937+I2938</f>
        <v>1588.8000000000002</v>
      </c>
    </row>
    <row r="2940" spans="1:1" ht="16">
      <c r="A2940" s="34" t="s">
        <v>2410</v>
      </c>
    </row>
    <row r="2941" spans="2:9" ht="16">
      <c r="B2941" s="24" t="s">
        <v>961</v>
      </c>
      <c r="C2941" s="24" t="s">
        <v>6</v>
      </c>
      <c r="D2941" s="24" t="s">
        <v>1603</v>
      </c>
      <c r="E2941" s="24" t="s">
        <v>8</v>
      </c>
      <c r="F2941" s="24" t="s">
        <v>9</v>
      </c>
      <c r="G2941" s="24" t="s">
        <v>8</v>
      </c>
      <c r="H2941" s="24" t="s">
        <v>53</v>
      </c>
      <c r="I2941" s="27">
        <v>1077.72</v>
      </c>
    </row>
    <row r="2942" spans="2:9" ht="16">
      <c r="B2942" s="24" t="s">
        <v>961</v>
      </c>
      <c r="C2942" s="24" t="s">
        <v>6</v>
      </c>
      <c r="D2942" s="24" t="s">
        <v>1602</v>
      </c>
      <c r="E2942" s="24" t="s">
        <v>8</v>
      </c>
      <c r="F2942" s="24" t="s">
        <v>9</v>
      </c>
      <c r="G2942" s="24" t="s">
        <v>8</v>
      </c>
      <c r="H2942" s="24" t="s">
        <v>53</v>
      </c>
      <c r="I2942" s="27">
        <v>251.42</v>
      </c>
    </row>
    <row r="2943" spans="2:9" ht="16">
      <c r="B2943" s="24" t="s">
        <v>961</v>
      </c>
      <c r="C2943" s="24" t="s">
        <v>6</v>
      </c>
      <c r="D2943" s="24" t="s">
        <v>1584</v>
      </c>
      <c r="E2943" s="24" t="s">
        <v>8</v>
      </c>
      <c r="F2943" s="24" t="s">
        <v>9</v>
      </c>
      <c r="G2943" s="24" t="s">
        <v>8</v>
      </c>
      <c r="H2943" s="24" t="s">
        <v>53</v>
      </c>
      <c r="I2943" s="27">
        <v>1517.89</v>
      </c>
    </row>
    <row r="2944" spans="2:9" ht="16">
      <c r="B2944" s="24" t="s">
        <v>961</v>
      </c>
      <c r="C2944" s="24" t="s">
        <v>6</v>
      </c>
      <c r="D2944" s="24" t="s">
        <v>1596</v>
      </c>
      <c r="E2944" s="24" t="s">
        <v>8</v>
      </c>
      <c r="F2944" s="24" t="s">
        <v>9</v>
      </c>
      <c r="G2944" s="24" t="s">
        <v>8</v>
      </c>
      <c r="H2944" s="24" t="s">
        <v>53</v>
      </c>
      <c r="I2944" s="27">
        <v>1009.93</v>
      </c>
    </row>
    <row r="2945" spans="1:9" ht="16">
      <c r="A2945" s="35" t="s">
        <v>67</v>
      </c>
      <c r="I2945" s="28">
        <f>I2940+I2941+I2942+I2943+I2944</f>
        <v>3856.96</v>
      </c>
    </row>
    <row r="2946" spans="1:9" ht="16">
      <c r="A2946" s="36" t="s">
        <v>2417</v>
      </c>
      <c r="I2946" s="28">
        <f>I2932+I2935+I2939+I2945</f>
        <v>11168.26</v>
      </c>
    </row>
    <row r="2947" spans="1:1" ht="16">
      <c r="A2947" s="33" t="s">
        <v>324</v>
      </c>
    </row>
    <row r="2948" spans="1:1" ht="16">
      <c r="A2948" s="34" t="s">
        <v>2418</v>
      </c>
    </row>
    <row r="2949" spans="2:9" ht="16">
      <c r="B2949" s="24" t="s">
        <v>36</v>
      </c>
      <c r="C2949" s="24" t="s">
        <v>6</v>
      </c>
      <c r="D2949" s="24" t="s">
        <v>1553</v>
      </c>
      <c r="E2949" s="24" t="s">
        <v>8</v>
      </c>
      <c r="F2949" s="24" t="s">
        <v>9</v>
      </c>
      <c r="G2949" s="24" t="s">
        <v>8</v>
      </c>
      <c r="H2949" s="24" t="s">
        <v>2419</v>
      </c>
      <c r="I2949" s="27">
        <v>111.62</v>
      </c>
    </row>
    <row r="2950" spans="2:9" ht="16">
      <c r="B2950" s="24" t="s">
        <v>119</v>
      </c>
      <c r="C2950" s="24" t="s">
        <v>6</v>
      </c>
      <c r="D2950" s="24" t="s">
        <v>1545</v>
      </c>
      <c r="E2950" s="24" t="s">
        <v>8</v>
      </c>
      <c r="F2950" s="24" t="s">
        <v>9</v>
      </c>
      <c r="G2950" s="24" t="s">
        <v>8</v>
      </c>
      <c r="H2950" s="24" t="s">
        <v>2420</v>
      </c>
      <c r="I2950" s="27">
        <v>25.58</v>
      </c>
    </row>
    <row r="2951" spans="1:9" ht="16">
      <c r="A2951" s="35" t="s">
        <v>40</v>
      </c>
      <c r="I2951" s="28">
        <f>I2948+I2949+I2950</f>
        <v>137.2</v>
      </c>
    </row>
    <row r="2952" spans="1:1" ht="16">
      <c r="A2952" s="34" t="s">
        <v>2418</v>
      </c>
    </row>
    <row r="2953" spans="2:9" ht="16">
      <c r="B2953" s="24" t="s">
        <v>45</v>
      </c>
      <c r="C2953" s="24" t="s">
        <v>6</v>
      </c>
      <c r="D2953" s="24" t="s">
        <v>1596</v>
      </c>
      <c r="E2953" s="24" t="s">
        <v>8</v>
      </c>
      <c r="F2953" s="24" t="s">
        <v>9</v>
      </c>
      <c r="G2953" s="24" t="s">
        <v>8</v>
      </c>
      <c r="H2953" s="24" t="s">
        <v>47</v>
      </c>
      <c r="I2953" s="27">
        <v>185.36</v>
      </c>
    </row>
    <row r="2954" spans="1:9" ht="16">
      <c r="A2954" s="35" t="s">
        <v>50</v>
      </c>
      <c r="I2954" s="28">
        <f>I2952+I2953</f>
        <v>185.36</v>
      </c>
    </row>
    <row r="2955" spans="1:1" ht="16">
      <c r="A2955" s="34" t="s">
        <v>2418</v>
      </c>
    </row>
    <row r="2956" spans="2:9" ht="16">
      <c r="B2956" s="24" t="s">
        <v>961</v>
      </c>
      <c r="C2956" s="24" t="s">
        <v>6</v>
      </c>
      <c r="D2956" s="24" t="s">
        <v>1603</v>
      </c>
      <c r="E2956" s="24" t="s">
        <v>8</v>
      </c>
      <c r="F2956" s="24" t="s">
        <v>9</v>
      </c>
      <c r="G2956" s="24" t="s">
        <v>8</v>
      </c>
      <c r="H2956" s="24" t="s">
        <v>53</v>
      </c>
      <c r="I2956" s="27">
        <v>364.66</v>
      </c>
    </row>
    <row r="2957" spans="1:9" ht="16">
      <c r="A2957" s="35" t="s">
        <v>67</v>
      </c>
      <c r="I2957" s="28">
        <f>I2955+I2956</f>
        <v>364.66</v>
      </c>
    </row>
    <row r="2958" spans="1:9" ht="16">
      <c r="A2958" s="36" t="s">
        <v>2421</v>
      </c>
      <c r="I2958" s="28">
        <f>I2951+I2954+I2957</f>
        <v>687.22</v>
      </c>
    </row>
    <row r="2959" spans="1:1" ht="16">
      <c r="A2959" s="33" t="s">
        <v>324</v>
      </c>
    </row>
    <row r="2960" spans="1:1" ht="16">
      <c r="A2960" s="34" t="s">
        <v>2422</v>
      </c>
    </row>
    <row r="2961" spans="2:9" ht="16">
      <c r="B2961" s="24" t="s">
        <v>119</v>
      </c>
      <c r="C2961" s="24" t="s">
        <v>6</v>
      </c>
      <c r="D2961" s="24" t="s">
        <v>1966</v>
      </c>
      <c r="E2961" s="24" t="s">
        <v>8</v>
      </c>
      <c r="F2961" s="24" t="s">
        <v>9</v>
      </c>
      <c r="G2961" s="24" t="s">
        <v>8</v>
      </c>
      <c r="H2961" s="24" t="s">
        <v>2423</v>
      </c>
      <c r="I2961" s="27">
        <v>248.06</v>
      </c>
    </row>
    <row r="2962" spans="2:9" ht="16">
      <c r="B2962" s="24" t="s">
        <v>119</v>
      </c>
      <c r="C2962" s="24" t="s">
        <v>6</v>
      </c>
      <c r="D2962" s="24" t="s">
        <v>2424</v>
      </c>
      <c r="E2962" s="24" t="s">
        <v>8</v>
      </c>
      <c r="F2962" s="24" t="s">
        <v>9</v>
      </c>
      <c r="G2962" s="24" t="s">
        <v>8</v>
      </c>
      <c r="H2962" s="24" t="s">
        <v>649</v>
      </c>
      <c r="I2962" s="27">
        <v>24.09</v>
      </c>
    </row>
    <row r="2963" spans="2:9" ht="16">
      <c r="B2963" s="24" t="s">
        <v>86</v>
      </c>
      <c r="C2963" s="24" t="s">
        <v>13</v>
      </c>
      <c r="D2963" s="24" t="s">
        <v>2424</v>
      </c>
      <c r="E2963" s="24" t="s">
        <v>2425</v>
      </c>
      <c r="F2963" s="24" t="s">
        <v>9</v>
      </c>
      <c r="G2963" s="24" t="s">
        <v>8</v>
      </c>
      <c r="H2963" s="24" t="s">
        <v>8</v>
      </c>
      <c r="I2963" s="27">
        <v>276.85</v>
      </c>
    </row>
    <row r="2964" spans="1:9" ht="16">
      <c r="A2964" s="35" t="s">
        <v>40</v>
      </c>
      <c r="I2964" s="28">
        <f>I2960+I2961+I2962+I2963</f>
        <v>549.0</v>
      </c>
    </row>
    <row r="2965" spans="1:1" ht="16">
      <c r="A2965" s="34" t="s">
        <v>2422</v>
      </c>
    </row>
    <row r="2966" spans="2:9" ht="16">
      <c r="B2966" s="24" t="s">
        <v>1382</v>
      </c>
      <c r="C2966" s="24" t="s">
        <v>13</v>
      </c>
      <c r="D2966" s="24" t="s">
        <v>1930</v>
      </c>
      <c r="E2966" s="24" t="s">
        <v>2426</v>
      </c>
      <c r="F2966" s="24" t="s">
        <v>9</v>
      </c>
      <c r="G2966" s="24" t="s">
        <v>8</v>
      </c>
      <c r="H2966" s="24" t="s">
        <v>2427</v>
      </c>
      <c r="I2966" s="27">
        <v>630.0</v>
      </c>
    </row>
    <row r="2967" spans="1:9" ht="16">
      <c r="A2967" s="35" t="s">
        <v>164</v>
      </c>
      <c r="I2967" s="28">
        <f>I2965+I2966</f>
        <v>630.0</v>
      </c>
    </row>
    <row r="2968" spans="1:1" ht="16">
      <c r="A2968" s="34" t="s">
        <v>2422</v>
      </c>
    </row>
    <row r="2969" spans="2:9" ht="16">
      <c r="B2969" s="24" t="s">
        <v>8</v>
      </c>
      <c r="C2969" s="24" t="s">
        <v>6</v>
      </c>
      <c r="D2969" s="24" t="s">
        <v>1673</v>
      </c>
      <c r="E2969" s="24" t="s">
        <v>8</v>
      </c>
      <c r="F2969" s="24" t="s">
        <v>9</v>
      </c>
      <c r="G2969" s="24" t="s">
        <v>8</v>
      </c>
      <c r="H2969" s="24" t="s">
        <v>47</v>
      </c>
      <c r="I2969" s="27">
        <v>26.48</v>
      </c>
    </row>
    <row r="2970" spans="2:9" ht="16">
      <c r="B2970" s="24" t="s">
        <v>8</v>
      </c>
      <c r="C2970" s="24" t="s">
        <v>6</v>
      </c>
      <c r="D2970" s="24" t="s">
        <v>1597</v>
      </c>
      <c r="E2970" s="24" t="s">
        <v>8</v>
      </c>
      <c r="F2970" s="24" t="s">
        <v>9</v>
      </c>
      <c r="G2970" s="24" t="s">
        <v>8</v>
      </c>
      <c r="H2970" s="24" t="s">
        <v>47</v>
      </c>
      <c r="I2970" s="27">
        <v>436.92</v>
      </c>
    </row>
    <row r="2971" spans="2:9" ht="16">
      <c r="B2971" s="24" t="s">
        <v>45</v>
      </c>
      <c r="C2971" s="24" t="s">
        <v>6</v>
      </c>
      <c r="D2971" s="24" t="s">
        <v>1596</v>
      </c>
      <c r="E2971" s="24" t="s">
        <v>8</v>
      </c>
      <c r="F2971" s="24" t="s">
        <v>9</v>
      </c>
      <c r="G2971" s="24" t="s">
        <v>8</v>
      </c>
      <c r="H2971" s="24" t="s">
        <v>47</v>
      </c>
      <c r="I2971" s="27">
        <v>79.44</v>
      </c>
    </row>
    <row r="2972" spans="1:9" ht="16">
      <c r="A2972" s="35" t="s">
        <v>50</v>
      </c>
      <c r="I2972" s="28">
        <f>I2968+I2969+I2970+I2971</f>
        <v>542.84</v>
      </c>
    </row>
    <row r="2973" spans="1:1" ht="16">
      <c r="A2973" s="34" t="s">
        <v>2422</v>
      </c>
    </row>
    <row r="2974" spans="2:9" ht="16">
      <c r="B2974" s="24" t="s">
        <v>961</v>
      </c>
      <c r="C2974" s="24" t="s">
        <v>6</v>
      </c>
      <c r="D2974" s="24" t="s">
        <v>1827</v>
      </c>
      <c r="E2974" s="24" t="s">
        <v>8</v>
      </c>
      <c r="F2974" s="24" t="s">
        <v>9</v>
      </c>
      <c r="G2974" s="24" t="s">
        <v>8</v>
      </c>
      <c r="H2974" s="24" t="s">
        <v>53</v>
      </c>
      <c r="I2974" s="27">
        <v>791.62</v>
      </c>
    </row>
    <row r="2975" spans="2:9" ht="16">
      <c r="B2975" s="24" t="s">
        <v>961</v>
      </c>
      <c r="C2975" s="24" t="s">
        <v>6</v>
      </c>
      <c r="D2975" s="24" t="s">
        <v>1596</v>
      </c>
      <c r="E2975" s="24" t="s">
        <v>8</v>
      </c>
      <c r="F2975" s="24" t="s">
        <v>9</v>
      </c>
      <c r="G2975" s="24" t="s">
        <v>8</v>
      </c>
      <c r="H2975" s="24" t="s">
        <v>53</v>
      </c>
      <c r="I2975" s="27">
        <v>52.03</v>
      </c>
    </row>
    <row r="2976" spans="2:9" ht="16">
      <c r="B2976" s="24" t="s">
        <v>961</v>
      </c>
      <c r="C2976" s="24" t="s">
        <v>6</v>
      </c>
      <c r="D2976" s="24" t="s">
        <v>1683</v>
      </c>
      <c r="E2976" s="24" t="s">
        <v>8</v>
      </c>
      <c r="F2976" s="24" t="s">
        <v>9</v>
      </c>
      <c r="G2976" s="24" t="s">
        <v>8</v>
      </c>
      <c r="H2976" s="24" t="s">
        <v>53</v>
      </c>
      <c r="I2976" s="27">
        <v>49.35</v>
      </c>
    </row>
    <row r="2977" spans="2:9" ht="16">
      <c r="B2977" s="24" t="s">
        <v>961</v>
      </c>
      <c r="C2977" s="24" t="s">
        <v>6</v>
      </c>
      <c r="D2977" s="24" t="s">
        <v>1584</v>
      </c>
      <c r="E2977" s="24" t="s">
        <v>8</v>
      </c>
      <c r="F2977" s="24" t="s">
        <v>9</v>
      </c>
      <c r="G2977" s="24" t="s">
        <v>8</v>
      </c>
      <c r="H2977" s="24" t="s">
        <v>53</v>
      </c>
      <c r="I2977" s="27">
        <v>226.06</v>
      </c>
    </row>
    <row r="2978" spans="1:9" ht="16">
      <c r="A2978" s="35" t="s">
        <v>67</v>
      </c>
      <c r="I2978" s="28">
        <f>I2973+I2974+I2975+I2976+I2977</f>
        <v>1119.06</v>
      </c>
    </row>
    <row r="2979" spans="1:9" ht="16">
      <c r="A2979" s="36" t="s">
        <v>2428</v>
      </c>
      <c r="I2979" s="28">
        <f>I2964+I2967+I2972+I2978</f>
        <v>2840.9</v>
      </c>
    </row>
    <row r="2980" spans="1:1" ht="16">
      <c r="A2980" s="33" t="s">
        <v>383</v>
      </c>
    </row>
    <row r="2981" spans="1:1" ht="16">
      <c r="A2981" s="34" t="s">
        <v>2429</v>
      </c>
    </row>
    <row r="2982" spans="2:9" ht="16">
      <c r="B2982" s="24" t="s">
        <v>45</v>
      </c>
      <c r="C2982" s="24" t="s">
        <v>6</v>
      </c>
      <c r="D2982" s="24" t="s">
        <v>1596</v>
      </c>
      <c r="E2982" s="24" t="s">
        <v>8</v>
      </c>
      <c r="F2982" s="24" t="s">
        <v>9</v>
      </c>
      <c r="G2982" s="24" t="s">
        <v>8</v>
      </c>
      <c r="H2982" s="24" t="s">
        <v>47</v>
      </c>
      <c r="I2982" s="27">
        <v>26.48</v>
      </c>
    </row>
    <row r="2983" spans="1:9" ht="16">
      <c r="A2983" s="35" t="s">
        <v>50</v>
      </c>
      <c r="I2983" s="28">
        <f>I2981+I2982</f>
        <v>26.48</v>
      </c>
    </row>
    <row r="2984" spans="1:1" ht="16">
      <c r="A2984" s="34" t="s">
        <v>2429</v>
      </c>
    </row>
    <row r="2985" spans="2:9" ht="16">
      <c r="B2985" s="24" t="s">
        <v>961</v>
      </c>
      <c r="C2985" s="24" t="s">
        <v>6</v>
      </c>
      <c r="D2985" s="24" t="s">
        <v>1602</v>
      </c>
      <c r="E2985" s="24" t="s">
        <v>8</v>
      </c>
      <c r="F2985" s="24" t="s">
        <v>9</v>
      </c>
      <c r="G2985" s="24" t="s">
        <v>8</v>
      </c>
      <c r="H2985" s="24" t="s">
        <v>2430</v>
      </c>
      <c r="I2985" s="27">
        <v>156.08</v>
      </c>
    </row>
    <row r="2986" spans="1:9" ht="16">
      <c r="A2986" s="35" t="s">
        <v>67</v>
      </c>
      <c r="I2986" s="28">
        <f>I2984+I2985</f>
        <v>156.08</v>
      </c>
    </row>
    <row r="2987" spans="1:9" ht="16">
      <c r="A2987" s="36" t="s">
        <v>2431</v>
      </c>
      <c r="I2987" s="28">
        <f>I2983+I2986</f>
        <v>182.56</v>
      </c>
    </row>
    <row r="2988" spans="1:1" ht="16">
      <c r="A2988" s="33" t="s">
        <v>324</v>
      </c>
    </row>
    <row r="2989" spans="1:1" ht="16">
      <c r="A2989" s="34" t="s">
        <v>2432</v>
      </c>
    </row>
    <row r="2990" spans="2:9" ht="16">
      <c r="B2990" s="24" t="s">
        <v>21</v>
      </c>
      <c r="C2990" s="24" t="s">
        <v>13</v>
      </c>
      <c r="D2990" s="24" t="s">
        <v>1685</v>
      </c>
      <c r="E2990" s="24" t="s">
        <v>2433</v>
      </c>
      <c r="F2990" s="24" t="s">
        <v>9</v>
      </c>
      <c r="G2990" s="24" t="s">
        <v>8</v>
      </c>
      <c r="H2990" s="24" t="s">
        <v>837</v>
      </c>
      <c r="I2990" s="27">
        <v>332.81</v>
      </c>
    </row>
    <row r="2991" spans="2:9" ht="16">
      <c r="B2991" s="24" t="s">
        <v>36</v>
      </c>
      <c r="C2991" s="24" t="s">
        <v>6</v>
      </c>
      <c r="D2991" s="24" t="s">
        <v>2049</v>
      </c>
      <c r="E2991" s="24" t="s">
        <v>8</v>
      </c>
      <c r="F2991" s="24" t="s">
        <v>9</v>
      </c>
      <c r="G2991" s="24" t="s">
        <v>8</v>
      </c>
      <c r="H2991" s="24" t="s">
        <v>2434</v>
      </c>
      <c r="I2991" s="27">
        <v>165.68</v>
      </c>
    </row>
    <row r="2992" spans="2:9" ht="16">
      <c r="B2992" s="24" t="s">
        <v>1569</v>
      </c>
      <c r="C2992" s="24" t="s">
        <v>6</v>
      </c>
      <c r="D2992" s="24" t="s">
        <v>1655</v>
      </c>
      <c r="E2992" s="24" t="s">
        <v>8</v>
      </c>
      <c r="F2992" s="24" t="s">
        <v>9</v>
      </c>
      <c r="G2992" s="24" t="s">
        <v>8</v>
      </c>
      <c r="H2992" s="24" t="s">
        <v>2435</v>
      </c>
      <c r="I2992" s="27">
        <v>47.44</v>
      </c>
    </row>
    <row r="2993" spans="2:9" ht="16">
      <c r="B2993" s="24" t="s">
        <v>21</v>
      </c>
      <c r="C2993" s="24" t="s">
        <v>13</v>
      </c>
      <c r="D2993" s="24" t="s">
        <v>1685</v>
      </c>
      <c r="E2993" s="24" t="s">
        <v>2436</v>
      </c>
      <c r="F2993" s="24" t="s">
        <v>9</v>
      </c>
      <c r="G2993" s="24" t="s">
        <v>8</v>
      </c>
      <c r="H2993" s="24" t="s">
        <v>8</v>
      </c>
      <c r="I2993" s="27">
        <v>828.5</v>
      </c>
    </row>
    <row r="2994" spans="2:9" ht="16">
      <c r="B2994" s="24" t="s">
        <v>2130</v>
      </c>
      <c r="C2994" s="24" t="s">
        <v>6</v>
      </c>
      <c r="D2994" s="24" t="s">
        <v>2080</v>
      </c>
      <c r="E2994" s="24" t="s">
        <v>8</v>
      </c>
      <c r="F2994" s="24" t="s">
        <v>9</v>
      </c>
      <c r="G2994" s="24" t="s">
        <v>8</v>
      </c>
      <c r="H2994" s="24" t="s">
        <v>8</v>
      </c>
      <c r="I2994" s="27">
        <v>62.56</v>
      </c>
    </row>
    <row r="2995" spans="2:9" ht="16">
      <c r="B2995" s="24" t="s">
        <v>119</v>
      </c>
      <c r="C2995" s="24" t="s">
        <v>6</v>
      </c>
      <c r="D2995" s="24" t="s">
        <v>2437</v>
      </c>
      <c r="E2995" s="24" t="s">
        <v>8</v>
      </c>
      <c r="F2995" s="24" t="s">
        <v>9</v>
      </c>
      <c r="G2995" s="24" t="s">
        <v>8</v>
      </c>
      <c r="H2995" s="24" t="s">
        <v>8</v>
      </c>
      <c r="I2995" s="27">
        <v>38.47</v>
      </c>
    </row>
    <row r="2996" spans="2:9" ht="16">
      <c r="B2996" s="24" t="s">
        <v>21</v>
      </c>
      <c r="C2996" s="24" t="s">
        <v>13</v>
      </c>
      <c r="D2996" s="24" t="s">
        <v>1681</v>
      </c>
      <c r="E2996" s="24" t="s">
        <v>2438</v>
      </c>
      <c r="F2996" s="24" t="s">
        <v>9</v>
      </c>
      <c r="G2996" s="24" t="s">
        <v>8</v>
      </c>
      <c r="H2996" s="24" t="s">
        <v>8</v>
      </c>
      <c r="I2996" s="27">
        <v>356.71</v>
      </c>
    </row>
    <row r="2997" spans="2:9" ht="16">
      <c r="B2997" s="24" t="s">
        <v>333</v>
      </c>
      <c r="C2997" s="24" t="s">
        <v>6</v>
      </c>
      <c r="D2997" s="24" t="s">
        <v>2439</v>
      </c>
      <c r="E2997" s="24" t="s">
        <v>8</v>
      </c>
      <c r="F2997" s="24" t="s">
        <v>9</v>
      </c>
      <c r="G2997" s="24" t="s">
        <v>8</v>
      </c>
      <c r="H2997" s="24" t="s">
        <v>8</v>
      </c>
      <c r="I2997" s="27">
        <v>303.84</v>
      </c>
    </row>
    <row r="2998" spans="2:9" ht="16">
      <c r="B2998" s="24" t="s">
        <v>21</v>
      </c>
      <c r="C2998" s="24" t="s">
        <v>13</v>
      </c>
      <c r="D2998" s="24" t="s">
        <v>2440</v>
      </c>
      <c r="E2998" s="24" t="s">
        <v>2441</v>
      </c>
      <c r="F2998" s="24" t="s">
        <v>9</v>
      </c>
      <c r="G2998" s="24" t="s">
        <v>8</v>
      </c>
      <c r="H2998" s="24" t="s">
        <v>8</v>
      </c>
      <c r="I2998" s="27">
        <v>124.7</v>
      </c>
    </row>
    <row r="2999" spans="2:9" ht="16">
      <c r="B2999" s="24" t="s">
        <v>36</v>
      </c>
      <c r="C2999" s="24" t="s">
        <v>6</v>
      </c>
      <c r="D2999" s="24" t="s">
        <v>1958</v>
      </c>
      <c r="E2999" s="24" t="s">
        <v>8</v>
      </c>
      <c r="F2999" s="24" t="s">
        <v>9</v>
      </c>
      <c r="G2999" s="24" t="s">
        <v>8</v>
      </c>
      <c r="H2999" s="24" t="s">
        <v>8</v>
      </c>
      <c r="I2999" s="27">
        <v>61.04</v>
      </c>
    </row>
    <row r="3000" spans="2:9" ht="16">
      <c r="B3000" s="24" t="s">
        <v>119</v>
      </c>
      <c r="C3000" s="24" t="s">
        <v>6</v>
      </c>
      <c r="D3000" s="24" t="s">
        <v>1958</v>
      </c>
      <c r="E3000" s="24" t="s">
        <v>8</v>
      </c>
      <c r="F3000" s="24" t="s">
        <v>9</v>
      </c>
      <c r="G3000" s="24" t="s">
        <v>8</v>
      </c>
      <c r="H3000" s="24" t="s">
        <v>8</v>
      </c>
      <c r="I3000" s="27">
        <v>196.13</v>
      </c>
    </row>
    <row r="3001" spans="2:9" ht="16">
      <c r="B3001" s="24" t="s">
        <v>21</v>
      </c>
      <c r="C3001" s="24" t="s">
        <v>13</v>
      </c>
      <c r="D3001" s="24" t="s">
        <v>1597</v>
      </c>
      <c r="E3001" s="24" t="s">
        <v>2442</v>
      </c>
      <c r="F3001" s="24" t="s">
        <v>9</v>
      </c>
      <c r="G3001" s="24" t="s">
        <v>8</v>
      </c>
      <c r="H3001" s="24" t="s">
        <v>8</v>
      </c>
      <c r="I3001" s="27">
        <v>415.88</v>
      </c>
    </row>
    <row r="3002" spans="2:9" ht="16">
      <c r="B3002" s="24" t="s">
        <v>316</v>
      </c>
      <c r="C3002" s="24" t="s">
        <v>6</v>
      </c>
      <c r="D3002" s="24" t="s">
        <v>1958</v>
      </c>
      <c r="E3002" s="24" t="s">
        <v>8</v>
      </c>
      <c r="F3002" s="24" t="s">
        <v>9</v>
      </c>
      <c r="G3002" s="24" t="s">
        <v>8</v>
      </c>
      <c r="H3002" s="24" t="s">
        <v>8</v>
      </c>
      <c r="I3002" s="27">
        <v>132.73</v>
      </c>
    </row>
    <row r="3003" spans="1:9" ht="16">
      <c r="A3003" s="35" t="s">
        <v>40</v>
      </c>
      <c r="I3003" s="28">
        <f>I2989+I2990+I2991+I2992+I2993+I2994+I2995+I2996+I2997+I2998+I2999+I3000+I3001+I3002</f>
        <v>3066.4900000000002</v>
      </c>
    </row>
    <row r="3004" spans="1:1" ht="16">
      <c r="A3004" s="34" t="s">
        <v>2432</v>
      </c>
    </row>
    <row r="3005" spans="2:9" ht="16">
      <c r="B3005" s="24" t="s">
        <v>961</v>
      </c>
      <c r="C3005" s="24" t="s">
        <v>6</v>
      </c>
      <c r="D3005" s="24" t="s">
        <v>1655</v>
      </c>
      <c r="E3005" s="24" t="s">
        <v>8</v>
      </c>
      <c r="F3005" s="24" t="s">
        <v>9</v>
      </c>
      <c r="G3005" s="24" t="s">
        <v>8</v>
      </c>
      <c r="H3005" s="24" t="s">
        <v>53</v>
      </c>
      <c r="I3005" s="27">
        <v>73.06</v>
      </c>
    </row>
    <row r="3006" spans="1:9" ht="16">
      <c r="A3006" s="35" t="s">
        <v>1656</v>
      </c>
      <c r="I3006" s="28">
        <f>I3004+I3005</f>
        <v>73.06</v>
      </c>
    </row>
    <row r="3007" spans="1:1" ht="16">
      <c r="A3007" s="34" t="s">
        <v>2432</v>
      </c>
    </row>
    <row r="3008" spans="2:9" ht="16">
      <c r="B3008" s="24" t="s">
        <v>1382</v>
      </c>
      <c r="C3008" s="24" t="s">
        <v>13</v>
      </c>
      <c r="D3008" s="24" t="s">
        <v>2443</v>
      </c>
      <c r="E3008" s="24" t="s">
        <v>2444</v>
      </c>
      <c r="F3008" s="24" t="s">
        <v>9</v>
      </c>
      <c r="G3008" s="24" t="s">
        <v>8</v>
      </c>
      <c r="H3008" s="24" t="s">
        <v>163</v>
      </c>
      <c r="I3008" s="27">
        <v>8445.5</v>
      </c>
    </row>
    <row r="3009" spans="2:9" ht="16">
      <c r="B3009" s="24" t="s">
        <v>1382</v>
      </c>
      <c r="C3009" s="24" t="s">
        <v>13</v>
      </c>
      <c r="D3009" s="24" t="s">
        <v>2443</v>
      </c>
      <c r="E3009" s="24" t="s">
        <v>2445</v>
      </c>
      <c r="F3009" s="24" t="s">
        <v>9</v>
      </c>
      <c r="G3009" s="24" t="s">
        <v>8</v>
      </c>
      <c r="H3009" s="24" t="s">
        <v>163</v>
      </c>
      <c r="I3009" s="27">
        <v>444.5</v>
      </c>
    </row>
    <row r="3010" spans="1:9" ht="16">
      <c r="A3010" s="35" t="s">
        <v>164</v>
      </c>
      <c r="I3010" s="28">
        <f>I3007+I3008+I3009</f>
        <v>8890.0</v>
      </c>
    </row>
    <row r="3011" spans="1:1" ht="16">
      <c r="A3011" s="34" t="s">
        <v>2432</v>
      </c>
    </row>
    <row r="3012" spans="2:9" ht="16">
      <c r="B3012" s="24" t="s">
        <v>45</v>
      </c>
      <c r="C3012" s="24" t="s">
        <v>13</v>
      </c>
      <c r="D3012" s="24" t="s">
        <v>1674</v>
      </c>
      <c r="E3012" s="24" t="s">
        <v>8</v>
      </c>
      <c r="F3012" s="24" t="s">
        <v>9</v>
      </c>
      <c r="G3012" s="24" t="s">
        <v>8</v>
      </c>
      <c r="H3012" s="24" t="s">
        <v>8</v>
      </c>
      <c r="I3012" s="27">
        <v>1669.79</v>
      </c>
    </row>
    <row r="3013" spans="2:9" ht="16">
      <c r="B3013" s="24" t="s">
        <v>8</v>
      </c>
      <c r="C3013" s="24" t="s">
        <v>6</v>
      </c>
      <c r="D3013" s="24" t="s">
        <v>1673</v>
      </c>
      <c r="E3013" s="24" t="s">
        <v>8</v>
      </c>
      <c r="F3013" s="24" t="s">
        <v>9</v>
      </c>
      <c r="G3013" s="24" t="s">
        <v>8</v>
      </c>
      <c r="H3013" s="24" t="s">
        <v>8</v>
      </c>
      <c r="I3013" s="27">
        <v>3031.96</v>
      </c>
    </row>
    <row r="3014" spans="2:9" ht="16">
      <c r="B3014" s="24" t="s">
        <v>45</v>
      </c>
      <c r="C3014" s="24" t="s">
        <v>13</v>
      </c>
      <c r="D3014" s="24" t="s">
        <v>2137</v>
      </c>
      <c r="E3014" s="24" t="s">
        <v>2138</v>
      </c>
      <c r="F3014" s="24" t="s">
        <v>9</v>
      </c>
      <c r="G3014" s="24" t="s">
        <v>8</v>
      </c>
      <c r="H3014" s="24" t="s">
        <v>8</v>
      </c>
      <c r="I3014" s="27">
        <v>1517.5</v>
      </c>
    </row>
    <row r="3015" spans="1:9" ht="16">
      <c r="A3015" s="35" t="s">
        <v>50</v>
      </c>
      <c r="I3015" s="28">
        <f>I3011+I3012+I3013+I3014</f>
        <v>6219.25</v>
      </c>
    </row>
    <row r="3016" spans="1:1" ht="16">
      <c r="A3016" s="34" t="s">
        <v>2432</v>
      </c>
    </row>
    <row r="3017" spans="2:9" ht="16">
      <c r="B3017" s="24" t="s">
        <v>51</v>
      </c>
      <c r="C3017" s="24" t="s">
        <v>6</v>
      </c>
      <c r="D3017" s="24" t="s">
        <v>1681</v>
      </c>
      <c r="E3017" s="24" t="s">
        <v>8</v>
      </c>
      <c r="F3017" s="24" t="s">
        <v>9</v>
      </c>
      <c r="G3017" s="24" t="s">
        <v>8</v>
      </c>
      <c r="H3017" s="24" t="s">
        <v>53</v>
      </c>
      <c r="I3017" s="27">
        <v>1642.93</v>
      </c>
    </row>
    <row r="3018" spans="2:9" ht="16">
      <c r="B3018" s="24" t="s">
        <v>961</v>
      </c>
      <c r="C3018" s="24" t="s">
        <v>6</v>
      </c>
      <c r="D3018" s="24" t="s">
        <v>1655</v>
      </c>
      <c r="E3018" s="24" t="s">
        <v>8</v>
      </c>
      <c r="F3018" s="24" t="s">
        <v>9</v>
      </c>
      <c r="G3018" s="24" t="s">
        <v>8</v>
      </c>
      <c r="H3018" s="24" t="s">
        <v>53</v>
      </c>
      <c r="I3018" s="27">
        <v>924.08</v>
      </c>
    </row>
    <row r="3019" spans="2:9" ht="16">
      <c r="B3019" s="24" t="s">
        <v>961</v>
      </c>
      <c r="C3019" s="24" t="s">
        <v>6</v>
      </c>
      <c r="D3019" s="24" t="s">
        <v>1773</v>
      </c>
      <c r="E3019" s="24" t="s">
        <v>8</v>
      </c>
      <c r="F3019" s="24" t="s">
        <v>9</v>
      </c>
      <c r="G3019" s="24" t="s">
        <v>8</v>
      </c>
      <c r="H3019" s="24" t="s">
        <v>53</v>
      </c>
      <c r="I3019" s="27">
        <v>1523.2</v>
      </c>
    </row>
    <row r="3020" spans="2:9" ht="16">
      <c r="B3020" s="24" t="s">
        <v>961</v>
      </c>
      <c r="C3020" s="24" t="s">
        <v>6</v>
      </c>
      <c r="D3020" s="24" t="s">
        <v>1686</v>
      </c>
      <c r="E3020" s="24" t="s">
        <v>8</v>
      </c>
      <c r="F3020" s="24" t="s">
        <v>9</v>
      </c>
      <c r="G3020" s="24" t="s">
        <v>8</v>
      </c>
      <c r="H3020" s="24" t="s">
        <v>8</v>
      </c>
      <c r="I3020" s="27">
        <v>973.24</v>
      </c>
    </row>
    <row r="3021" spans="2:9" ht="16">
      <c r="B3021" s="24" t="s">
        <v>961</v>
      </c>
      <c r="C3021" s="24" t="s">
        <v>6</v>
      </c>
      <c r="D3021" s="24" t="s">
        <v>2159</v>
      </c>
      <c r="E3021" s="24" t="s">
        <v>8</v>
      </c>
      <c r="F3021" s="24" t="s">
        <v>9</v>
      </c>
      <c r="G3021" s="24" t="s">
        <v>8</v>
      </c>
      <c r="H3021" s="24" t="s">
        <v>8</v>
      </c>
      <c r="I3021" s="27">
        <v>187.04</v>
      </c>
    </row>
    <row r="3022" spans="2:9" ht="16">
      <c r="B3022" s="24" t="s">
        <v>961</v>
      </c>
      <c r="C3022" s="24" t="s">
        <v>6</v>
      </c>
      <c r="D3022" s="24" t="s">
        <v>1661</v>
      </c>
      <c r="E3022" s="24" t="s">
        <v>8</v>
      </c>
      <c r="F3022" s="24" t="s">
        <v>9</v>
      </c>
      <c r="G3022" s="24" t="s">
        <v>8</v>
      </c>
      <c r="H3022" s="24" t="s">
        <v>8</v>
      </c>
      <c r="I3022" s="27">
        <v>1800.33</v>
      </c>
    </row>
    <row r="3023" spans="2:9" ht="16">
      <c r="B3023" s="24" t="s">
        <v>961</v>
      </c>
      <c r="C3023" s="24" t="s">
        <v>6</v>
      </c>
      <c r="D3023" s="24" t="s">
        <v>1961</v>
      </c>
      <c r="E3023" s="24" t="s">
        <v>8</v>
      </c>
      <c r="F3023" s="24" t="s">
        <v>9</v>
      </c>
      <c r="G3023" s="24" t="s">
        <v>8</v>
      </c>
      <c r="H3023" s="24" t="s">
        <v>8</v>
      </c>
      <c r="I3023" s="27">
        <v>1639.26</v>
      </c>
    </row>
    <row r="3024" spans="2:9" ht="16">
      <c r="B3024" s="24" t="s">
        <v>961</v>
      </c>
      <c r="C3024" s="24" t="s">
        <v>6</v>
      </c>
      <c r="D3024" s="24" t="s">
        <v>1688</v>
      </c>
      <c r="E3024" s="24" t="s">
        <v>8</v>
      </c>
      <c r="F3024" s="24" t="s">
        <v>9</v>
      </c>
      <c r="G3024" s="24" t="s">
        <v>8</v>
      </c>
      <c r="H3024" s="24" t="s">
        <v>8</v>
      </c>
      <c r="I3024" s="27">
        <v>7341.82</v>
      </c>
    </row>
    <row r="3025" spans="2:9" ht="16">
      <c r="B3025" s="24" t="s">
        <v>961</v>
      </c>
      <c r="C3025" s="24" t="s">
        <v>6</v>
      </c>
      <c r="D3025" s="24" t="s">
        <v>1684</v>
      </c>
      <c r="E3025" s="24" t="s">
        <v>8</v>
      </c>
      <c r="F3025" s="24" t="s">
        <v>9</v>
      </c>
      <c r="G3025" s="24" t="s">
        <v>8</v>
      </c>
      <c r="H3025" s="24" t="s">
        <v>8</v>
      </c>
      <c r="I3025" s="27">
        <v>107.03</v>
      </c>
    </row>
    <row r="3026" spans="2:9" ht="16">
      <c r="B3026" s="24" t="s">
        <v>961</v>
      </c>
      <c r="C3026" s="24" t="s">
        <v>6</v>
      </c>
      <c r="D3026" s="24" t="s">
        <v>2053</v>
      </c>
      <c r="E3026" s="24" t="s">
        <v>8</v>
      </c>
      <c r="F3026" s="24" t="s">
        <v>9</v>
      </c>
      <c r="G3026" s="24" t="s">
        <v>8</v>
      </c>
      <c r="H3026" s="24" t="s">
        <v>8</v>
      </c>
      <c r="I3026" s="27">
        <v>1337.88</v>
      </c>
    </row>
    <row r="3027" spans="1:9" ht="16">
      <c r="A3027" s="35" t="s">
        <v>67</v>
      </c>
      <c r="I3027" s="28">
        <f>I3016+I3017+I3018+I3019+I3020+I3021+I3022+I3023+I3024+I3025+I3026</f>
        <v>17476.81</v>
      </c>
    </row>
    <row r="3028" spans="1:9" ht="16">
      <c r="A3028" s="36" t="s">
        <v>2446</v>
      </c>
      <c r="I3028" s="28">
        <f>I3003+I3006+I3010+I3015+I3027</f>
        <v>35725.61</v>
      </c>
    </row>
    <row r="3029" spans="1:1" ht="16">
      <c r="A3029" s="33" t="s">
        <v>324</v>
      </c>
    </row>
    <row r="3030" spans="1:1" ht="16">
      <c r="A3030" s="34" t="s">
        <v>2447</v>
      </c>
    </row>
    <row r="3031" spans="2:9" ht="16">
      <c r="B3031" s="24" t="s">
        <v>316</v>
      </c>
      <c r="C3031" s="24" t="s">
        <v>6</v>
      </c>
      <c r="D3031" s="24" t="s">
        <v>1827</v>
      </c>
      <c r="E3031" s="24" t="s">
        <v>8</v>
      </c>
      <c r="F3031" s="24" t="s">
        <v>9</v>
      </c>
      <c r="G3031" s="24" t="s">
        <v>8</v>
      </c>
      <c r="H3031" s="24" t="s">
        <v>2448</v>
      </c>
      <c r="I3031" s="27">
        <v>180.09</v>
      </c>
    </row>
    <row r="3032" spans="2:9" ht="16">
      <c r="B3032" s="24" t="s">
        <v>119</v>
      </c>
      <c r="C3032" s="24" t="s">
        <v>6</v>
      </c>
      <c r="D3032" s="24" t="s">
        <v>2449</v>
      </c>
      <c r="E3032" s="24" t="s">
        <v>8</v>
      </c>
      <c r="F3032" s="24" t="s">
        <v>9</v>
      </c>
      <c r="G3032" s="24" t="s">
        <v>8</v>
      </c>
      <c r="H3032" s="24" t="s">
        <v>2450</v>
      </c>
      <c r="I3032" s="27">
        <v>8.12</v>
      </c>
    </row>
    <row r="3033" spans="2:9" ht="16">
      <c r="B3033" s="24" t="s">
        <v>119</v>
      </c>
      <c r="C3033" s="24" t="s">
        <v>6</v>
      </c>
      <c r="D3033" s="24" t="s">
        <v>2187</v>
      </c>
      <c r="E3033" s="24" t="s">
        <v>8</v>
      </c>
      <c r="F3033" s="24" t="s">
        <v>9</v>
      </c>
      <c r="G3033" s="24" t="s">
        <v>8</v>
      </c>
      <c r="H3033" s="24" t="s">
        <v>649</v>
      </c>
      <c r="I3033" s="27">
        <v>9.83</v>
      </c>
    </row>
    <row r="3034" spans="1:9" ht="16">
      <c r="A3034" s="35" t="s">
        <v>40</v>
      </c>
      <c r="I3034" s="28">
        <f>I3030+I3031+I3032+I3033</f>
        <v>198.04000000000002</v>
      </c>
    </row>
    <row r="3035" spans="1:1" ht="16">
      <c r="A3035" s="34" t="s">
        <v>2447</v>
      </c>
    </row>
    <row r="3036" spans="2:9" ht="16">
      <c r="B3036" s="24" t="s">
        <v>8</v>
      </c>
      <c r="C3036" s="24" t="s">
        <v>6</v>
      </c>
      <c r="D3036" s="24" t="s">
        <v>1673</v>
      </c>
      <c r="E3036" s="24" t="s">
        <v>8</v>
      </c>
      <c r="F3036" s="24" t="s">
        <v>9</v>
      </c>
      <c r="G3036" s="24" t="s">
        <v>8</v>
      </c>
      <c r="H3036" s="24" t="s">
        <v>47</v>
      </c>
      <c r="I3036" s="27">
        <v>238.32</v>
      </c>
    </row>
    <row r="3037" spans="2:9" ht="16">
      <c r="B3037" s="24" t="s">
        <v>8</v>
      </c>
      <c r="C3037" s="24" t="s">
        <v>6</v>
      </c>
      <c r="D3037" s="24" t="s">
        <v>1597</v>
      </c>
      <c r="E3037" s="24" t="s">
        <v>8</v>
      </c>
      <c r="F3037" s="24" t="s">
        <v>9</v>
      </c>
      <c r="G3037" s="24" t="s">
        <v>8</v>
      </c>
      <c r="H3037" s="24" t="s">
        <v>47</v>
      </c>
      <c r="I3037" s="27">
        <v>357.48</v>
      </c>
    </row>
    <row r="3038" spans="1:9" ht="16">
      <c r="A3038" s="35" t="s">
        <v>50</v>
      </c>
      <c r="I3038" s="28">
        <f>I3035+I3036+I3037</f>
        <v>595.8</v>
      </c>
    </row>
    <row r="3039" spans="1:1" ht="16">
      <c r="A3039" s="34" t="s">
        <v>2447</v>
      </c>
    </row>
    <row r="3040" spans="2:9" ht="16">
      <c r="B3040" s="24" t="s">
        <v>961</v>
      </c>
      <c r="C3040" s="24" t="s">
        <v>6</v>
      </c>
      <c r="D3040" s="24" t="s">
        <v>1683</v>
      </c>
      <c r="E3040" s="24" t="s">
        <v>8</v>
      </c>
      <c r="F3040" s="24" t="s">
        <v>9</v>
      </c>
      <c r="G3040" s="24" t="s">
        <v>8</v>
      </c>
      <c r="H3040" s="24" t="s">
        <v>53</v>
      </c>
      <c r="I3040" s="27">
        <v>452.1</v>
      </c>
    </row>
    <row r="3041" spans="2:9" ht="16">
      <c r="B3041" s="24" t="s">
        <v>961</v>
      </c>
      <c r="C3041" s="24" t="s">
        <v>6</v>
      </c>
      <c r="D3041" s="24" t="s">
        <v>1826</v>
      </c>
      <c r="E3041" s="24" t="s">
        <v>8</v>
      </c>
      <c r="F3041" s="24" t="s">
        <v>9</v>
      </c>
      <c r="G3041" s="24" t="s">
        <v>8</v>
      </c>
      <c r="H3041" s="24" t="s">
        <v>53</v>
      </c>
      <c r="I3041" s="27">
        <v>731.24</v>
      </c>
    </row>
    <row r="3042" spans="1:9" ht="16">
      <c r="A3042" s="35" t="s">
        <v>67</v>
      </c>
      <c r="I3042" s="28">
        <f>I3039+I3040+I3041</f>
        <v>1183.3400000000001</v>
      </c>
    </row>
    <row r="3043" spans="1:9" ht="16">
      <c r="A3043" s="36" t="s">
        <v>2451</v>
      </c>
      <c r="I3043" s="28">
        <f>I3034+I3038+I3042</f>
        <v>1977.18</v>
      </c>
    </row>
    <row r="3044" spans="1:1" ht="16">
      <c r="A3044" s="33" t="s">
        <v>172</v>
      </c>
    </row>
    <row r="3045" spans="1:1" ht="16">
      <c r="A3045" s="34" t="s">
        <v>2452</v>
      </c>
    </row>
    <row r="3046" spans="2:9" ht="16">
      <c r="B3046" s="24" t="s">
        <v>2453</v>
      </c>
      <c r="C3046" s="24" t="s">
        <v>6</v>
      </c>
      <c r="D3046" s="24" t="s">
        <v>2454</v>
      </c>
      <c r="E3046" s="24" t="s">
        <v>8</v>
      </c>
      <c r="F3046" s="24" t="s">
        <v>9</v>
      </c>
      <c r="G3046" s="24" t="s">
        <v>8</v>
      </c>
      <c r="H3046" s="24" t="s">
        <v>2455</v>
      </c>
      <c r="I3046" s="27">
        <v>194.62</v>
      </c>
    </row>
    <row r="3047" spans="2:9" ht="16">
      <c r="B3047" s="24" t="s">
        <v>2453</v>
      </c>
      <c r="C3047" s="24" t="s">
        <v>6</v>
      </c>
      <c r="D3047" s="24" t="s">
        <v>1944</v>
      </c>
      <c r="E3047" s="24" t="s">
        <v>8</v>
      </c>
      <c r="F3047" s="24" t="s">
        <v>9</v>
      </c>
      <c r="G3047" s="24" t="s">
        <v>8</v>
      </c>
      <c r="H3047" s="24" t="s">
        <v>2455</v>
      </c>
      <c r="I3047" s="27">
        <v>194.62</v>
      </c>
    </row>
    <row r="3048" spans="2:9" ht="16">
      <c r="B3048" s="24" t="s">
        <v>2453</v>
      </c>
      <c r="C3048" s="24" t="s">
        <v>6</v>
      </c>
      <c r="D3048" s="24" t="s">
        <v>2456</v>
      </c>
      <c r="E3048" s="24" t="s">
        <v>8</v>
      </c>
      <c r="F3048" s="24" t="s">
        <v>9</v>
      </c>
      <c r="G3048" s="24" t="s">
        <v>8</v>
      </c>
      <c r="H3048" s="24" t="s">
        <v>2455</v>
      </c>
      <c r="I3048" s="27">
        <v>194.62</v>
      </c>
    </row>
    <row r="3049" spans="2:9" ht="16">
      <c r="B3049" s="24" t="s">
        <v>2453</v>
      </c>
      <c r="C3049" s="24" t="s">
        <v>6</v>
      </c>
      <c r="D3049" s="24" t="s">
        <v>2457</v>
      </c>
      <c r="E3049" s="24" t="s">
        <v>8</v>
      </c>
      <c r="F3049" s="24" t="s">
        <v>9</v>
      </c>
      <c r="G3049" s="24" t="s">
        <v>8</v>
      </c>
      <c r="H3049" s="24" t="s">
        <v>2455</v>
      </c>
      <c r="I3049" s="27">
        <v>97.4</v>
      </c>
    </row>
    <row r="3050" spans="2:9" ht="16">
      <c r="B3050" s="24" t="s">
        <v>2453</v>
      </c>
      <c r="C3050" s="24" t="s">
        <v>6</v>
      </c>
      <c r="D3050" s="24" t="s">
        <v>2458</v>
      </c>
      <c r="E3050" s="24" t="s">
        <v>8</v>
      </c>
      <c r="F3050" s="24" t="s">
        <v>9</v>
      </c>
      <c r="G3050" s="24" t="s">
        <v>8</v>
      </c>
      <c r="H3050" s="24" t="s">
        <v>2455</v>
      </c>
      <c r="I3050" s="27">
        <v>194.62</v>
      </c>
    </row>
    <row r="3051" spans="2:9" ht="16">
      <c r="B3051" s="24" t="s">
        <v>2453</v>
      </c>
      <c r="C3051" s="24" t="s">
        <v>6</v>
      </c>
      <c r="D3051" s="24" t="s">
        <v>1986</v>
      </c>
      <c r="E3051" s="24" t="s">
        <v>8</v>
      </c>
      <c r="F3051" s="24" t="s">
        <v>9</v>
      </c>
      <c r="G3051" s="24" t="s">
        <v>8</v>
      </c>
      <c r="H3051" s="24" t="s">
        <v>2459</v>
      </c>
      <c r="I3051" s="27">
        <v>654.62</v>
      </c>
    </row>
    <row r="3052" spans="2:9" ht="16">
      <c r="B3052" s="24" t="s">
        <v>2453</v>
      </c>
      <c r="C3052" s="24" t="s">
        <v>6</v>
      </c>
      <c r="D3052" s="24" t="s">
        <v>2028</v>
      </c>
      <c r="E3052" s="24" t="s">
        <v>8</v>
      </c>
      <c r="F3052" s="24" t="s">
        <v>9</v>
      </c>
      <c r="G3052" s="24" t="s">
        <v>8</v>
      </c>
      <c r="H3052" s="24" t="s">
        <v>2460</v>
      </c>
      <c r="I3052" s="27">
        <v>654.62</v>
      </c>
    </row>
    <row r="3053" spans="2:9" ht="16">
      <c r="B3053" s="24" t="s">
        <v>8</v>
      </c>
      <c r="C3053" s="24" t="s">
        <v>139</v>
      </c>
      <c r="D3053" s="24" t="s">
        <v>2110</v>
      </c>
      <c r="E3053" s="24" t="s">
        <v>8</v>
      </c>
      <c r="F3053" s="24" t="s">
        <v>9</v>
      </c>
      <c r="G3053" s="24" t="s">
        <v>8</v>
      </c>
      <c r="H3053" s="24" t="s">
        <v>2461</v>
      </c>
      <c r="I3053" s="27">
        <v>-90.26</v>
      </c>
    </row>
    <row r="3054" spans="2:9" ht="16">
      <c r="B3054" s="24" t="s">
        <v>957</v>
      </c>
      <c r="C3054" s="24" t="s">
        <v>6</v>
      </c>
      <c r="D3054" s="24" t="s">
        <v>2021</v>
      </c>
      <c r="E3054" s="24" t="s">
        <v>8</v>
      </c>
      <c r="F3054" s="24" t="s">
        <v>9</v>
      </c>
      <c r="G3054" s="24" t="s">
        <v>8</v>
      </c>
      <c r="H3054" s="24" t="s">
        <v>958</v>
      </c>
      <c r="I3054" s="27">
        <v>395.0</v>
      </c>
    </row>
    <row r="3055" spans="2:9" ht="16">
      <c r="B3055" s="24" t="s">
        <v>77</v>
      </c>
      <c r="C3055" s="24" t="s">
        <v>13</v>
      </c>
      <c r="D3055" s="24" t="s">
        <v>1944</v>
      </c>
      <c r="E3055" s="24" t="s">
        <v>2462</v>
      </c>
      <c r="F3055" s="24" t="s">
        <v>9</v>
      </c>
      <c r="G3055" s="24" t="s">
        <v>8</v>
      </c>
      <c r="H3055" s="24" t="s">
        <v>1241</v>
      </c>
      <c r="I3055" s="27">
        <v>366.27</v>
      </c>
    </row>
    <row r="3056" spans="2:9" ht="16">
      <c r="B3056" s="24" t="s">
        <v>77</v>
      </c>
      <c r="C3056" s="24" t="s">
        <v>13</v>
      </c>
      <c r="D3056" s="24" t="s">
        <v>2107</v>
      </c>
      <c r="E3056" s="24" t="s">
        <v>2463</v>
      </c>
      <c r="F3056" s="24" t="s">
        <v>9</v>
      </c>
      <c r="G3056" s="24" t="s">
        <v>8</v>
      </c>
      <c r="H3056" s="24" t="s">
        <v>2464</v>
      </c>
      <c r="I3056" s="27">
        <v>2343.02</v>
      </c>
    </row>
    <row r="3057" spans="2:9" ht="16">
      <c r="B3057" s="24" t="s">
        <v>77</v>
      </c>
      <c r="C3057" s="24" t="s">
        <v>13</v>
      </c>
      <c r="D3057" s="24" t="s">
        <v>2465</v>
      </c>
      <c r="E3057" s="24" t="s">
        <v>2466</v>
      </c>
      <c r="F3057" s="24" t="s">
        <v>9</v>
      </c>
      <c r="G3057" s="24" t="s">
        <v>8</v>
      </c>
      <c r="H3057" s="24" t="s">
        <v>2467</v>
      </c>
      <c r="I3057" s="27">
        <v>2593.02</v>
      </c>
    </row>
    <row r="3058" spans="2:9" ht="16">
      <c r="B3058" s="24" t="s">
        <v>77</v>
      </c>
      <c r="C3058" s="24" t="s">
        <v>13</v>
      </c>
      <c r="D3058" s="24" t="s">
        <v>2468</v>
      </c>
      <c r="E3058" s="24" t="s">
        <v>2469</v>
      </c>
      <c r="F3058" s="24" t="s">
        <v>9</v>
      </c>
      <c r="G3058" s="24" t="s">
        <v>8</v>
      </c>
      <c r="H3058" s="24" t="s">
        <v>790</v>
      </c>
      <c r="I3058" s="27">
        <v>2343.02</v>
      </c>
    </row>
    <row r="3059" spans="2:9" ht="16">
      <c r="B3059" s="24" t="s">
        <v>77</v>
      </c>
      <c r="C3059" s="24" t="s">
        <v>13</v>
      </c>
      <c r="D3059" s="24" t="s">
        <v>2470</v>
      </c>
      <c r="E3059" s="24" t="s">
        <v>2471</v>
      </c>
      <c r="F3059" s="24" t="s">
        <v>9</v>
      </c>
      <c r="G3059" s="24" t="s">
        <v>8</v>
      </c>
      <c r="H3059" s="24" t="s">
        <v>1249</v>
      </c>
      <c r="I3059" s="27">
        <v>983.67</v>
      </c>
    </row>
    <row r="3060" spans="2:9" ht="16">
      <c r="B3060" s="24" t="s">
        <v>77</v>
      </c>
      <c r="C3060" s="24" t="s">
        <v>13</v>
      </c>
      <c r="D3060" s="24" t="s">
        <v>2016</v>
      </c>
      <c r="E3060" s="24" t="s">
        <v>2472</v>
      </c>
      <c r="F3060" s="24" t="s">
        <v>9</v>
      </c>
      <c r="G3060" s="24" t="s">
        <v>8</v>
      </c>
      <c r="H3060" s="24" t="s">
        <v>2473</v>
      </c>
      <c r="I3060" s="27">
        <v>1183.58</v>
      </c>
    </row>
    <row r="3061" spans="2:9" ht="16">
      <c r="B3061" s="24" t="s">
        <v>77</v>
      </c>
      <c r="C3061" s="24" t="s">
        <v>13</v>
      </c>
      <c r="D3061" s="24" t="s">
        <v>2474</v>
      </c>
      <c r="E3061" s="24" t="s">
        <v>2475</v>
      </c>
      <c r="F3061" s="24" t="s">
        <v>9</v>
      </c>
      <c r="G3061" s="24" t="s">
        <v>8</v>
      </c>
      <c r="H3061" s="24" t="s">
        <v>2476</v>
      </c>
      <c r="I3061" s="27">
        <v>366.27</v>
      </c>
    </row>
    <row r="3062" spans="2:9" ht="16">
      <c r="B3062" s="24" t="s">
        <v>77</v>
      </c>
      <c r="C3062" s="24" t="s">
        <v>13</v>
      </c>
      <c r="D3062" s="24" t="s">
        <v>2477</v>
      </c>
      <c r="E3062" s="24" t="s">
        <v>2478</v>
      </c>
      <c r="F3062" s="24" t="s">
        <v>9</v>
      </c>
      <c r="G3062" s="24" t="s">
        <v>8</v>
      </c>
      <c r="H3062" s="24" t="s">
        <v>527</v>
      </c>
      <c r="I3062" s="27">
        <v>195.0</v>
      </c>
    </row>
    <row r="3063" spans="2:9" ht="16">
      <c r="B3063" s="24" t="s">
        <v>77</v>
      </c>
      <c r="C3063" s="24" t="s">
        <v>13</v>
      </c>
      <c r="D3063" s="24" t="s">
        <v>2470</v>
      </c>
      <c r="E3063" s="24" t="s">
        <v>2479</v>
      </c>
      <c r="F3063" s="24" t="s">
        <v>9</v>
      </c>
      <c r="G3063" s="24" t="s">
        <v>8</v>
      </c>
      <c r="H3063" s="24" t="s">
        <v>2480</v>
      </c>
      <c r="I3063" s="27">
        <v>366.27</v>
      </c>
    </row>
    <row r="3064" spans="2:9" ht="16">
      <c r="B3064" s="24" t="s">
        <v>2481</v>
      </c>
      <c r="C3064" s="24" t="s">
        <v>6</v>
      </c>
      <c r="D3064" s="24" t="s">
        <v>2062</v>
      </c>
      <c r="E3064" s="24" t="s">
        <v>8</v>
      </c>
      <c r="F3064" s="24" t="s">
        <v>9</v>
      </c>
      <c r="G3064" s="24" t="s">
        <v>8</v>
      </c>
      <c r="H3064" s="24" t="s">
        <v>2482</v>
      </c>
      <c r="I3064" s="27">
        <v>130.5</v>
      </c>
    </row>
    <row r="3065" spans="2:9" ht="16">
      <c r="B3065" s="24" t="s">
        <v>2481</v>
      </c>
      <c r="C3065" s="24" t="s">
        <v>6</v>
      </c>
      <c r="D3065" s="24" t="s">
        <v>2144</v>
      </c>
      <c r="E3065" s="24" t="s">
        <v>8</v>
      </c>
      <c r="F3065" s="24" t="s">
        <v>9</v>
      </c>
      <c r="G3065" s="24" t="s">
        <v>8</v>
      </c>
      <c r="H3065" s="24" t="s">
        <v>2482</v>
      </c>
      <c r="I3065" s="27">
        <v>530.5</v>
      </c>
    </row>
    <row r="3066" spans="2:9" ht="16">
      <c r="B3066" s="24" t="s">
        <v>2481</v>
      </c>
      <c r="C3066" s="24" t="s">
        <v>6</v>
      </c>
      <c r="D3066" s="24" t="s">
        <v>2028</v>
      </c>
      <c r="E3066" s="24" t="s">
        <v>8</v>
      </c>
      <c r="F3066" s="24" t="s">
        <v>9</v>
      </c>
      <c r="G3066" s="24" t="s">
        <v>8</v>
      </c>
      <c r="H3066" s="24" t="s">
        <v>2483</v>
      </c>
      <c r="I3066" s="27">
        <v>450.0</v>
      </c>
    </row>
    <row r="3067" spans="2:9" ht="16">
      <c r="B3067" s="24" t="s">
        <v>2481</v>
      </c>
      <c r="C3067" s="24" t="s">
        <v>6</v>
      </c>
      <c r="D3067" s="24" t="s">
        <v>1688</v>
      </c>
      <c r="E3067" s="24" t="s">
        <v>8</v>
      </c>
      <c r="F3067" s="24" t="s">
        <v>9</v>
      </c>
      <c r="G3067" s="24" t="s">
        <v>8</v>
      </c>
      <c r="H3067" s="24" t="s">
        <v>2484</v>
      </c>
      <c r="I3067" s="27">
        <v>450.0</v>
      </c>
    </row>
    <row r="3068" spans="2:9" ht="16">
      <c r="B3068" s="24" t="s">
        <v>77</v>
      </c>
      <c r="C3068" s="24" t="s">
        <v>13</v>
      </c>
      <c r="D3068" s="24" t="s">
        <v>2456</v>
      </c>
      <c r="E3068" s="24" t="s">
        <v>2485</v>
      </c>
      <c r="F3068" s="24" t="s">
        <v>9</v>
      </c>
      <c r="G3068" s="24" t="s">
        <v>8</v>
      </c>
      <c r="H3068" s="24" t="s">
        <v>2486</v>
      </c>
      <c r="I3068" s="27">
        <v>366.27</v>
      </c>
    </row>
    <row r="3069" spans="1:9" ht="16">
      <c r="A3069" s="35" t="s">
        <v>81</v>
      </c>
      <c r="I3069" s="28">
        <f>I3045+I3046+I3047+I3048+I3049+I3050+I3051+I3052+I3053+I3054+I3055+I3056+I3057+I3058+I3059+I3060+I3061+I3062+I3063+I3064+I3065+I3066+I3067+I3068</f>
        <v>15157.250000000002</v>
      </c>
    </row>
    <row r="3070" spans="1:1" ht="16">
      <c r="A3070" s="34" t="s">
        <v>2452</v>
      </c>
    </row>
    <row r="3071" spans="2:9" ht="16">
      <c r="B3071" s="24" t="s">
        <v>127</v>
      </c>
      <c r="C3071" s="24" t="s">
        <v>6</v>
      </c>
      <c r="D3071" s="24" t="s">
        <v>2487</v>
      </c>
      <c r="E3071" s="24" t="s">
        <v>8</v>
      </c>
      <c r="F3071" s="24" t="s">
        <v>9</v>
      </c>
      <c r="G3071" s="24" t="s">
        <v>8</v>
      </c>
      <c r="H3071" s="24" t="s">
        <v>2488</v>
      </c>
      <c r="I3071" s="27">
        <v>27.43</v>
      </c>
    </row>
    <row r="3072" spans="2:9" ht="16">
      <c r="B3072" s="24" t="s">
        <v>493</v>
      </c>
      <c r="C3072" s="24" t="s">
        <v>13</v>
      </c>
      <c r="D3072" s="24" t="s">
        <v>2159</v>
      </c>
      <c r="E3072" s="24" t="s">
        <v>2489</v>
      </c>
      <c r="F3072" s="24" t="s">
        <v>9</v>
      </c>
      <c r="G3072" s="24" t="s">
        <v>8</v>
      </c>
      <c r="H3072" s="24" t="s">
        <v>834</v>
      </c>
      <c r="I3072" s="27">
        <v>1412.48</v>
      </c>
    </row>
    <row r="3073" spans="2:9" ht="16">
      <c r="B3073" s="24" t="s">
        <v>493</v>
      </c>
      <c r="C3073" s="24" t="s">
        <v>13</v>
      </c>
      <c r="D3073" s="24" t="s">
        <v>1944</v>
      </c>
      <c r="E3073" s="24" t="s">
        <v>2490</v>
      </c>
      <c r="F3073" s="24" t="s">
        <v>9</v>
      </c>
      <c r="G3073" s="24" t="s">
        <v>8</v>
      </c>
      <c r="H3073" s="24" t="s">
        <v>837</v>
      </c>
      <c r="I3073" s="27">
        <v>311.27</v>
      </c>
    </row>
    <row r="3074" spans="2:9" ht="16">
      <c r="B3074" s="24" t="s">
        <v>8</v>
      </c>
      <c r="C3074" s="24" t="s">
        <v>6</v>
      </c>
      <c r="D3074" s="24" t="s">
        <v>2491</v>
      </c>
      <c r="E3074" s="24" t="s">
        <v>8</v>
      </c>
      <c r="F3074" s="24" t="s">
        <v>9</v>
      </c>
      <c r="G3074" s="24" t="s">
        <v>8</v>
      </c>
      <c r="H3074" s="24" t="s">
        <v>837</v>
      </c>
      <c r="I3074" s="27">
        <v>278.09</v>
      </c>
    </row>
    <row r="3075" spans="2:9" ht="16">
      <c r="B3075" s="24" t="s">
        <v>493</v>
      </c>
      <c r="C3075" s="24" t="s">
        <v>13</v>
      </c>
      <c r="D3075" s="24" t="s">
        <v>2465</v>
      </c>
      <c r="E3075" s="24" t="s">
        <v>2492</v>
      </c>
      <c r="F3075" s="24" t="s">
        <v>9</v>
      </c>
      <c r="G3075" s="24" t="s">
        <v>8</v>
      </c>
      <c r="H3075" s="24" t="s">
        <v>837</v>
      </c>
      <c r="I3075" s="27">
        <v>1912.8</v>
      </c>
    </row>
    <row r="3076" spans="2:9" ht="16">
      <c r="B3076" s="24" t="s">
        <v>239</v>
      </c>
      <c r="C3076" s="24" t="s">
        <v>6</v>
      </c>
      <c r="D3076" s="24" t="s">
        <v>1597</v>
      </c>
      <c r="E3076" s="24" t="s">
        <v>8</v>
      </c>
      <c r="F3076" s="24" t="s">
        <v>9</v>
      </c>
      <c r="G3076" s="24" t="s">
        <v>8</v>
      </c>
      <c r="H3076" s="24" t="s">
        <v>2493</v>
      </c>
      <c r="I3076" s="27">
        <v>16032.66</v>
      </c>
    </row>
    <row r="3077" spans="2:9" ht="16">
      <c r="B3077" s="24" t="s">
        <v>8</v>
      </c>
      <c r="C3077" s="24" t="s">
        <v>139</v>
      </c>
      <c r="D3077" s="24" t="s">
        <v>2494</v>
      </c>
      <c r="E3077" s="24" t="s">
        <v>8</v>
      </c>
      <c r="F3077" s="24" t="s">
        <v>9</v>
      </c>
      <c r="G3077" s="24" t="s">
        <v>8</v>
      </c>
      <c r="H3077" s="24" t="s">
        <v>2495</v>
      </c>
      <c r="I3077" s="27">
        <v>-655.06</v>
      </c>
    </row>
    <row r="3078" spans="2:9" ht="16">
      <c r="B3078" s="24" t="s">
        <v>239</v>
      </c>
      <c r="C3078" s="24" t="s">
        <v>6</v>
      </c>
      <c r="D3078" s="24" t="s">
        <v>2496</v>
      </c>
      <c r="E3078" s="24" t="s">
        <v>8</v>
      </c>
      <c r="F3078" s="24" t="s">
        <v>9</v>
      </c>
      <c r="G3078" s="24" t="s">
        <v>8</v>
      </c>
      <c r="H3078" s="24" t="s">
        <v>2495</v>
      </c>
      <c r="I3078" s="27">
        <v>3221.53</v>
      </c>
    </row>
    <row r="3079" spans="2:9" ht="16">
      <c r="B3079" s="24" t="s">
        <v>239</v>
      </c>
      <c r="C3079" s="24" t="s">
        <v>6</v>
      </c>
      <c r="D3079" s="24" t="s">
        <v>2014</v>
      </c>
      <c r="E3079" s="24" t="s">
        <v>8</v>
      </c>
      <c r="F3079" s="24" t="s">
        <v>9</v>
      </c>
      <c r="G3079" s="24" t="s">
        <v>8</v>
      </c>
      <c r="H3079" s="24" t="s">
        <v>2495</v>
      </c>
      <c r="I3079" s="27">
        <v>114.2</v>
      </c>
    </row>
    <row r="3080" spans="2:9" ht="16">
      <c r="B3080" s="24" t="s">
        <v>239</v>
      </c>
      <c r="C3080" s="24" t="s">
        <v>6</v>
      </c>
      <c r="D3080" s="24" t="s">
        <v>2497</v>
      </c>
      <c r="E3080" s="24" t="s">
        <v>8</v>
      </c>
      <c r="F3080" s="24" t="s">
        <v>9</v>
      </c>
      <c r="G3080" s="24" t="s">
        <v>8</v>
      </c>
      <c r="H3080" s="24" t="s">
        <v>2495</v>
      </c>
      <c r="I3080" s="27">
        <v>647.37</v>
      </c>
    </row>
    <row r="3081" spans="2:9" ht="16">
      <c r="B3081" s="24" t="s">
        <v>239</v>
      </c>
      <c r="C3081" s="24" t="s">
        <v>6</v>
      </c>
      <c r="D3081" s="24" t="s">
        <v>2028</v>
      </c>
      <c r="E3081" s="24" t="s">
        <v>8</v>
      </c>
      <c r="F3081" s="24" t="s">
        <v>9</v>
      </c>
      <c r="G3081" s="24" t="s">
        <v>8</v>
      </c>
      <c r="H3081" s="24" t="s">
        <v>2495</v>
      </c>
      <c r="I3081" s="27">
        <v>2058.41</v>
      </c>
    </row>
    <row r="3082" spans="2:9" ht="16">
      <c r="B3082" s="24" t="s">
        <v>239</v>
      </c>
      <c r="C3082" s="24" t="s">
        <v>6</v>
      </c>
      <c r="D3082" s="24" t="s">
        <v>1674</v>
      </c>
      <c r="E3082" s="24" t="s">
        <v>8</v>
      </c>
      <c r="F3082" s="24" t="s">
        <v>9</v>
      </c>
      <c r="G3082" s="24" t="s">
        <v>8</v>
      </c>
      <c r="H3082" s="24" t="s">
        <v>2498</v>
      </c>
      <c r="I3082" s="27">
        <v>48.15</v>
      </c>
    </row>
    <row r="3083" spans="2:9" ht="16">
      <c r="B3083" s="24" t="s">
        <v>119</v>
      </c>
      <c r="C3083" s="24" t="s">
        <v>6</v>
      </c>
      <c r="D3083" s="24" t="s">
        <v>1615</v>
      </c>
      <c r="E3083" s="24" t="s">
        <v>8</v>
      </c>
      <c r="F3083" s="24" t="s">
        <v>9</v>
      </c>
      <c r="G3083" s="24" t="s">
        <v>8</v>
      </c>
      <c r="H3083" s="24" t="s">
        <v>2499</v>
      </c>
      <c r="I3083" s="27">
        <v>60.49</v>
      </c>
    </row>
    <row r="3084" spans="2:9" ht="16">
      <c r="B3084" s="24" t="s">
        <v>119</v>
      </c>
      <c r="C3084" s="24" t="s">
        <v>6</v>
      </c>
      <c r="D3084" s="24" t="s">
        <v>1615</v>
      </c>
      <c r="E3084" s="24" t="s">
        <v>8</v>
      </c>
      <c r="F3084" s="24" t="s">
        <v>9</v>
      </c>
      <c r="G3084" s="24" t="s">
        <v>8</v>
      </c>
      <c r="H3084" s="24" t="s">
        <v>2500</v>
      </c>
      <c r="I3084" s="27">
        <v>690.31</v>
      </c>
    </row>
    <row r="3085" spans="2:9" ht="16">
      <c r="B3085" s="24" t="s">
        <v>239</v>
      </c>
      <c r="C3085" s="24" t="s">
        <v>6</v>
      </c>
      <c r="D3085" s="24" t="s">
        <v>2014</v>
      </c>
      <c r="E3085" s="24" t="s">
        <v>8</v>
      </c>
      <c r="F3085" s="24" t="s">
        <v>9</v>
      </c>
      <c r="G3085" s="24" t="s">
        <v>8</v>
      </c>
      <c r="H3085" s="24" t="s">
        <v>2501</v>
      </c>
      <c r="I3085" s="27">
        <v>42.21</v>
      </c>
    </row>
    <row r="3086" spans="2:9" ht="16">
      <c r="B3086" s="24" t="s">
        <v>119</v>
      </c>
      <c r="C3086" s="24" t="s">
        <v>6</v>
      </c>
      <c r="D3086" s="24" t="s">
        <v>2014</v>
      </c>
      <c r="E3086" s="24" t="s">
        <v>8</v>
      </c>
      <c r="F3086" s="24" t="s">
        <v>9</v>
      </c>
      <c r="G3086" s="24" t="s">
        <v>8</v>
      </c>
      <c r="H3086" s="24" t="s">
        <v>2502</v>
      </c>
      <c r="I3086" s="27">
        <v>61.08</v>
      </c>
    </row>
    <row r="3087" spans="2:9" ht="16">
      <c r="B3087" s="24" t="s">
        <v>119</v>
      </c>
      <c r="C3087" s="24" t="s">
        <v>6</v>
      </c>
      <c r="D3087" s="24" t="s">
        <v>1688</v>
      </c>
      <c r="E3087" s="24" t="s">
        <v>8</v>
      </c>
      <c r="F3087" s="24" t="s">
        <v>9</v>
      </c>
      <c r="G3087" s="24" t="s">
        <v>8</v>
      </c>
      <c r="H3087" s="24" t="s">
        <v>2503</v>
      </c>
      <c r="I3087" s="27">
        <v>78.53</v>
      </c>
    </row>
    <row r="3088" spans="2:9" ht="16">
      <c r="B3088" s="24" t="s">
        <v>119</v>
      </c>
      <c r="C3088" s="24" t="s">
        <v>6</v>
      </c>
      <c r="D3088" s="24" t="s">
        <v>1688</v>
      </c>
      <c r="E3088" s="24" t="s">
        <v>8</v>
      </c>
      <c r="F3088" s="24" t="s">
        <v>9</v>
      </c>
      <c r="G3088" s="24" t="s">
        <v>8</v>
      </c>
      <c r="H3088" s="24" t="s">
        <v>2504</v>
      </c>
      <c r="I3088" s="27">
        <v>40.62</v>
      </c>
    </row>
    <row r="3089" spans="2:9" ht="16">
      <c r="B3089" s="24" t="s">
        <v>119</v>
      </c>
      <c r="C3089" s="24" t="s">
        <v>6</v>
      </c>
      <c r="D3089" s="24" t="s">
        <v>2018</v>
      </c>
      <c r="E3089" s="24" t="s">
        <v>8</v>
      </c>
      <c r="F3089" s="24" t="s">
        <v>9</v>
      </c>
      <c r="G3089" s="24" t="s">
        <v>8</v>
      </c>
      <c r="H3089" s="24" t="s">
        <v>2505</v>
      </c>
      <c r="I3089" s="27">
        <v>32.56</v>
      </c>
    </row>
    <row r="3090" spans="2:9" ht="16">
      <c r="B3090" s="24" t="s">
        <v>239</v>
      </c>
      <c r="C3090" s="24" t="s">
        <v>6</v>
      </c>
      <c r="D3090" s="24" t="s">
        <v>2506</v>
      </c>
      <c r="E3090" s="24" t="s">
        <v>8</v>
      </c>
      <c r="F3090" s="24" t="s">
        <v>9</v>
      </c>
      <c r="G3090" s="24" t="s">
        <v>8</v>
      </c>
      <c r="H3090" s="24" t="s">
        <v>2507</v>
      </c>
      <c r="I3090" s="27">
        <v>31.8</v>
      </c>
    </row>
    <row r="3091" spans="2:9" ht="16">
      <c r="B3091" s="24" t="s">
        <v>119</v>
      </c>
      <c r="C3091" s="24" t="s">
        <v>6</v>
      </c>
      <c r="D3091" s="24" t="s">
        <v>1685</v>
      </c>
      <c r="E3091" s="24" t="s">
        <v>8</v>
      </c>
      <c r="F3091" s="24" t="s">
        <v>9</v>
      </c>
      <c r="G3091" s="24" t="s">
        <v>8</v>
      </c>
      <c r="H3091" s="24" t="s">
        <v>2508</v>
      </c>
      <c r="I3091" s="27">
        <v>243.54</v>
      </c>
    </row>
    <row r="3092" spans="2:9" ht="16">
      <c r="B3092" s="24" t="s">
        <v>239</v>
      </c>
      <c r="C3092" s="24" t="s">
        <v>6</v>
      </c>
      <c r="D3092" s="24" t="s">
        <v>2487</v>
      </c>
      <c r="E3092" s="24" t="s">
        <v>8</v>
      </c>
      <c r="F3092" s="24" t="s">
        <v>9</v>
      </c>
      <c r="G3092" s="24" t="s">
        <v>8</v>
      </c>
      <c r="H3092" s="24" t="s">
        <v>2509</v>
      </c>
      <c r="I3092" s="27">
        <v>137.08</v>
      </c>
    </row>
    <row r="3093" spans="2:9" ht="16">
      <c r="B3093" s="24" t="s">
        <v>119</v>
      </c>
      <c r="C3093" s="24" t="s">
        <v>6</v>
      </c>
      <c r="D3093" s="24" t="s">
        <v>2487</v>
      </c>
      <c r="E3093" s="24" t="s">
        <v>8</v>
      </c>
      <c r="F3093" s="24" t="s">
        <v>9</v>
      </c>
      <c r="G3093" s="24" t="s">
        <v>8</v>
      </c>
      <c r="H3093" s="24" t="s">
        <v>2510</v>
      </c>
      <c r="I3093" s="27">
        <v>103.81</v>
      </c>
    </row>
    <row r="3094" spans="2:9" ht="16">
      <c r="B3094" s="24" t="s">
        <v>119</v>
      </c>
      <c r="C3094" s="24" t="s">
        <v>6</v>
      </c>
      <c r="D3094" s="24" t="s">
        <v>2511</v>
      </c>
      <c r="E3094" s="24" t="s">
        <v>8</v>
      </c>
      <c r="F3094" s="24" t="s">
        <v>9</v>
      </c>
      <c r="G3094" s="24" t="s">
        <v>8</v>
      </c>
      <c r="H3094" s="24" t="s">
        <v>2512</v>
      </c>
      <c r="I3094" s="27">
        <v>108.16</v>
      </c>
    </row>
    <row r="3095" spans="2:9" ht="16">
      <c r="B3095" s="24" t="s">
        <v>119</v>
      </c>
      <c r="C3095" s="24" t="s">
        <v>6</v>
      </c>
      <c r="D3095" s="24" t="s">
        <v>2511</v>
      </c>
      <c r="E3095" s="24" t="s">
        <v>8</v>
      </c>
      <c r="F3095" s="24" t="s">
        <v>9</v>
      </c>
      <c r="G3095" s="24" t="s">
        <v>8</v>
      </c>
      <c r="H3095" s="24" t="s">
        <v>2513</v>
      </c>
      <c r="I3095" s="27">
        <v>157.69</v>
      </c>
    </row>
    <row r="3096" spans="2:9" ht="16">
      <c r="B3096" s="24" t="s">
        <v>119</v>
      </c>
      <c r="C3096" s="24" t="s">
        <v>6</v>
      </c>
      <c r="D3096" s="24" t="s">
        <v>1969</v>
      </c>
      <c r="E3096" s="24" t="s">
        <v>8</v>
      </c>
      <c r="F3096" s="24" t="s">
        <v>9</v>
      </c>
      <c r="G3096" s="24" t="s">
        <v>8</v>
      </c>
      <c r="H3096" s="24" t="s">
        <v>2514</v>
      </c>
      <c r="I3096" s="27">
        <v>34.31</v>
      </c>
    </row>
    <row r="3097" spans="2:9" ht="16">
      <c r="B3097" s="24" t="s">
        <v>119</v>
      </c>
      <c r="C3097" s="24" t="s">
        <v>6</v>
      </c>
      <c r="D3097" s="24" t="s">
        <v>1935</v>
      </c>
      <c r="E3097" s="24" t="s">
        <v>8</v>
      </c>
      <c r="F3097" s="24" t="s">
        <v>9</v>
      </c>
      <c r="G3097" s="24" t="s">
        <v>8</v>
      </c>
      <c r="H3097" s="24" t="s">
        <v>2515</v>
      </c>
      <c r="I3097" s="27">
        <v>71.63</v>
      </c>
    </row>
    <row r="3098" spans="2:9" ht="16">
      <c r="B3098" s="24" t="s">
        <v>239</v>
      </c>
      <c r="C3098" s="24" t="s">
        <v>6</v>
      </c>
      <c r="D3098" s="24" t="s">
        <v>2041</v>
      </c>
      <c r="E3098" s="24" t="s">
        <v>8</v>
      </c>
      <c r="F3098" s="24" t="s">
        <v>9</v>
      </c>
      <c r="G3098" s="24" t="s">
        <v>8</v>
      </c>
      <c r="H3098" s="24" t="s">
        <v>2516</v>
      </c>
      <c r="I3098" s="27">
        <v>160.62</v>
      </c>
    </row>
    <row r="3099" spans="2:9" ht="16">
      <c r="B3099" s="24" t="s">
        <v>239</v>
      </c>
      <c r="C3099" s="24" t="s">
        <v>6</v>
      </c>
      <c r="D3099" s="24" t="s">
        <v>2491</v>
      </c>
      <c r="E3099" s="24" t="s">
        <v>8</v>
      </c>
      <c r="F3099" s="24" t="s">
        <v>9</v>
      </c>
      <c r="G3099" s="24" t="s">
        <v>8</v>
      </c>
      <c r="H3099" s="24" t="s">
        <v>2517</v>
      </c>
      <c r="I3099" s="27">
        <v>163.9</v>
      </c>
    </row>
    <row r="3100" spans="2:9" ht="16">
      <c r="B3100" s="24" t="s">
        <v>119</v>
      </c>
      <c r="C3100" s="24" t="s">
        <v>6</v>
      </c>
      <c r="D3100" s="24" t="s">
        <v>1961</v>
      </c>
      <c r="E3100" s="24" t="s">
        <v>8</v>
      </c>
      <c r="F3100" s="24" t="s">
        <v>9</v>
      </c>
      <c r="G3100" s="24" t="s">
        <v>8</v>
      </c>
      <c r="H3100" s="24" t="s">
        <v>2518</v>
      </c>
      <c r="I3100" s="27">
        <v>518.88</v>
      </c>
    </row>
    <row r="3101" spans="2:9" ht="16">
      <c r="B3101" s="24" t="s">
        <v>239</v>
      </c>
      <c r="C3101" s="24" t="s">
        <v>6</v>
      </c>
      <c r="D3101" s="24" t="s">
        <v>2041</v>
      </c>
      <c r="E3101" s="24" t="s">
        <v>8</v>
      </c>
      <c r="F3101" s="24" t="s">
        <v>9</v>
      </c>
      <c r="G3101" s="24" t="s">
        <v>8</v>
      </c>
      <c r="H3101" s="24" t="s">
        <v>2519</v>
      </c>
      <c r="I3101" s="27">
        <v>107.99</v>
      </c>
    </row>
    <row r="3102" spans="2:9" ht="16">
      <c r="B3102" s="24" t="s">
        <v>119</v>
      </c>
      <c r="C3102" s="24" t="s">
        <v>6</v>
      </c>
      <c r="D3102" s="24" t="s">
        <v>1961</v>
      </c>
      <c r="E3102" s="24" t="s">
        <v>8</v>
      </c>
      <c r="F3102" s="24" t="s">
        <v>9</v>
      </c>
      <c r="G3102" s="24" t="s">
        <v>8</v>
      </c>
      <c r="H3102" s="24" t="s">
        <v>2520</v>
      </c>
      <c r="I3102" s="27">
        <v>14.1</v>
      </c>
    </row>
    <row r="3103" spans="2:9" ht="16">
      <c r="B3103" s="24" t="s">
        <v>119</v>
      </c>
      <c r="C3103" s="24" t="s">
        <v>6</v>
      </c>
      <c r="D3103" s="24" t="s">
        <v>1961</v>
      </c>
      <c r="E3103" s="24" t="s">
        <v>8</v>
      </c>
      <c r="F3103" s="24" t="s">
        <v>9</v>
      </c>
      <c r="G3103" s="24" t="s">
        <v>8</v>
      </c>
      <c r="H3103" s="24" t="s">
        <v>2521</v>
      </c>
      <c r="I3103" s="27">
        <v>49.96</v>
      </c>
    </row>
    <row r="3104" spans="2:9" ht="16">
      <c r="B3104" s="24" t="s">
        <v>119</v>
      </c>
      <c r="C3104" s="24" t="s">
        <v>6</v>
      </c>
      <c r="D3104" s="24" t="s">
        <v>1955</v>
      </c>
      <c r="E3104" s="24" t="s">
        <v>8</v>
      </c>
      <c r="F3104" s="24" t="s">
        <v>9</v>
      </c>
      <c r="G3104" s="24" t="s">
        <v>8</v>
      </c>
      <c r="H3104" s="24" t="s">
        <v>2522</v>
      </c>
      <c r="I3104" s="27">
        <v>37.99</v>
      </c>
    </row>
    <row r="3105" spans="2:9" ht="16">
      <c r="B3105" s="24" t="s">
        <v>119</v>
      </c>
      <c r="C3105" s="24" t="s">
        <v>6</v>
      </c>
      <c r="D3105" s="24" t="s">
        <v>2077</v>
      </c>
      <c r="E3105" s="24" t="s">
        <v>8</v>
      </c>
      <c r="F3105" s="24" t="s">
        <v>9</v>
      </c>
      <c r="G3105" s="24" t="s">
        <v>8</v>
      </c>
      <c r="H3105" s="24" t="s">
        <v>2523</v>
      </c>
      <c r="I3105" s="27">
        <v>19.54</v>
      </c>
    </row>
    <row r="3106" spans="2:9" ht="16">
      <c r="B3106" s="24" t="s">
        <v>119</v>
      </c>
      <c r="C3106" s="24" t="s">
        <v>6</v>
      </c>
      <c r="D3106" s="24" t="s">
        <v>2088</v>
      </c>
      <c r="E3106" s="24" t="s">
        <v>8</v>
      </c>
      <c r="F3106" s="24" t="s">
        <v>9</v>
      </c>
      <c r="G3106" s="24" t="s">
        <v>8</v>
      </c>
      <c r="H3106" s="24" t="s">
        <v>2524</v>
      </c>
      <c r="I3106" s="27">
        <v>175.65</v>
      </c>
    </row>
    <row r="3107" spans="2:9" ht="16">
      <c r="B3107" s="24" t="s">
        <v>119</v>
      </c>
      <c r="C3107" s="24" t="s">
        <v>6</v>
      </c>
      <c r="D3107" s="24" t="s">
        <v>2088</v>
      </c>
      <c r="E3107" s="24" t="s">
        <v>8</v>
      </c>
      <c r="F3107" s="24" t="s">
        <v>9</v>
      </c>
      <c r="G3107" s="24" t="s">
        <v>8</v>
      </c>
      <c r="H3107" s="24" t="s">
        <v>2525</v>
      </c>
      <c r="I3107" s="27">
        <v>96.84</v>
      </c>
    </row>
    <row r="3108" spans="2:9" ht="16">
      <c r="B3108" s="24" t="s">
        <v>119</v>
      </c>
      <c r="C3108" s="24" t="s">
        <v>6</v>
      </c>
      <c r="D3108" s="24" t="s">
        <v>2496</v>
      </c>
      <c r="E3108" s="24" t="s">
        <v>8</v>
      </c>
      <c r="F3108" s="24" t="s">
        <v>9</v>
      </c>
      <c r="G3108" s="24" t="s">
        <v>8</v>
      </c>
      <c r="H3108" s="24" t="s">
        <v>2526</v>
      </c>
      <c r="I3108" s="27">
        <v>619.61</v>
      </c>
    </row>
    <row r="3109" spans="2:9" ht="16">
      <c r="B3109" s="24" t="s">
        <v>119</v>
      </c>
      <c r="C3109" s="24" t="s">
        <v>6</v>
      </c>
      <c r="D3109" s="24" t="s">
        <v>2496</v>
      </c>
      <c r="E3109" s="24" t="s">
        <v>8</v>
      </c>
      <c r="F3109" s="24" t="s">
        <v>9</v>
      </c>
      <c r="G3109" s="24" t="s">
        <v>8</v>
      </c>
      <c r="H3109" s="24" t="s">
        <v>2527</v>
      </c>
      <c r="I3109" s="27">
        <v>503.66</v>
      </c>
    </row>
    <row r="3110" spans="2:9" ht="16">
      <c r="B3110" s="24" t="s">
        <v>119</v>
      </c>
      <c r="C3110" s="24" t="s">
        <v>6</v>
      </c>
      <c r="D3110" s="24" t="s">
        <v>1773</v>
      </c>
      <c r="E3110" s="24" t="s">
        <v>8</v>
      </c>
      <c r="F3110" s="24" t="s">
        <v>9</v>
      </c>
      <c r="G3110" s="24" t="s">
        <v>8</v>
      </c>
      <c r="H3110" s="24" t="s">
        <v>2528</v>
      </c>
      <c r="I3110" s="27">
        <v>39.65</v>
      </c>
    </row>
    <row r="3111" spans="2:9" ht="16">
      <c r="B3111" s="24" t="s">
        <v>119</v>
      </c>
      <c r="C3111" s="24" t="s">
        <v>6</v>
      </c>
      <c r="D3111" s="24" t="s">
        <v>1944</v>
      </c>
      <c r="E3111" s="24" t="s">
        <v>8</v>
      </c>
      <c r="F3111" s="24" t="s">
        <v>9</v>
      </c>
      <c r="G3111" s="24" t="s">
        <v>8</v>
      </c>
      <c r="H3111" s="24" t="s">
        <v>2529</v>
      </c>
      <c r="I3111" s="27">
        <v>243.54</v>
      </c>
    </row>
    <row r="3112" spans="2:9" ht="16">
      <c r="B3112" s="24" t="s">
        <v>119</v>
      </c>
      <c r="C3112" s="24" t="s">
        <v>6</v>
      </c>
      <c r="D3112" s="24" t="s">
        <v>1773</v>
      </c>
      <c r="E3112" s="24" t="s">
        <v>8</v>
      </c>
      <c r="F3112" s="24" t="s">
        <v>9</v>
      </c>
      <c r="G3112" s="24" t="s">
        <v>8</v>
      </c>
      <c r="H3112" s="24" t="s">
        <v>2530</v>
      </c>
      <c r="I3112" s="27">
        <v>157.13</v>
      </c>
    </row>
    <row r="3113" spans="2:9" ht="16">
      <c r="B3113" s="24" t="s">
        <v>239</v>
      </c>
      <c r="C3113" s="24" t="s">
        <v>6</v>
      </c>
      <c r="D3113" s="24" t="s">
        <v>2494</v>
      </c>
      <c r="E3113" s="24" t="s">
        <v>8</v>
      </c>
      <c r="F3113" s="24" t="s">
        <v>9</v>
      </c>
      <c r="G3113" s="24" t="s">
        <v>8</v>
      </c>
      <c r="H3113" s="24" t="s">
        <v>2531</v>
      </c>
      <c r="I3113" s="27">
        <v>743.8</v>
      </c>
    </row>
    <row r="3114" spans="2:9" ht="16">
      <c r="B3114" s="24" t="s">
        <v>119</v>
      </c>
      <c r="C3114" s="24" t="s">
        <v>6</v>
      </c>
      <c r="D3114" s="24" t="s">
        <v>2494</v>
      </c>
      <c r="E3114" s="24" t="s">
        <v>8</v>
      </c>
      <c r="F3114" s="24" t="s">
        <v>9</v>
      </c>
      <c r="G3114" s="24" t="s">
        <v>8</v>
      </c>
      <c r="H3114" s="24" t="s">
        <v>2532</v>
      </c>
      <c r="I3114" s="27">
        <v>32.56</v>
      </c>
    </row>
    <row r="3115" spans="2:9" ht="16">
      <c r="B3115" s="24" t="s">
        <v>239</v>
      </c>
      <c r="C3115" s="24" t="s">
        <v>6</v>
      </c>
      <c r="D3115" s="24" t="s">
        <v>2533</v>
      </c>
      <c r="E3115" s="24" t="s">
        <v>8</v>
      </c>
      <c r="F3115" s="24" t="s">
        <v>9</v>
      </c>
      <c r="G3115" s="24" t="s">
        <v>8</v>
      </c>
      <c r="H3115" s="24" t="s">
        <v>2534</v>
      </c>
      <c r="I3115" s="27">
        <v>298.56</v>
      </c>
    </row>
    <row r="3116" spans="2:9" ht="16">
      <c r="B3116" s="24" t="s">
        <v>119</v>
      </c>
      <c r="C3116" s="24" t="s">
        <v>6</v>
      </c>
      <c r="D3116" s="24" t="s">
        <v>2477</v>
      </c>
      <c r="E3116" s="24" t="s">
        <v>8</v>
      </c>
      <c r="F3116" s="24" t="s">
        <v>9</v>
      </c>
      <c r="G3116" s="24" t="s">
        <v>8</v>
      </c>
      <c r="H3116" s="24" t="s">
        <v>2535</v>
      </c>
      <c r="I3116" s="27">
        <v>102.64</v>
      </c>
    </row>
    <row r="3117" spans="2:9" ht="16">
      <c r="B3117" s="24" t="s">
        <v>239</v>
      </c>
      <c r="C3117" s="24" t="s">
        <v>6</v>
      </c>
      <c r="D3117" s="24" t="s">
        <v>2477</v>
      </c>
      <c r="E3117" s="24" t="s">
        <v>8</v>
      </c>
      <c r="F3117" s="24" t="s">
        <v>9</v>
      </c>
      <c r="G3117" s="24" t="s">
        <v>8</v>
      </c>
      <c r="H3117" s="24" t="s">
        <v>2536</v>
      </c>
      <c r="I3117" s="27">
        <v>118.46</v>
      </c>
    </row>
    <row r="3118" spans="2:9" ht="16">
      <c r="B3118" s="24" t="s">
        <v>119</v>
      </c>
      <c r="C3118" s="24" t="s">
        <v>6</v>
      </c>
      <c r="D3118" s="24" t="s">
        <v>2093</v>
      </c>
      <c r="E3118" s="24" t="s">
        <v>8</v>
      </c>
      <c r="F3118" s="24" t="s">
        <v>9</v>
      </c>
      <c r="G3118" s="24" t="s">
        <v>8</v>
      </c>
      <c r="H3118" s="24" t="s">
        <v>2537</v>
      </c>
      <c r="I3118" s="27">
        <v>112.9</v>
      </c>
    </row>
    <row r="3119" spans="2:9" ht="16">
      <c r="B3119" s="24" t="s">
        <v>119</v>
      </c>
      <c r="C3119" s="24" t="s">
        <v>6</v>
      </c>
      <c r="D3119" s="24" t="s">
        <v>2538</v>
      </c>
      <c r="E3119" s="24" t="s">
        <v>8</v>
      </c>
      <c r="F3119" s="24" t="s">
        <v>9</v>
      </c>
      <c r="G3119" s="24" t="s">
        <v>8</v>
      </c>
      <c r="H3119" s="24" t="s">
        <v>2539</v>
      </c>
      <c r="I3119" s="27">
        <v>11.51</v>
      </c>
    </row>
    <row r="3120" spans="2:9" ht="16">
      <c r="B3120" s="24" t="s">
        <v>8</v>
      </c>
      <c r="C3120" s="24" t="s">
        <v>6</v>
      </c>
      <c r="D3120" s="24" t="s">
        <v>2540</v>
      </c>
      <c r="E3120" s="24" t="s">
        <v>8</v>
      </c>
      <c r="F3120" s="24" t="s">
        <v>9</v>
      </c>
      <c r="G3120" s="24" t="s">
        <v>8</v>
      </c>
      <c r="H3120" s="24" t="s">
        <v>2541</v>
      </c>
      <c r="I3120" s="27">
        <v>772.22</v>
      </c>
    </row>
    <row r="3121" spans="2:9" ht="16">
      <c r="B3121" s="24" t="s">
        <v>2130</v>
      </c>
      <c r="C3121" s="24" t="s">
        <v>6</v>
      </c>
      <c r="D3121" s="24" t="s">
        <v>2542</v>
      </c>
      <c r="E3121" s="24" t="s">
        <v>8</v>
      </c>
      <c r="F3121" s="24" t="s">
        <v>9</v>
      </c>
      <c r="G3121" s="24" t="s">
        <v>8</v>
      </c>
      <c r="H3121" s="24" t="s">
        <v>2543</v>
      </c>
      <c r="I3121" s="27">
        <v>13.94</v>
      </c>
    </row>
    <row r="3122" spans="2:9" ht="16">
      <c r="B3122" s="24" t="s">
        <v>8</v>
      </c>
      <c r="C3122" s="24" t="s">
        <v>6</v>
      </c>
      <c r="D3122" s="24" t="s">
        <v>2544</v>
      </c>
      <c r="E3122" s="24" t="s">
        <v>8</v>
      </c>
      <c r="F3122" s="24" t="s">
        <v>9</v>
      </c>
      <c r="G3122" s="24" t="s">
        <v>8</v>
      </c>
      <c r="H3122" s="24" t="s">
        <v>2545</v>
      </c>
      <c r="I3122" s="27">
        <v>130.06</v>
      </c>
    </row>
    <row r="3123" spans="2:9" ht="16">
      <c r="B3123" s="24" t="s">
        <v>8</v>
      </c>
      <c r="C3123" s="24" t="s">
        <v>6</v>
      </c>
      <c r="D3123" s="24" t="s">
        <v>2544</v>
      </c>
      <c r="E3123" s="24" t="s">
        <v>8</v>
      </c>
      <c r="F3123" s="24" t="s">
        <v>9</v>
      </c>
      <c r="G3123" s="24" t="s">
        <v>8</v>
      </c>
      <c r="H3123" s="24" t="s">
        <v>2546</v>
      </c>
      <c r="I3123" s="27">
        <v>268.77</v>
      </c>
    </row>
    <row r="3124" spans="2:9" ht="16">
      <c r="B3124" s="24" t="s">
        <v>8</v>
      </c>
      <c r="C3124" s="24" t="s">
        <v>6</v>
      </c>
      <c r="D3124" s="24" t="s">
        <v>2547</v>
      </c>
      <c r="E3124" s="24" t="s">
        <v>8</v>
      </c>
      <c r="F3124" s="24" t="s">
        <v>9</v>
      </c>
      <c r="G3124" s="24" t="s">
        <v>8</v>
      </c>
      <c r="H3124" s="24" t="s">
        <v>2548</v>
      </c>
      <c r="I3124" s="27">
        <v>58.12</v>
      </c>
    </row>
    <row r="3125" spans="2:9" ht="16">
      <c r="B3125" s="24" t="s">
        <v>8</v>
      </c>
      <c r="C3125" s="24" t="s">
        <v>6</v>
      </c>
      <c r="D3125" s="24" t="s">
        <v>2547</v>
      </c>
      <c r="E3125" s="24" t="s">
        <v>8</v>
      </c>
      <c r="F3125" s="24" t="s">
        <v>9</v>
      </c>
      <c r="G3125" s="24" t="s">
        <v>8</v>
      </c>
      <c r="H3125" s="24" t="s">
        <v>2549</v>
      </c>
      <c r="I3125" s="27">
        <v>4.33</v>
      </c>
    </row>
    <row r="3126" spans="2:9" ht="16">
      <c r="B3126" s="24" t="s">
        <v>794</v>
      </c>
      <c r="C3126" s="24" t="s">
        <v>6</v>
      </c>
      <c r="D3126" s="24" t="s">
        <v>1972</v>
      </c>
      <c r="E3126" s="24" t="s">
        <v>8</v>
      </c>
      <c r="F3126" s="24" t="s">
        <v>9</v>
      </c>
      <c r="G3126" s="24" t="s">
        <v>8</v>
      </c>
      <c r="H3126" s="24" t="s">
        <v>2550</v>
      </c>
      <c r="I3126" s="27">
        <v>14.13</v>
      </c>
    </row>
    <row r="3127" spans="2:9" ht="16">
      <c r="B3127" s="24" t="s">
        <v>1793</v>
      </c>
      <c r="C3127" s="24" t="s">
        <v>150</v>
      </c>
      <c r="D3127" s="24" t="s">
        <v>1977</v>
      </c>
      <c r="E3127" s="24" t="s">
        <v>2551</v>
      </c>
      <c r="F3127" s="24" t="s">
        <v>9</v>
      </c>
      <c r="G3127" s="24" t="s">
        <v>8</v>
      </c>
      <c r="H3127" s="24" t="s">
        <v>2552</v>
      </c>
      <c r="I3127" s="27">
        <v>41.14</v>
      </c>
    </row>
    <row r="3128" spans="2:9" ht="16">
      <c r="B3128" s="24" t="s">
        <v>316</v>
      </c>
      <c r="C3128" s="24" t="s">
        <v>6</v>
      </c>
      <c r="D3128" s="24" t="s">
        <v>2474</v>
      </c>
      <c r="E3128" s="24" t="s">
        <v>8</v>
      </c>
      <c r="F3128" s="24" t="s">
        <v>9</v>
      </c>
      <c r="G3128" s="24" t="s">
        <v>8</v>
      </c>
      <c r="H3128" s="24" t="s">
        <v>2553</v>
      </c>
      <c r="I3128" s="27">
        <v>320.47</v>
      </c>
    </row>
    <row r="3129" spans="2:9" ht="16">
      <c r="B3129" s="24" t="s">
        <v>8</v>
      </c>
      <c r="C3129" s="24" t="s">
        <v>139</v>
      </c>
      <c r="D3129" s="24" t="s">
        <v>2554</v>
      </c>
      <c r="E3129" s="24" t="s">
        <v>8</v>
      </c>
      <c r="F3129" s="24" t="s">
        <v>9</v>
      </c>
      <c r="G3129" s="24" t="s">
        <v>8</v>
      </c>
      <c r="H3129" s="24" t="s">
        <v>2553</v>
      </c>
      <c r="I3129" s="27">
        <v>-320.47</v>
      </c>
    </row>
    <row r="3130" spans="2:9" ht="16">
      <c r="B3130" s="24" t="s">
        <v>316</v>
      </c>
      <c r="C3130" s="24" t="s">
        <v>6</v>
      </c>
      <c r="D3130" s="24" t="s">
        <v>1972</v>
      </c>
      <c r="E3130" s="24" t="s">
        <v>8</v>
      </c>
      <c r="F3130" s="24" t="s">
        <v>9</v>
      </c>
      <c r="G3130" s="24" t="s">
        <v>8</v>
      </c>
      <c r="H3130" s="24" t="s">
        <v>2553</v>
      </c>
      <c r="I3130" s="27">
        <v>529.85</v>
      </c>
    </row>
    <row r="3131" spans="2:9" ht="16">
      <c r="B3131" s="24" t="s">
        <v>316</v>
      </c>
      <c r="C3131" s="24" t="s">
        <v>6</v>
      </c>
      <c r="D3131" s="24" t="s">
        <v>2555</v>
      </c>
      <c r="E3131" s="24" t="s">
        <v>8</v>
      </c>
      <c r="F3131" s="24" t="s">
        <v>9</v>
      </c>
      <c r="G3131" s="24" t="s">
        <v>8</v>
      </c>
      <c r="H3131" s="24" t="s">
        <v>2556</v>
      </c>
      <c r="I3131" s="27">
        <v>76.36</v>
      </c>
    </row>
    <row r="3132" spans="2:9" ht="16">
      <c r="B3132" s="24" t="s">
        <v>316</v>
      </c>
      <c r="C3132" s="24" t="s">
        <v>6</v>
      </c>
      <c r="D3132" s="24" t="s">
        <v>2557</v>
      </c>
      <c r="E3132" s="24" t="s">
        <v>8</v>
      </c>
      <c r="F3132" s="24" t="s">
        <v>9</v>
      </c>
      <c r="G3132" s="24" t="s">
        <v>8</v>
      </c>
      <c r="H3132" s="24" t="s">
        <v>2558</v>
      </c>
      <c r="I3132" s="27">
        <v>64.03</v>
      </c>
    </row>
    <row r="3133" spans="2:9" ht="16">
      <c r="B3133" s="24" t="s">
        <v>8</v>
      </c>
      <c r="C3133" s="24" t="s">
        <v>6</v>
      </c>
      <c r="D3133" s="24" t="s">
        <v>1687</v>
      </c>
      <c r="E3133" s="24" t="s">
        <v>8</v>
      </c>
      <c r="F3133" s="24" t="s">
        <v>9</v>
      </c>
      <c r="G3133" s="24" t="s">
        <v>8</v>
      </c>
      <c r="H3133" s="24" t="s">
        <v>2559</v>
      </c>
      <c r="I3133" s="27">
        <v>15.25</v>
      </c>
    </row>
    <row r="3134" spans="2:9" ht="16">
      <c r="B3134" s="24" t="s">
        <v>119</v>
      </c>
      <c r="C3134" s="24" t="s">
        <v>6</v>
      </c>
      <c r="D3134" s="24" t="s">
        <v>2560</v>
      </c>
      <c r="E3134" s="24" t="s">
        <v>8</v>
      </c>
      <c r="F3134" s="24" t="s">
        <v>9</v>
      </c>
      <c r="G3134" s="24" t="s">
        <v>8</v>
      </c>
      <c r="H3134" s="24" t="s">
        <v>2561</v>
      </c>
      <c r="I3134" s="27">
        <v>70.19</v>
      </c>
    </row>
    <row r="3135" spans="2:9" ht="16">
      <c r="B3135" s="24" t="s">
        <v>119</v>
      </c>
      <c r="C3135" s="24" t="s">
        <v>6</v>
      </c>
      <c r="D3135" s="24" t="s">
        <v>2560</v>
      </c>
      <c r="E3135" s="24" t="s">
        <v>8</v>
      </c>
      <c r="F3135" s="24" t="s">
        <v>9</v>
      </c>
      <c r="G3135" s="24" t="s">
        <v>8</v>
      </c>
      <c r="H3135" s="24" t="s">
        <v>2561</v>
      </c>
      <c r="I3135" s="27">
        <v>12.98</v>
      </c>
    </row>
    <row r="3136" spans="2:9" ht="16">
      <c r="B3136" s="24" t="s">
        <v>119</v>
      </c>
      <c r="C3136" s="24" t="s">
        <v>6</v>
      </c>
      <c r="D3136" s="24" t="s">
        <v>1673</v>
      </c>
      <c r="E3136" s="24" t="s">
        <v>8</v>
      </c>
      <c r="F3136" s="24" t="s">
        <v>9</v>
      </c>
      <c r="G3136" s="24" t="s">
        <v>8</v>
      </c>
      <c r="H3136" s="24" t="s">
        <v>2561</v>
      </c>
      <c r="I3136" s="27">
        <v>50.38</v>
      </c>
    </row>
    <row r="3137" spans="2:9" ht="16">
      <c r="B3137" s="24" t="s">
        <v>119</v>
      </c>
      <c r="C3137" s="24" t="s">
        <v>6</v>
      </c>
      <c r="D3137" s="24" t="s">
        <v>2562</v>
      </c>
      <c r="E3137" s="24" t="s">
        <v>8</v>
      </c>
      <c r="F3137" s="24" t="s">
        <v>9</v>
      </c>
      <c r="G3137" s="24" t="s">
        <v>8</v>
      </c>
      <c r="H3137" s="24" t="s">
        <v>2563</v>
      </c>
      <c r="I3137" s="27">
        <v>51.8</v>
      </c>
    </row>
    <row r="3138" spans="2:9" ht="16">
      <c r="B3138" s="24" t="s">
        <v>119</v>
      </c>
      <c r="C3138" s="24" t="s">
        <v>6</v>
      </c>
      <c r="D3138" s="24" t="s">
        <v>1944</v>
      </c>
      <c r="E3138" s="24" t="s">
        <v>8</v>
      </c>
      <c r="F3138" s="24" t="s">
        <v>9</v>
      </c>
      <c r="G3138" s="24" t="s">
        <v>8</v>
      </c>
      <c r="H3138" s="24" t="s">
        <v>2563</v>
      </c>
      <c r="I3138" s="27">
        <v>21.68</v>
      </c>
    </row>
    <row r="3139" spans="2:9" ht="16">
      <c r="B3139" s="24" t="s">
        <v>8</v>
      </c>
      <c r="C3139" s="24" t="s">
        <v>6</v>
      </c>
      <c r="D3139" s="24" t="s">
        <v>2099</v>
      </c>
      <c r="E3139" s="24" t="s">
        <v>8</v>
      </c>
      <c r="F3139" s="24" t="s">
        <v>9</v>
      </c>
      <c r="G3139" s="24" t="s">
        <v>8</v>
      </c>
      <c r="H3139" s="24" t="s">
        <v>2563</v>
      </c>
      <c r="I3139" s="27">
        <v>32.81</v>
      </c>
    </row>
    <row r="3140" spans="2:9" ht="16">
      <c r="B3140" s="24" t="s">
        <v>119</v>
      </c>
      <c r="C3140" s="24" t="s">
        <v>6</v>
      </c>
      <c r="D3140" s="24" t="s">
        <v>2494</v>
      </c>
      <c r="E3140" s="24" t="s">
        <v>8</v>
      </c>
      <c r="F3140" s="24" t="s">
        <v>9</v>
      </c>
      <c r="G3140" s="24" t="s">
        <v>8</v>
      </c>
      <c r="H3140" s="24" t="s">
        <v>2563</v>
      </c>
      <c r="I3140" s="27">
        <v>35.68</v>
      </c>
    </row>
    <row r="3141" spans="2:9" ht="16">
      <c r="B3141" s="24" t="s">
        <v>119</v>
      </c>
      <c r="C3141" s="24" t="s">
        <v>6</v>
      </c>
      <c r="D3141" s="24" t="s">
        <v>1655</v>
      </c>
      <c r="E3141" s="24" t="s">
        <v>8</v>
      </c>
      <c r="F3141" s="24" t="s">
        <v>9</v>
      </c>
      <c r="G3141" s="24" t="s">
        <v>8</v>
      </c>
      <c r="H3141" s="24" t="s">
        <v>2563</v>
      </c>
      <c r="I3141" s="27">
        <v>32.58</v>
      </c>
    </row>
    <row r="3142" spans="2:9" ht="16">
      <c r="B3142" s="24" t="s">
        <v>119</v>
      </c>
      <c r="C3142" s="24" t="s">
        <v>6</v>
      </c>
      <c r="D3142" s="24" t="s">
        <v>2443</v>
      </c>
      <c r="E3142" s="24" t="s">
        <v>8</v>
      </c>
      <c r="F3142" s="24" t="s">
        <v>9</v>
      </c>
      <c r="G3142" s="24" t="s">
        <v>8</v>
      </c>
      <c r="H3142" s="24" t="s">
        <v>2563</v>
      </c>
      <c r="I3142" s="27">
        <v>55.36</v>
      </c>
    </row>
    <row r="3143" spans="2:9" ht="16">
      <c r="B3143" s="24" t="s">
        <v>119</v>
      </c>
      <c r="C3143" s="24" t="s">
        <v>6</v>
      </c>
      <c r="D3143" s="24" t="s">
        <v>2028</v>
      </c>
      <c r="E3143" s="24" t="s">
        <v>2564</v>
      </c>
      <c r="F3143" s="24" t="s">
        <v>9</v>
      </c>
      <c r="G3143" s="24" t="s">
        <v>8</v>
      </c>
      <c r="H3143" s="24" t="s">
        <v>527</v>
      </c>
      <c r="I3143" s="27">
        <v>126.13</v>
      </c>
    </row>
    <row r="3144" spans="2:9" ht="16">
      <c r="B3144" s="24" t="s">
        <v>239</v>
      </c>
      <c r="C3144" s="24" t="s">
        <v>6</v>
      </c>
      <c r="D3144" s="24" t="s">
        <v>1615</v>
      </c>
      <c r="E3144" s="24" t="s">
        <v>8</v>
      </c>
      <c r="F3144" s="24" t="s">
        <v>9</v>
      </c>
      <c r="G3144" s="24" t="s">
        <v>8</v>
      </c>
      <c r="H3144" s="24" t="s">
        <v>527</v>
      </c>
      <c r="I3144" s="27">
        <v>123.82</v>
      </c>
    </row>
    <row r="3145" spans="2:9" ht="16">
      <c r="B3145" s="24" t="s">
        <v>119</v>
      </c>
      <c r="C3145" s="24" t="s">
        <v>6</v>
      </c>
      <c r="D3145" s="24" t="s">
        <v>2018</v>
      </c>
      <c r="E3145" s="24" t="s">
        <v>2565</v>
      </c>
      <c r="F3145" s="24" t="s">
        <v>9</v>
      </c>
      <c r="G3145" s="24" t="s">
        <v>8</v>
      </c>
      <c r="H3145" s="24" t="s">
        <v>527</v>
      </c>
      <c r="I3145" s="27">
        <v>32.6</v>
      </c>
    </row>
    <row r="3146" spans="2:9" ht="16">
      <c r="B3146" s="24" t="s">
        <v>119</v>
      </c>
      <c r="C3146" s="24" t="s">
        <v>6</v>
      </c>
      <c r="D3146" s="24" t="s">
        <v>2016</v>
      </c>
      <c r="E3146" s="24" t="s">
        <v>2566</v>
      </c>
      <c r="F3146" s="24" t="s">
        <v>9</v>
      </c>
      <c r="G3146" s="24" t="s">
        <v>8</v>
      </c>
      <c r="H3146" s="24" t="s">
        <v>527</v>
      </c>
      <c r="I3146" s="27">
        <v>36.86</v>
      </c>
    </row>
    <row r="3147" spans="2:9" ht="16">
      <c r="B3147" s="24" t="s">
        <v>8</v>
      </c>
      <c r="C3147" s="24" t="s">
        <v>6</v>
      </c>
      <c r="D3147" s="24" t="s">
        <v>2014</v>
      </c>
      <c r="E3147" s="24" t="s">
        <v>8</v>
      </c>
      <c r="F3147" s="24" t="s">
        <v>9</v>
      </c>
      <c r="G3147" s="24" t="s">
        <v>8</v>
      </c>
      <c r="H3147" s="24" t="s">
        <v>527</v>
      </c>
      <c r="I3147" s="27">
        <v>138.89</v>
      </c>
    </row>
    <row r="3148" spans="2:9" ht="16">
      <c r="B3148" s="24" t="s">
        <v>119</v>
      </c>
      <c r="C3148" s="24" t="s">
        <v>6</v>
      </c>
      <c r="D3148" s="24" t="s">
        <v>2016</v>
      </c>
      <c r="E3148" s="24" t="s">
        <v>2567</v>
      </c>
      <c r="F3148" s="24" t="s">
        <v>9</v>
      </c>
      <c r="G3148" s="24" t="s">
        <v>8</v>
      </c>
      <c r="H3148" s="24" t="s">
        <v>527</v>
      </c>
      <c r="I3148" s="27">
        <v>105.69</v>
      </c>
    </row>
    <row r="3149" spans="2:9" ht="16">
      <c r="B3149" s="24" t="s">
        <v>127</v>
      </c>
      <c r="C3149" s="24" t="s">
        <v>6</v>
      </c>
      <c r="D3149" s="24" t="s">
        <v>2487</v>
      </c>
      <c r="E3149" s="24" t="s">
        <v>8</v>
      </c>
      <c r="F3149" s="24" t="s">
        <v>9</v>
      </c>
      <c r="G3149" s="24" t="s">
        <v>8</v>
      </c>
      <c r="H3149" s="24" t="s">
        <v>2568</v>
      </c>
      <c r="I3149" s="27">
        <v>14.4</v>
      </c>
    </row>
    <row r="3150" spans="2:9" ht="16">
      <c r="B3150" s="24" t="s">
        <v>2569</v>
      </c>
      <c r="C3150" s="24" t="s">
        <v>13</v>
      </c>
      <c r="D3150" s="24" t="s">
        <v>2028</v>
      </c>
      <c r="E3150" s="24" t="s">
        <v>2570</v>
      </c>
      <c r="F3150" s="24" t="s">
        <v>9</v>
      </c>
      <c r="G3150" s="24" t="s">
        <v>8</v>
      </c>
      <c r="H3150" s="24" t="s">
        <v>8</v>
      </c>
      <c r="I3150" s="27">
        <v>5941.35</v>
      </c>
    </row>
    <row r="3151" spans="2:9" ht="16">
      <c r="B3151" s="24" t="s">
        <v>2569</v>
      </c>
      <c r="C3151" s="24" t="s">
        <v>13</v>
      </c>
      <c r="D3151" s="24" t="s">
        <v>2538</v>
      </c>
      <c r="E3151" s="24" t="s">
        <v>2571</v>
      </c>
      <c r="F3151" s="24" t="s">
        <v>9</v>
      </c>
      <c r="G3151" s="24" t="s">
        <v>8</v>
      </c>
      <c r="H3151" s="24" t="s">
        <v>8</v>
      </c>
      <c r="I3151" s="27">
        <v>29.46</v>
      </c>
    </row>
    <row r="3152" spans="2:9" ht="16">
      <c r="B3152" s="24" t="s">
        <v>2569</v>
      </c>
      <c r="C3152" s="24" t="s">
        <v>13</v>
      </c>
      <c r="D3152" s="24" t="s">
        <v>2028</v>
      </c>
      <c r="E3152" s="24" t="s">
        <v>2572</v>
      </c>
      <c r="F3152" s="24" t="s">
        <v>9</v>
      </c>
      <c r="G3152" s="24" t="s">
        <v>8</v>
      </c>
      <c r="H3152" s="24" t="s">
        <v>8</v>
      </c>
      <c r="I3152" s="27">
        <v>4543.09</v>
      </c>
    </row>
    <row r="3153" spans="2:9" ht="16">
      <c r="B3153" s="24" t="s">
        <v>2569</v>
      </c>
      <c r="C3153" s="24" t="s">
        <v>13</v>
      </c>
      <c r="D3153" s="24" t="s">
        <v>2028</v>
      </c>
      <c r="E3153" s="24" t="s">
        <v>2573</v>
      </c>
      <c r="F3153" s="24" t="s">
        <v>9</v>
      </c>
      <c r="G3153" s="24" t="s">
        <v>8</v>
      </c>
      <c r="H3153" s="24" t="s">
        <v>8</v>
      </c>
      <c r="I3153" s="27">
        <v>4955.55</v>
      </c>
    </row>
    <row r="3154" spans="2:9" ht="16">
      <c r="B3154" s="24" t="s">
        <v>2569</v>
      </c>
      <c r="C3154" s="24" t="s">
        <v>13</v>
      </c>
      <c r="D3154" s="24" t="s">
        <v>2028</v>
      </c>
      <c r="E3154" s="24" t="s">
        <v>2574</v>
      </c>
      <c r="F3154" s="24" t="s">
        <v>9</v>
      </c>
      <c r="G3154" s="24" t="s">
        <v>8</v>
      </c>
      <c r="H3154" s="24" t="s">
        <v>8</v>
      </c>
      <c r="I3154" s="27">
        <v>5240.8</v>
      </c>
    </row>
    <row r="3155" spans="1:9" ht="16">
      <c r="A3155" s="35" t="s">
        <v>40</v>
      </c>
      <c r="I3155" s="28">
        <f>I3070+I3071+I3072+I3073+I3074+I3075+I3076+I3077+I3078+I3079+I3080+I3081+I3082+I3083+I3084+I3085+I3086+I3087+I3088+I3089+I3090+I3091+I3092+I3093+I3094+I3095+I3096+I3097+I3098+I3099+I3100+I3101+I3102+I3103+I3104+I3105+I3106+I3107+I3108+I3109+I3110+I3111+I3112+I3113+I3114+I3115+I3116+I3117+I3118+I3119+I3120+I3121+I3122+I3123+I3124+I3125+I3126+I3127+I3128+I3129+I3130+I3131+I3132+I3133+I3134+I3135+I3136+I3137+I3138+I3139+I3140+I3141+I3142+I3143+I3144+I3145+I3146+I3147+I3148+I3149+I3150+I3151+I3152+I3153+I3154</f>
        <v>55272.94000000002</v>
      </c>
    </row>
    <row r="3156" spans="1:1" ht="16">
      <c r="A3156" s="34" t="s">
        <v>2452</v>
      </c>
    </row>
    <row r="3157" spans="2:9" ht="16">
      <c r="B3157" s="24" t="s">
        <v>589</v>
      </c>
      <c r="C3157" s="24" t="s">
        <v>6</v>
      </c>
      <c r="D3157" s="24" t="s">
        <v>2575</v>
      </c>
      <c r="E3157" s="24" t="s">
        <v>8</v>
      </c>
      <c r="F3157" s="24" t="s">
        <v>42</v>
      </c>
      <c r="G3157" s="24" t="s">
        <v>8</v>
      </c>
      <c r="H3157" s="24" t="s">
        <v>2576</v>
      </c>
      <c r="I3157" s="27">
        <v>-504.89</v>
      </c>
    </row>
    <row r="3158" spans="2:9" ht="16">
      <c r="B3158" s="24" t="s">
        <v>589</v>
      </c>
      <c r="C3158" s="24" t="s">
        <v>6</v>
      </c>
      <c r="D3158" s="24" t="s">
        <v>2575</v>
      </c>
      <c r="E3158" s="24" t="s">
        <v>8</v>
      </c>
      <c r="F3158" s="24" t="s">
        <v>42</v>
      </c>
      <c r="G3158" s="24" t="s">
        <v>8</v>
      </c>
      <c r="H3158" s="24" t="s">
        <v>2576</v>
      </c>
      <c r="I3158" s="27">
        <v>504.89</v>
      </c>
    </row>
    <row r="3159" spans="1:9" ht="16">
      <c r="A3159" s="35" t="s">
        <v>666</v>
      </c>
      <c r="I3159" s="28">
        <f>I3156+I3157+I3158</f>
        <v>0.0</v>
      </c>
    </row>
    <row r="3160" spans="1:1" ht="16">
      <c r="A3160" s="34" t="s">
        <v>2452</v>
      </c>
    </row>
    <row r="3161" spans="2:9" ht="16">
      <c r="B3161" s="24" t="s">
        <v>961</v>
      </c>
      <c r="C3161" s="24" t="s">
        <v>6</v>
      </c>
      <c r="D3161" s="24" t="s">
        <v>1655</v>
      </c>
      <c r="E3161" s="24" t="s">
        <v>8</v>
      </c>
      <c r="F3161" s="24" t="s">
        <v>9</v>
      </c>
      <c r="G3161" s="24" t="s">
        <v>8</v>
      </c>
      <c r="H3161" s="24" t="s">
        <v>53</v>
      </c>
      <c r="I3161" s="27">
        <v>232.62</v>
      </c>
    </row>
    <row r="3162" spans="1:9" ht="16">
      <c r="A3162" s="35" t="s">
        <v>1656</v>
      </c>
      <c r="I3162" s="28">
        <f>I3160+I3161</f>
        <v>232.62</v>
      </c>
    </row>
    <row r="3163" spans="1:1" ht="16">
      <c r="A3163" s="34" t="s">
        <v>2452</v>
      </c>
    </row>
    <row r="3164" spans="2:9" ht="16">
      <c r="B3164" s="24" t="s">
        <v>2130</v>
      </c>
      <c r="C3164" s="24" t="s">
        <v>6</v>
      </c>
      <c r="D3164" s="24" t="s">
        <v>2577</v>
      </c>
      <c r="E3164" s="24" t="s">
        <v>8</v>
      </c>
      <c r="F3164" s="24" t="s">
        <v>9</v>
      </c>
      <c r="G3164" s="24" t="s">
        <v>8</v>
      </c>
      <c r="H3164" s="24" t="s">
        <v>2045</v>
      </c>
      <c r="I3164" s="27">
        <v>61.81</v>
      </c>
    </row>
    <row r="3165" spans="2:9" ht="16">
      <c r="B3165" s="24" t="s">
        <v>2130</v>
      </c>
      <c r="C3165" s="24" t="s">
        <v>6</v>
      </c>
      <c r="D3165" s="24" t="s">
        <v>2578</v>
      </c>
      <c r="E3165" s="24" t="s">
        <v>8</v>
      </c>
      <c r="F3165" s="24" t="s">
        <v>9</v>
      </c>
      <c r="G3165" s="24" t="s">
        <v>8</v>
      </c>
      <c r="H3165" s="24" t="s">
        <v>2045</v>
      </c>
      <c r="I3165" s="27">
        <v>138.9</v>
      </c>
    </row>
    <row r="3166" spans="1:9" ht="16">
      <c r="A3166" s="35" t="s">
        <v>267</v>
      </c>
      <c r="I3166" s="28">
        <f>I3163+I3164+I3165</f>
        <v>200.71</v>
      </c>
    </row>
    <row r="3167" spans="1:1" ht="16">
      <c r="A3167" s="34" t="s">
        <v>2452</v>
      </c>
    </row>
    <row r="3168" spans="2:9" ht="16">
      <c r="B3168" s="24" t="s">
        <v>2579</v>
      </c>
      <c r="C3168" s="24" t="s">
        <v>13</v>
      </c>
      <c r="D3168" s="24" t="s">
        <v>2443</v>
      </c>
      <c r="E3168" s="24" t="s">
        <v>2580</v>
      </c>
      <c r="F3168" s="24" t="s">
        <v>9</v>
      </c>
      <c r="G3168" s="24" t="s">
        <v>8</v>
      </c>
      <c r="H3168" s="24" t="s">
        <v>2581</v>
      </c>
      <c r="I3168" s="27">
        <v>9259.0</v>
      </c>
    </row>
    <row r="3169" spans="2:9" ht="16">
      <c r="B3169" s="24" t="s">
        <v>2579</v>
      </c>
      <c r="C3169" s="24" t="s">
        <v>13</v>
      </c>
      <c r="D3169" s="24" t="s">
        <v>2578</v>
      </c>
      <c r="E3169" s="24" t="s">
        <v>2582</v>
      </c>
      <c r="F3169" s="24" t="s">
        <v>9</v>
      </c>
      <c r="G3169" s="24" t="s">
        <v>8</v>
      </c>
      <c r="H3169" s="24" t="s">
        <v>2583</v>
      </c>
      <c r="I3169" s="27">
        <v>9259.0</v>
      </c>
    </row>
    <row r="3170" spans="2:9" ht="16">
      <c r="B3170" s="24" t="s">
        <v>2584</v>
      </c>
      <c r="C3170" s="24" t="s">
        <v>6</v>
      </c>
      <c r="D3170" s="24" t="s">
        <v>2585</v>
      </c>
      <c r="E3170" s="24" t="s">
        <v>8</v>
      </c>
      <c r="F3170" s="24" t="s">
        <v>9</v>
      </c>
      <c r="G3170" s="24" t="s">
        <v>8</v>
      </c>
      <c r="H3170" s="24" t="s">
        <v>2586</v>
      </c>
      <c r="I3170" s="27">
        <v>375.0</v>
      </c>
    </row>
    <row r="3171" spans="2:9" ht="16">
      <c r="B3171" s="24" t="s">
        <v>2584</v>
      </c>
      <c r="C3171" s="24" t="s">
        <v>6</v>
      </c>
      <c r="D3171" s="24" t="s">
        <v>2587</v>
      </c>
      <c r="E3171" s="24" t="s">
        <v>8</v>
      </c>
      <c r="F3171" s="24" t="s">
        <v>9</v>
      </c>
      <c r="G3171" s="24" t="s">
        <v>8</v>
      </c>
      <c r="H3171" s="24" t="s">
        <v>2588</v>
      </c>
      <c r="I3171" s="27">
        <v>6640.0</v>
      </c>
    </row>
    <row r="3172" spans="1:9" ht="16">
      <c r="A3172" s="35" t="s">
        <v>164</v>
      </c>
      <c r="I3172" s="28">
        <f>I3167+I3168+I3169+I3170+I3171</f>
        <v>25533.0</v>
      </c>
    </row>
    <row r="3173" spans="1:1" ht="16">
      <c r="A3173" s="34" t="s">
        <v>2452</v>
      </c>
    </row>
    <row r="3174" spans="2:9" ht="16">
      <c r="B3174" s="24" t="s">
        <v>45</v>
      </c>
      <c r="C3174" s="24" t="s">
        <v>13</v>
      </c>
      <c r="D3174" s="24" t="s">
        <v>2589</v>
      </c>
      <c r="E3174" s="24" t="s">
        <v>8</v>
      </c>
      <c r="F3174" s="24" t="s">
        <v>9</v>
      </c>
      <c r="G3174" s="24" t="s">
        <v>8</v>
      </c>
      <c r="H3174" s="24" t="s">
        <v>2452</v>
      </c>
      <c r="I3174" s="27">
        <v>158.88</v>
      </c>
    </row>
    <row r="3175" spans="2:9" ht="16">
      <c r="B3175" s="24" t="s">
        <v>8</v>
      </c>
      <c r="C3175" s="24" t="s">
        <v>6</v>
      </c>
      <c r="D3175" s="24" t="s">
        <v>1597</v>
      </c>
      <c r="E3175" s="24" t="s">
        <v>8</v>
      </c>
      <c r="F3175" s="24" t="s">
        <v>9</v>
      </c>
      <c r="G3175" s="24" t="s">
        <v>8</v>
      </c>
      <c r="H3175" s="24" t="s">
        <v>47</v>
      </c>
      <c r="I3175" s="27">
        <v>132.4</v>
      </c>
    </row>
    <row r="3176" spans="2:9" ht="16">
      <c r="B3176" s="24" t="s">
        <v>8</v>
      </c>
      <c r="C3176" s="24" t="s">
        <v>6</v>
      </c>
      <c r="D3176" s="24" t="s">
        <v>1673</v>
      </c>
      <c r="E3176" s="24" t="s">
        <v>8</v>
      </c>
      <c r="F3176" s="24" t="s">
        <v>9</v>
      </c>
      <c r="G3176" s="24" t="s">
        <v>8</v>
      </c>
      <c r="H3176" s="24" t="s">
        <v>47</v>
      </c>
      <c r="I3176" s="27">
        <v>1106.88</v>
      </c>
    </row>
    <row r="3177" spans="2:9" ht="16">
      <c r="B3177" s="24" t="s">
        <v>8</v>
      </c>
      <c r="C3177" s="24" t="s">
        <v>6</v>
      </c>
      <c r="D3177" s="24" t="s">
        <v>1673</v>
      </c>
      <c r="E3177" s="24" t="s">
        <v>8</v>
      </c>
      <c r="F3177" s="24" t="s">
        <v>9</v>
      </c>
      <c r="G3177" s="24" t="s">
        <v>8</v>
      </c>
      <c r="H3177" s="24" t="s">
        <v>47</v>
      </c>
      <c r="I3177" s="27">
        <v>4392.87</v>
      </c>
    </row>
    <row r="3178" spans="2:9" ht="16">
      <c r="B3178" s="24" t="s">
        <v>8</v>
      </c>
      <c r="C3178" s="24" t="s">
        <v>6</v>
      </c>
      <c r="D3178" s="24" t="s">
        <v>1672</v>
      </c>
      <c r="E3178" s="24" t="s">
        <v>8</v>
      </c>
      <c r="F3178" s="24" t="s">
        <v>9</v>
      </c>
      <c r="G3178" s="24" t="s">
        <v>8</v>
      </c>
      <c r="H3178" s="24" t="s">
        <v>47</v>
      </c>
      <c r="I3178" s="27">
        <v>6384.0</v>
      </c>
    </row>
    <row r="3179" spans="2:9" ht="16">
      <c r="B3179" s="24" t="s">
        <v>45</v>
      </c>
      <c r="C3179" s="24" t="s">
        <v>13</v>
      </c>
      <c r="D3179" s="24" t="s">
        <v>2137</v>
      </c>
      <c r="E3179" s="24" t="s">
        <v>2138</v>
      </c>
      <c r="F3179" s="24" t="s">
        <v>9</v>
      </c>
      <c r="G3179" s="24" t="s">
        <v>8</v>
      </c>
      <c r="H3179" s="24" t="s">
        <v>8</v>
      </c>
      <c r="I3179" s="27">
        <v>5463.61</v>
      </c>
    </row>
    <row r="3180" spans="2:9" ht="16">
      <c r="B3180" s="24" t="s">
        <v>45</v>
      </c>
      <c r="C3180" s="24" t="s">
        <v>13</v>
      </c>
      <c r="D3180" s="24" t="s">
        <v>1674</v>
      </c>
      <c r="E3180" s="24" t="s">
        <v>8</v>
      </c>
      <c r="F3180" s="24" t="s">
        <v>9</v>
      </c>
      <c r="G3180" s="24" t="s">
        <v>8</v>
      </c>
      <c r="H3180" s="24" t="s">
        <v>8</v>
      </c>
      <c r="I3180" s="27">
        <v>11082.47</v>
      </c>
    </row>
    <row r="3181" spans="2:9" ht="16">
      <c r="B3181" s="24" t="s">
        <v>45</v>
      </c>
      <c r="C3181" s="24" t="s">
        <v>13</v>
      </c>
      <c r="D3181" s="24" t="s">
        <v>2135</v>
      </c>
      <c r="E3181" s="24" t="s">
        <v>2136</v>
      </c>
      <c r="F3181" s="24" t="s">
        <v>9</v>
      </c>
      <c r="G3181" s="24" t="s">
        <v>8</v>
      </c>
      <c r="H3181" s="24" t="s">
        <v>8</v>
      </c>
      <c r="I3181" s="27">
        <v>1615.29</v>
      </c>
    </row>
    <row r="3182" spans="1:9" ht="16">
      <c r="A3182" s="35" t="s">
        <v>50</v>
      </c>
      <c r="I3182" s="28">
        <f>I3173+I3174+I3175+I3176+I3177+I3178+I3179+I3180+I3181</f>
        <v>30336.4</v>
      </c>
    </row>
    <row r="3183" spans="1:1" ht="16">
      <c r="A3183" s="34" t="s">
        <v>2452</v>
      </c>
    </row>
    <row r="3184" spans="2:9" ht="16">
      <c r="B3184" s="24" t="s">
        <v>8</v>
      </c>
      <c r="C3184" s="24" t="s">
        <v>6</v>
      </c>
      <c r="D3184" s="24" t="s">
        <v>2590</v>
      </c>
      <c r="E3184" s="24" t="s">
        <v>8</v>
      </c>
      <c r="F3184" s="24" t="s">
        <v>42</v>
      </c>
      <c r="G3184" s="24" t="s">
        <v>8</v>
      </c>
      <c r="H3184" s="24" t="s">
        <v>2591</v>
      </c>
      <c r="I3184" s="27">
        <v>79.5</v>
      </c>
    </row>
    <row r="3185" spans="1:9" ht="16">
      <c r="A3185" s="35" t="s">
        <v>2592</v>
      </c>
      <c r="I3185" s="28">
        <f>I3183+I3184</f>
        <v>79.5</v>
      </c>
    </row>
    <row r="3186" spans="1:1" ht="16">
      <c r="A3186" s="34" t="s">
        <v>2452</v>
      </c>
    </row>
    <row r="3187" spans="2:9" ht="16">
      <c r="B3187" s="24" t="s">
        <v>8</v>
      </c>
      <c r="C3187" s="24" t="s">
        <v>150</v>
      </c>
      <c r="D3187" s="24" t="s">
        <v>2468</v>
      </c>
      <c r="E3187" s="24" t="s">
        <v>2593</v>
      </c>
      <c r="F3187" s="24" t="s">
        <v>9</v>
      </c>
      <c r="G3187" s="24" t="s">
        <v>8</v>
      </c>
      <c r="H3187" s="24" t="s">
        <v>2594</v>
      </c>
      <c r="I3187" s="27">
        <v>731.96</v>
      </c>
    </row>
    <row r="3188" spans="2:9" ht="16">
      <c r="B3188" s="24" t="s">
        <v>8</v>
      </c>
      <c r="C3188" s="24" t="s">
        <v>150</v>
      </c>
      <c r="D3188" s="24" t="s">
        <v>2468</v>
      </c>
      <c r="E3188" s="24" t="s">
        <v>2595</v>
      </c>
      <c r="F3188" s="24" t="s">
        <v>9</v>
      </c>
      <c r="G3188" s="24" t="s">
        <v>8</v>
      </c>
      <c r="H3188" s="24" t="s">
        <v>2596</v>
      </c>
      <c r="I3188" s="27">
        <v>775.81</v>
      </c>
    </row>
    <row r="3189" spans="2:9" ht="16">
      <c r="B3189" s="24" t="s">
        <v>8</v>
      </c>
      <c r="C3189" s="24" t="s">
        <v>150</v>
      </c>
      <c r="D3189" s="24" t="s">
        <v>2468</v>
      </c>
      <c r="E3189" s="24" t="s">
        <v>2597</v>
      </c>
      <c r="F3189" s="24" t="s">
        <v>9</v>
      </c>
      <c r="G3189" s="24" t="s">
        <v>8</v>
      </c>
      <c r="H3189" s="24" t="s">
        <v>2598</v>
      </c>
      <c r="I3189" s="27">
        <v>291.07</v>
      </c>
    </row>
    <row r="3190" spans="2:9" ht="16">
      <c r="B3190" s="24" t="s">
        <v>8</v>
      </c>
      <c r="C3190" s="24" t="s">
        <v>150</v>
      </c>
      <c r="D3190" s="24" t="s">
        <v>2468</v>
      </c>
      <c r="E3190" s="24" t="s">
        <v>2599</v>
      </c>
      <c r="F3190" s="24" t="s">
        <v>9</v>
      </c>
      <c r="G3190" s="24" t="s">
        <v>8</v>
      </c>
      <c r="H3190" s="24" t="s">
        <v>2600</v>
      </c>
      <c r="I3190" s="27">
        <v>306.49</v>
      </c>
    </row>
    <row r="3191" spans="2:9" ht="16">
      <c r="B3191" s="24" t="s">
        <v>961</v>
      </c>
      <c r="C3191" s="24" t="s">
        <v>6</v>
      </c>
      <c r="D3191" s="24" t="s">
        <v>2140</v>
      </c>
      <c r="E3191" s="24" t="s">
        <v>8</v>
      </c>
      <c r="F3191" s="24" t="s">
        <v>9</v>
      </c>
      <c r="G3191" s="24" t="s">
        <v>8</v>
      </c>
      <c r="H3191" s="24" t="s">
        <v>2141</v>
      </c>
      <c r="I3191" s="27">
        <v>868.08</v>
      </c>
    </row>
    <row r="3192" spans="2:9" ht="16">
      <c r="B3192" s="24" t="s">
        <v>961</v>
      </c>
      <c r="C3192" s="24" t="s">
        <v>6</v>
      </c>
      <c r="D3192" s="24" t="s">
        <v>2601</v>
      </c>
      <c r="E3192" s="24" t="s">
        <v>8</v>
      </c>
      <c r="F3192" s="24" t="s">
        <v>9</v>
      </c>
      <c r="G3192" s="24" t="s">
        <v>8</v>
      </c>
      <c r="H3192" s="24" t="s">
        <v>2602</v>
      </c>
      <c r="I3192" s="27">
        <v>734.9</v>
      </c>
    </row>
    <row r="3193" spans="2:9" ht="16">
      <c r="B3193" s="24" t="s">
        <v>961</v>
      </c>
      <c r="C3193" s="24" t="s">
        <v>6</v>
      </c>
      <c r="D3193" s="24" t="s">
        <v>2538</v>
      </c>
      <c r="E3193" s="24" t="s">
        <v>8</v>
      </c>
      <c r="F3193" s="24" t="s">
        <v>9</v>
      </c>
      <c r="G3193" s="24" t="s">
        <v>8</v>
      </c>
      <c r="H3193" s="24" t="s">
        <v>2603</v>
      </c>
      <c r="I3193" s="27">
        <v>870.89</v>
      </c>
    </row>
    <row r="3194" spans="2:9" ht="16">
      <c r="B3194" s="24" t="s">
        <v>961</v>
      </c>
      <c r="C3194" s="24" t="s">
        <v>6</v>
      </c>
      <c r="D3194" s="24" t="s">
        <v>2604</v>
      </c>
      <c r="E3194" s="24" t="s">
        <v>8</v>
      </c>
      <c r="F3194" s="24" t="s">
        <v>9</v>
      </c>
      <c r="G3194" s="24" t="s">
        <v>8</v>
      </c>
      <c r="H3194" s="24" t="s">
        <v>2605</v>
      </c>
      <c r="I3194" s="27">
        <v>521.53</v>
      </c>
    </row>
    <row r="3195" spans="2:9" ht="16">
      <c r="B3195" s="24" t="s">
        <v>961</v>
      </c>
      <c r="C3195" s="24" t="s">
        <v>6</v>
      </c>
      <c r="D3195" s="24" t="s">
        <v>2606</v>
      </c>
      <c r="E3195" s="24" t="s">
        <v>8</v>
      </c>
      <c r="F3195" s="24" t="s">
        <v>9</v>
      </c>
      <c r="G3195" s="24" t="s">
        <v>8</v>
      </c>
      <c r="H3195" s="24" t="s">
        <v>2607</v>
      </c>
      <c r="I3195" s="27">
        <v>1365.09</v>
      </c>
    </row>
    <row r="3196" spans="2:9" ht="16">
      <c r="B3196" s="24" t="s">
        <v>961</v>
      </c>
      <c r="C3196" s="24" t="s">
        <v>6</v>
      </c>
      <c r="D3196" s="24" t="s">
        <v>2608</v>
      </c>
      <c r="E3196" s="24" t="s">
        <v>8</v>
      </c>
      <c r="F3196" s="24" t="s">
        <v>9</v>
      </c>
      <c r="G3196" s="24" t="s">
        <v>8</v>
      </c>
      <c r="H3196" s="24" t="s">
        <v>2609</v>
      </c>
      <c r="I3196" s="27">
        <v>131.66</v>
      </c>
    </row>
    <row r="3197" spans="2:9" ht="16">
      <c r="B3197" s="24" t="s">
        <v>961</v>
      </c>
      <c r="C3197" s="24" t="s">
        <v>6</v>
      </c>
      <c r="D3197" s="24" t="s">
        <v>2142</v>
      </c>
      <c r="E3197" s="24" t="s">
        <v>8</v>
      </c>
      <c r="F3197" s="24" t="s">
        <v>9</v>
      </c>
      <c r="G3197" s="24" t="s">
        <v>8</v>
      </c>
      <c r="H3197" s="24" t="s">
        <v>2143</v>
      </c>
      <c r="I3197" s="27">
        <v>1005.49</v>
      </c>
    </row>
    <row r="3198" spans="2:9" ht="16">
      <c r="B3198" s="24" t="s">
        <v>961</v>
      </c>
      <c r="C3198" s="24" t="s">
        <v>6</v>
      </c>
      <c r="D3198" s="24" t="s">
        <v>2145</v>
      </c>
      <c r="E3198" s="24" t="s">
        <v>8</v>
      </c>
      <c r="F3198" s="24" t="s">
        <v>9</v>
      </c>
      <c r="G3198" s="24" t="s">
        <v>8</v>
      </c>
      <c r="H3198" s="24" t="s">
        <v>53</v>
      </c>
      <c r="I3198" s="27">
        <v>493.35</v>
      </c>
    </row>
    <row r="3199" spans="2:9" ht="16">
      <c r="B3199" s="24" t="s">
        <v>8</v>
      </c>
      <c r="C3199" s="24" t="s">
        <v>6</v>
      </c>
      <c r="D3199" s="24" t="s">
        <v>1685</v>
      </c>
      <c r="E3199" s="24" t="s">
        <v>8</v>
      </c>
      <c r="F3199" s="24" t="s">
        <v>9</v>
      </c>
      <c r="G3199" s="24" t="s">
        <v>8</v>
      </c>
      <c r="H3199" s="24" t="s">
        <v>53</v>
      </c>
      <c r="I3199" s="27">
        <v>6017.12</v>
      </c>
    </row>
    <row r="3200" spans="2:9" ht="16">
      <c r="B3200" s="24" t="s">
        <v>961</v>
      </c>
      <c r="C3200" s="24" t="s">
        <v>6</v>
      </c>
      <c r="D3200" s="24" t="s">
        <v>1683</v>
      </c>
      <c r="E3200" s="24" t="s">
        <v>8</v>
      </c>
      <c r="F3200" s="24" t="s">
        <v>9</v>
      </c>
      <c r="G3200" s="24" t="s">
        <v>8</v>
      </c>
      <c r="H3200" s="24" t="s">
        <v>53</v>
      </c>
      <c r="I3200" s="27">
        <v>572.58</v>
      </c>
    </row>
    <row r="3201" spans="2:9" ht="16">
      <c r="B3201" s="24" t="s">
        <v>961</v>
      </c>
      <c r="C3201" s="24" t="s">
        <v>6</v>
      </c>
      <c r="D3201" s="24" t="s">
        <v>2144</v>
      </c>
      <c r="E3201" s="24" t="s">
        <v>8</v>
      </c>
      <c r="F3201" s="24" t="s">
        <v>9</v>
      </c>
      <c r="G3201" s="24" t="s">
        <v>8</v>
      </c>
      <c r="H3201" s="24" t="s">
        <v>53</v>
      </c>
      <c r="I3201" s="27">
        <v>3783.98</v>
      </c>
    </row>
    <row r="3202" spans="2:9" ht="16">
      <c r="B3202" s="24" t="s">
        <v>961</v>
      </c>
      <c r="C3202" s="24" t="s">
        <v>6</v>
      </c>
      <c r="D3202" s="24" t="s">
        <v>1687</v>
      </c>
      <c r="E3202" s="24" t="s">
        <v>8</v>
      </c>
      <c r="F3202" s="24" t="s">
        <v>9</v>
      </c>
      <c r="G3202" s="24" t="s">
        <v>8</v>
      </c>
      <c r="H3202" s="24" t="s">
        <v>53</v>
      </c>
      <c r="I3202" s="27">
        <v>4903.23</v>
      </c>
    </row>
    <row r="3203" spans="2:9" ht="16">
      <c r="B3203" s="24" t="s">
        <v>961</v>
      </c>
      <c r="C3203" s="24" t="s">
        <v>6</v>
      </c>
      <c r="D3203" s="24" t="s">
        <v>1661</v>
      </c>
      <c r="E3203" s="24" t="s">
        <v>8</v>
      </c>
      <c r="F3203" s="24" t="s">
        <v>9</v>
      </c>
      <c r="G3203" s="24" t="s">
        <v>8</v>
      </c>
      <c r="H3203" s="24" t="s">
        <v>53</v>
      </c>
      <c r="I3203" s="27">
        <v>6749.92</v>
      </c>
    </row>
    <row r="3204" spans="2:9" ht="16">
      <c r="B3204" s="24" t="s">
        <v>961</v>
      </c>
      <c r="C3204" s="24" t="s">
        <v>6</v>
      </c>
      <c r="D3204" s="24" t="s">
        <v>1988</v>
      </c>
      <c r="E3204" s="24" t="s">
        <v>8</v>
      </c>
      <c r="F3204" s="24" t="s">
        <v>9</v>
      </c>
      <c r="G3204" s="24" t="s">
        <v>8</v>
      </c>
      <c r="H3204" s="24" t="s">
        <v>53</v>
      </c>
      <c r="I3204" s="27">
        <v>3024.8</v>
      </c>
    </row>
    <row r="3205" spans="2:9" ht="16">
      <c r="B3205" s="24" t="s">
        <v>961</v>
      </c>
      <c r="C3205" s="24" t="s">
        <v>6</v>
      </c>
      <c r="D3205" s="24" t="s">
        <v>2053</v>
      </c>
      <c r="E3205" s="24" t="s">
        <v>8</v>
      </c>
      <c r="F3205" s="24" t="s">
        <v>9</v>
      </c>
      <c r="G3205" s="24" t="s">
        <v>8</v>
      </c>
      <c r="H3205" s="24" t="s">
        <v>53</v>
      </c>
      <c r="I3205" s="27">
        <v>957.15</v>
      </c>
    </row>
    <row r="3206" spans="2:9" ht="16">
      <c r="B3206" s="24" t="s">
        <v>961</v>
      </c>
      <c r="C3206" s="24" t="s">
        <v>6</v>
      </c>
      <c r="D3206" s="24" t="s">
        <v>1655</v>
      </c>
      <c r="E3206" s="24" t="s">
        <v>8</v>
      </c>
      <c r="F3206" s="24" t="s">
        <v>9</v>
      </c>
      <c r="G3206" s="24" t="s">
        <v>8</v>
      </c>
      <c r="H3206" s="24" t="s">
        <v>53</v>
      </c>
      <c r="I3206" s="27">
        <v>2989.84</v>
      </c>
    </row>
    <row r="3207" spans="2:9" ht="16">
      <c r="B3207" s="24" t="s">
        <v>961</v>
      </c>
      <c r="C3207" s="24" t="s">
        <v>6</v>
      </c>
      <c r="D3207" s="24" t="s">
        <v>1682</v>
      </c>
      <c r="E3207" s="24" t="s">
        <v>8</v>
      </c>
      <c r="F3207" s="24" t="s">
        <v>9</v>
      </c>
      <c r="G3207" s="24" t="s">
        <v>8</v>
      </c>
      <c r="H3207" s="24" t="s">
        <v>53</v>
      </c>
      <c r="I3207" s="27">
        <v>98.68</v>
      </c>
    </row>
    <row r="3208" spans="2:9" ht="16">
      <c r="B3208" s="24" t="s">
        <v>961</v>
      </c>
      <c r="C3208" s="24" t="s">
        <v>6</v>
      </c>
      <c r="D3208" s="24" t="s">
        <v>1686</v>
      </c>
      <c r="E3208" s="24" t="s">
        <v>8</v>
      </c>
      <c r="F3208" s="24" t="s">
        <v>9</v>
      </c>
      <c r="G3208" s="24" t="s">
        <v>8</v>
      </c>
      <c r="H3208" s="24" t="s">
        <v>53</v>
      </c>
      <c r="I3208" s="27">
        <v>929.33</v>
      </c>
    </row>
    <row r="3209" spans="2:9" ht="16">
      <c r="B3209" s="24" t="s">
        <v>961</v>
      </c>
      <c r="C3209" s="24" t="s">
        <v>6</v>
      </c>
      <c r="D3209" s="24" t="s">
        <v>1961</v>
      </c>
      <c r="E3209" s="24" t="s">
        <v>8</v>
      </c>
      <c r="F3209" s="24" t="s">
        <v>9</v>
      </c>
      <c r="G3209" s="24" t="s">
        <v>8</v>
      </c>
      <c r="H3209" s="24" t="s">
        <v>53</v>
      </c>
      <c r="I3209" s="27">
        <v>4157.04</v>
      </c>
    </row>
    <row r="3210" spans="2:9" ht="16">
      <c r="B3210" s="24" t="s">
        <v>961</v>
      </c>
      <c r="C3210" s="24" t="s">
        <v>6</v>
      </c>
      <c r="D3210" s="24" t="s">
        <v>1826</v>
      </c>
      <c r="E3210" s="24" t="s">
        <v>8</v>
      </c>
      <c r="F3210" s="24" t="s">
        <v>9</v>
      </c>
      <c r="G3210" s="24" t="s">
        <v>8</v>
      </c>
      <c r="H3210" s="24" t="s">
        <v>53</v>
      </c>
      <c r="I3210" s="27">
        <v>246.68</v>
      </c>
    </row>
    <row r="3211" spans="2:9" ht="16">
      <c r="B3211" s="24" t="s">
        <v>961</v>
      </c>
      <c r="C3211" s="24" t="s">
        <v>6</v>
      </c>
      <c r="D3211" s="24" t="s">
        <v>1684</v>
      </c>
      <c r="E3211" s="24" t="s">
        <v>8</v>
      </c>
      <c r="F3211" s="24" t="s">
        <v>9</v>
      </c>
      <c r="G3211" s="24" t="s">
        <v>8</v>
      </c>
      <c r="H3211" s="24" t="s">
        <v>53</v>
      </c>
      <c r="I3211" s="27">
        <v>4781.96</v>
      </c>
    </row>
    <row r="3212" spans="2:9" ht="16">
      <c r="B3212" s="24" t="s">
        <v>961</v>
      </c>
      <c r="C3212" s="24" t="s">
        <v>6</v>
      </c>
      <c r="D3212" s="24" t="s">
        <v>1773</v>
      </c>
      <c r="E3212" s="24" t="s">
        <v>8</v>
      </c>
      <c r="F3212" s="24" t="s">
        <v>9</v>
      </c>
      <c r="G3212" s="24" t="s">
        <v>8</v>
      </c>
      <c r="H3212" s="24" t="s">
        <v>53</v>
      </c>
      <c r="I3212" s="27">
        <v>3118.52</v>
      </c>
    </row>
    <row r="3213" spans="2:9" ht="16">
      <c r="B3213" s="24" t="s">
        <v>961</v>
      </c>
      <c r="C3213" s="24" t="s">
        <v>6</v>
      </c>
      <c r="D3213" s="24" t="s">
        <v>1687</v>
      </c>
      <c r="E3213" s="24" t="s">
        <v>8</v>
      </c>
      <c r="F3213" s="24" t="s">
        <v>9</v>
      </c>
      <c r="G3213" s="24" t="s">
        <v>8</v>
      </c>
      <c r="H3213" s="24" t="s">
        <v>2610</v>
      </c>
      <c r="I3213" s="27">
        <v>-775.81</v>
      </c>
    </row>
    <row r="3214" spans="2:9" ht="16">
      <c r="B3214" s="24" t="s">
        <v>961</v>
      </c>
      <c r="C3214" s="24" t="s">
        <v>6</v>
      </c>
      <c r="D3214" s="24" t="s">
        <v>1687</v>
      </c>
      <c r="E3214" s="24" t="s">
        <v>8</v>
      </c>
      <c r="F3214" s="24" t="s">
        <v>9</v>
      </c>
      <c r="G3214" s="24" t="s">
        <v>8</v>
      </c>
      <c r="H3214" s="24" t="s">
        <v>2611</v>
      </c>
      <c r="I3214" s="27">
        <v>-306.49</v>
      </c>
    </row>
    <row r="3215" spans="2:9" ht="16">
      <c r="B3215" s="24" t="s">
        <v>961</v>
      </c>
      <c r="C3215" s="24" t="s">
        <v>6</v>
      </c>
      <c r="D3215" s="24" t="s">
        <v>1687</v>
      </c>
      <c r="E3215" s="24" t="s">
        <v>8</v>
      </c>
      <c r="F3215" s="24" t="s">
        <v>9</v>
      </c>
      <c r="G3215" s="24" t="s">
        <v>8</v>
      </c>
      <c r="H3215" s="24" t="s">
        <v>2612</v>
      </c>
      <c r="I3215" s="27">
        <v>-731.96</v>
      </c>
    </row>
    <row r="3216" spans="2:9" ht="16">
      <c r="B3216" s="24" t="s">
        <v>961</v>
      </c>
      <c r="C3216" s="24" t="s">
        <v>6</v>
      </c>
      <c r="D3216" s="24" t="s">
        <v>1687</v>
      </c>
      <c r="E3216" s="24" t="s">
        <v>8</v>
      </c>
      <c r="F3216" s="24" t="s">
        <v>9</v>
      </c>
      <c r="G3216" s="24" t="s">
        <v>8</v>
      </c>
      <c r="H3216" s="24" t="s">
        <v>2613</v>
      </c>
      <c r="I3216" s="27">
        <v>-291.07</v>
      </c>
    </row>
    <row r="3217" spans="2:9" ht="16">
      <c r="B3217" s="24" t="s">
        <v>961</v>
      </c>
      <c r="C3217" s="24" t="s">
        <v>6</v>
      </c>
      <c r="D3217" s="24" t="s">
        <v>2159</v>
      </c>
      <c r="E3217" s="24" t="s">
        <v>8</v>
      </c>
      <c r="F3217" s="24" t="s">
        <v>9</v>
      </c>
      <c r="G3217" s="24" t="s">
        <v>8</v>
      </c>
      <c r="H3217" s="24" t="s">
        <v>8</v>
      </c>
      <c r="I3217" s="27">
        <v>3122.2</v>
      </c>
    </row>
    <row r="3218" spans="1:9" ht="16">
      <c r="A3218" s="35" t="s">
        <v>67</v>
      </c>
      <c r="I3218" s="28">
        <f>I3186+I3187+I3188+I3189+I3190+I3191+I3192+I3193+I3194+I3195+I3196+I3197+I3198+I3199+I3200+I3201+I3202+I3203+I3204+I3205+I3206+I3207+I3208+I3209+I3210+I3211+I3212+I3213+I3214+I3215+I3216+I3217</f>
        <v>51444.020000000004</v>
      </c>
    </row>
    <row r="3219" spans="1:9" ht="16">
      <c r="A3219" s="36" t="s">
        <v>2614</v>
      </c>
      <c r="I3219" s="28">
        <f>I3069+I3155+I3159+I3162+I3166+I3172+I3182+I3185+I3218</f>
        <v>178256.44</v>
      </c>
    </row>
    <row r="3220" spans="1:1" ht="16">
      <c r="A3220" s="33" t="s">
        <v>324</v>
      </c>
    </row>
    <row r="3221" spans="1:1" ht="16">
      <c r="A3221" s="34" t="s">
        <v>2615</v>
      </c>
    </row>
    <row r="3222" spans="2:9" ht="16">
      <c r="B3222" s="24" t="s">
        <v>119</v>
      </c>
      <c r="C3222" s="24" t="s">
        <v>6</v>
      </c>
      <c r="D3222" s="24" t="s">
        <v>1826</v>
      </c>
      <c r="E3222" s="24" t="s">
        <v>8</v>
      </c>
      <c r="F3222" s="24" t="s">
        <v>9</v>
      </c>
      <c r="G3222" s="24" t="s">
        <v>8</v>
      </c>
      <c r="H3222" s="24" t="s">
        <v>524</v>
      </c>
      <c r="I3222" s="27">
        <v>72.74</v>
      </c>
    </row>
    <row r="3223" spans="1:9" ht="16">
      <c r="A3223" s="35" t="s">
        <v>40</v>
      </c>
      <c r="I3223" s="28">
        <f>I3221+I3222</f>
        <v>72.74</v>
      </c>
    </row>
    <row r="3224" spans="1:1" ht="16">
      <c r="A3224" s="34" t="s">
        <v>2615</v>
      </c>
    </row>
    <row r="3225" spans="2:9" ht="16">
      <c r="B3225" s="24" t="s">
        <v>36</v>
      </c>
      <c r="C3225" s="24" t="s">
        <v>6</v>
      </c>
      <c r="D3225" s="24" t="s">
        <v>2449</v>
      </c>
      <c r="E3225" s="24" t="s">
        <v>8</v>
      </c>
      <c r="F3225" s="24" t="s">
        <v>9</v>
      </c>
      <c r="G3225" s="24" t="s">
        <v>8</v>
      </c>
      <c r="H3225" s="24" t="s">
        <v>2616</v>
      </c>
      <c r="I3225" s="27">
        <v>22.63</v>
      </c>
    </row>
    <row r="3226" spans="1:9" ht="16">
      <c r="A3226" s="35" t="s">
        <v>267</v>
      </c>
      <c r="I3226" s="28">
        <f>I3224+I3225</f>
        <v>22.63</v>
      </c>
    </row>
    <row r="3227" spans="1:1" ht="16">
      <c r="A3227" s="34" t="s">
        <v>2615</v>
      </c>
    </row>
    <row r="3228" spans="2:9" ht="16">
      <c r="B3228" s="24" t="s">
        <v>8</v>
      </c>
      <c r="C3228" s="24" t="s">
        <v>6</v>
      </c>
      <c r="D3228" s="24" t="s">
        <v>1597</v>
      </c>
      <c r="E3228" s="24" t="s">
        <v>8</v>
      </c>
      <c r="F3228" s="24" t="s">
        <v>9</v>
      </c>
      <c r="G3228" s="24" t="s">
        <v>8</v>
      </c>
      <c r="H3228" s="24" t="s">
        <v>47</v>
      </c>
      <c r="I3228" s="27">
        <v>251.56</v>
      </c>
    </row>
    <row r="3229" spans="1:9" ht="16">
      <c r="A3229" s="35" t="s">
        <v>50</v>
      </c>
      <c r="I3229" s="28">
        <f>I3227+I3228</f>
        <v>251.56</v>
      </c>
    </row>
    <row r="3230" spans="1:1" ht="16">
      <c r="A3230" s="34" t="s">
        <v>2615</v>
      </c>
    </row>
    <row r="3231" spans="2:9" ht="16">
      <c r="B3231" s="24" t="s">
        <v>961</v>
      </c>
      <c r="C3231" s="24" t="s">
        <v>6</v>
      </c>
      <c r="D3231" s="24" t="s">
        <v>1826</v>
      </c>
      <c r="E3231" s="24" t="s">
        <v>8</v>
      </c>
      <c r="F3231" s="24" t="s">
        <v>9</v>
      </c>
      <c r="G3231" s="24" t="s">
        <v>8</v>
      </c>
      <c r="H3231" s="24" t="s">
        <v>53</v>
      </c>
      <c r="I3231" s="27">
        <v>468.7</v>
      </c>
    </row>
    <row r="3232" spans="1:9" ht="16">
      <c r="A3232" s="35" t="s">
        <v>67</v>
      </c>
      <c r="I3232" s="28">
        <f>I3230+I3231</f>
        <v>468.7</v>
      </c>
    </row>
    <row r="3233" spans="1:9" ht="16">
      <c r="A3233" s="36" t="s">
        <v>2617</v>
      </c>
      <c r="I3233" s="28">
        <f>I3223+I3226+I3229+I3232</f>
        <v>815.63</v>
      </c>
    </row>
    <row r="3234" spans="1:1" ht="16">
      <c r="A3234" s="33" t="s">
        <v>324</v>
      </c>
    </row>
    <row r="3235" spans="1:1" ht="16">
      <c r="A3235" s="34" t="s">
        <v>2618</v>
      </c>
    </row>
    <row r="3236" spans="2:9" ht="16">
      <c r="B3236" s="24" t="s">
        <v>316</v>
      </c>
      <c r="C3236" s="24" t="s">
        <v>6</v>
      </c>
      <c r="D3236" s="24" t="s">
        <v>2350</v>
      </c>
      <c r="E3236" s="24" t="s">
        <v>8</v>
      </c>
      <c r="F3236" s="24" t="s">
        <v>9</v>
      </c>
      <c r="G3236" s="24" t="s">
        <v>8</v>
      </c>
      <c r="H3236" s="24" t="s">
        <v>2619</v>
      </c>
      <c r="I3236" s="27">
        <v>97.14</v>
      </c>
    </row>
    <row r="3237" spans="1:9" ht="16">
      <c r="A3237" s="35" t="s">
        <v>40</v>
      </c>
      <c r="I3237" s="28">
        <f>I3235+I3236</f>
        <v>97.14</v>
      </c>
    </row>
    <row r="3238" spans="1:1" ht="16">
      <c r="A3238" s="34" t="s">
        <v>2618</v>
      </c>
    </row>
    <row r="3239" spans="2:9" ht="16">
      <c r="B3239" s="24" t="s">
        <v>8</v>
      </c>
      <c r="C3239" s="24" t="s">
        <v>6</v>
      </c>
      <c r="D3239" s="24" t="s">
        <v>1673</v>
      </c>
      <c r="E3239" s="24" t="s">
        <v>8</v>
      </c>
      <c r="F3239" s="24" t="s">
        <v>9</v>
      </c>
      <c r="G3239" s="24" t="s">
        <v>8</v>
      </c>
      <c r="H3239" s="24" t="s">
        <v>47</v>
      </c>
      <c r="I3239" s="27">
        <v>264.8</v>
      </c>
    </row>
    <row r="3240" spans="1:9" ht="16">
      <c r="A3240" s="35" t="s">
        <v>50</v>
      </c>
      <c r="I3240" s="28">
        <f>I3238+I3239</f>
        <v>264.8</v>
      </c>
    </row>
    <row r="3241" spans="1:1" ht="16">
      <c r="A3241" s="34" t="s">
        <v>2618</v>
      </c>
    </row>
    <row r="3242" spans="2:9" ht="16">
      <c r="B3242" s="24" t="s">
        <v>961</v>
      </c>
      <c r="C3242" s="24" t="s">
        <v>6</v>
      </c>
      <c r="D3242" s="24" t="s">
        <v>1682</v>
      </c>
      <c r="E3242" s="24" t="s">
        <v>8</v>
      </c>
      <c r="F3242" s="24" t="s">
        <v>9</v>
      </c>
      <c r="G3242" s="24" t="s">
        <v>8</v>
      </c>
      <c r="H3242" s="24" t="s">
        <v>53</v>
      </c>
      <c r="I3242" s="27">
        <v>296.02</v>
      </c>
    </row>
    <row r="3243" spans="2:9" ht="16">
      <c r="B3243" s="24" t="s">
        <v>961</v>
      </c>
      <c r="C3243" s="24" t="s">
        <v>6</v>
      </c>
      <c r="D3243" s="24" t="s">
        <v>1683</v>
      </c>
      <c r="E3243" s="24" t="s">
        <v>8</v>
      </c>
      <c r="F3243" s="24" t="s">
        <v>9</v>
      </c>
      <c r="G3243" s="24" t="s">
        <v>8</v>
      </c>
      <c r="H3243" s="24" t="s">
        <v>53</v>
      </c>
      <c r="I3243" s="27">
        <v>197.35</v>
      </c>
    </row>
    <row r="3244" spans="1:9" ht="16">
      <c r="A3244" s="35" t="s">
        <v>67</v>
      </c>
      <c r="I3244" s="28">
        <f>I3241+I3242+I3243</f>
        <v>493.37</v>
      </c>
    </row>
    <row r="3245" spans="1:9" ht="16">
      <c r="A3245" s="36" t="s">
        <v>2620</v>
      </c>
      <c r="I3245" s="28">
        <f>I3237+I3240+I3244</f>
        <v>855.31</v>
      </c>
    </row>
    <row r="3246" spans="1:1" ht="16">
      <c r="A3246" s="33" t="s">
        <v>172</v>
      </c>
    </row>
    <row r="3247" spans="1:1" ht="16">
      <c r="A3247" s="34" t="s">
        <v>2621</v>
      </c>
    </row>
    <row r="3248" spans="2:9" ht="16">
      <c r="B3248" s="24" t="s">
        <v>957</v>
      </c>
      <c r="C3248" s="24" t="s">
        <v>6</v>
      </c>
      <c r="D3248" s="24" t="s">
        <v>2622</v>
      </c>
      <c r="E3248" s="24" t="s">
        <v>8</v>
      </c>
      <c r="F3248" s="24" t="s">
        <v>9</v>
      </c>
      <c r="G3248" s="24" t="s">
        <v>8</v>
      </c>
      <c r="H3248" s="24" t="s">
        <v>958</v>
      </c>
      <c r="I3248" s="27">
        <v>395.0</v>
      </c>
    </row>
    <row r="3249" spans="2:9" ht="16">
      <c r="B3249" s="24" t="s">
        <v>957</v>
      </c>
      <c r="C3249" s="24" t="s">
        <v>6</v>
      </c>
      <c r="D3249" s="24" t="s">
        <v>2487</v>
      </c>
      <c r="E3249" s="24" t="s">
        <v>8</v>
      </c>
      <c r="F3249" s="24" t="s">
        <v>9</v>
      </c>
      <c r="G3249" s="24" t="s">
        <v>8</v>
      </c>
      <c r="H3249" s="24" t="s">
        <v>958</v>
      </c>
      <c r="I3249" s="27">
        <v>395.0</v>
      </c>
    </row>
    <row r="3250" spans="2:9" ht="16">
      <c r="B3250" s="24" t="s">
        <v>957</v>
      </c>
      <c r="C3250" s="24" t="s">
        <v>6</v>
      </c>
      <c r="D3250" s="24" t="s">
        <v>2623</v>
      </c>
      <c r="E3250" s="24" t="s">
        <v>8</v>
      </c>
      <c r="F3250" s="24" t="s">
        <v>9</v>
      </c>
      <c r="G3250" s="24" t="s">
        <v>8</v>
      </c>
      <c r="H3250" s="24" t="s">
        <v>958</v>
      </c>
      <c r="I3250" s="27">
        <v>395.0</v>
      </c>
    </row>
    <row r="3251" spans="2:9" ht="16">
      <c r="B3251" s="24" t="s">
        <v>957</v>
      </c>
      <c r="C3251" s="24" t="s">
        <v>6</v>
      </c>
      <c r="D3251" s="24" t="s">
        <v>2590</v>
      </c>
      <c r="E3251" s="24" t="s">
        <v>8</v>
      </c>
      <c r="F3251" s="24" t="s">
        <v>9</v>
      </c>
      <c r="G3251" s="24" t="s">
        <v>8</v>
      </c>
      <c r="H3251" s="24" t="s">
        <v>958</v>
      </c>
      <c r="I3251" s="27">
        <v>395.0</v>
      </c>
    </row>
    <row r="3252" spans="2:9" ht="16">
      <c r="B3252" s="24" t="s">
        <v>957</v>
      </c>
      <c r="C3252" s="24" t="s">
        <v>6</v>
      </c>
      <c r="D3252" s="24" t="s">
        <v>1977</v>
      </c>
      <c r="E3252" s="24" t="s">
        <v>8</v>
      </c>
      <c r="F3252" s="24" t="s">
        <v>9</v>
      </c>
      <c r="G3252" s="24" t="s">
        <v>8</v>
      </c>
      <c r="H3252" s="24" t="s">
        <v>958</v>
      </c>
      <c r="I3252" s="27">
        <v>395.0</v>
      </c>
    </row>
    <row r="3253" spans="2:9" ht="16">
      <c r="B3253" s="24" t="s">
        <v>957</v>
      </c>
      <c r="C3253" s="24" t="s">
        <v>6</v>
      </c>
      <c r="D3253" s="24" t="s">
        <v>1972</v>
      </c>
      <c r="E3253" s="24" t="s">
        <v>8</v>
      </c>
      <c r="F3253" s="24" t="s">
        <v>9</v>
      </c>
      <c r="G3253" s="24" t="s">
        <v>8</v>
      </c>
      <c r="H3253" s="24" t="s">
        <v>958</v>
      </c>
      <c r="I3253" s="27">
        <v>395.0</v>
      </c>
    </row>
    <row r="3254" spans="2:9" ht="16">
      <c r="B3254" s="24" t="s">
        <v>1176</v>
      </c>
      <c r="C3254" s="24" t="s">
        <v>6</v>
      </c>
      <c r="D3254" s="24" t="s">
        <v>1980</v>
      </c>
      <c r="E3254" s="24" t="s">
        <v>8</v>
      </c>
      <c r="F3254" s="24" t="s">
        <v>9</v>
      </c>
      <c r="G3254" s="24" t="s">
        <v>8</v>
      </c>
      <c r="H3254" s="24" t="s">
        <v>2624</v>
      </c>
      <c r="I3254" s="27">
        <v>561.86</v>
      </c>
    </row>
    <row r="3255" spans="1:9" ht="16">
      <c r="A3255" s="35" t="s">
        <v>81</v>
      </c>
      <c r="I3255" s="28">
        <f>I3247+I3248+I3249+I3250+I3251+I3252+I3253+I3254</f>
        <v>2931.86</v>
      </c>
    </row>
    <row r="3256" spans="1:1" ht="16">
      <c r="A3256" s="34" t="s">
        <v>2621</v>
      </c>
    </row>
    <row r="3257" spans="2:9" ht="16">
      <c r="B3257" s="24" t="s">
        <v>589</v>
      </c>
      <c r="C3257" s="24" t="s">
        <v>6</v>
      </c>
      <c r="D3257" s="24" t="s">
        <v>2625</v>
      </c>
      <c r="E3257" s="24" t="s">
        <v>8</v>
      </c>
      <c r="F3257" s="24" t="s">
        <v>9</v>
      </c>
      <c r="G3257" s="24" t="s">
        <v>8</v>
      </c>
      <c r="H3257" s="24" t="s">
        <v>2626</v>
      </c>
      <c r="I3257" s="27">
        <v>96.42</v>
      </c>
    </row>
    <row r="3258" spans="2:9" ht="16">
      <c r="B3258" s="24" t="s">
        <v>589</v>
      </c>
      <c r="C3258" s="24" t="s">
        <v>6</v>
      </c>
      <c r="D3258" s="24" t="s">
        <v>2625</v>
      </c>
      <c r="E3258" s="24" t="s">
        <v>8</v>
      </c>
      <c r="F3258" s="24" t="s">
        <v>9</v>
      </c>
      <c r="G3258" s="24" t="s">
        <v>8</v>
      </c>
      <c r="H3258" s="24" t="s">
        <v>2626</v>
      </c>
      <c r="I3258" s="27">
        <v>-96.42</v>
      </c>
    </row>
    <row r="3259" spans="2:9" ht="16">
      <c r="B3259" s="24" t="s">
        <v>2182</v>
      </c>
      <c r="C3259" s="24" t="s">
        <v>13</v>
      </c>
      <c r="D3259" s="24" t="s">
        <v>2062</v>
      </c>
      <c r="E3259" s="24" t="s">
        <v>2627</v>
      </c>
      <c r="F3259" s="24" t="s">
        <v>9</v>
      </c>
      <c r="G3259" s="24" t="s">
        <v>8</v>
      </c>
      <c r="H3259" s="24" t="s">
        <v>2628</v>
      </c>
      <c r="I3259" s="27">
        <v>58.81</v>
      </c>
    </row>
    <row r="3260" spans="1:9" ht="16">
      <c r="A3260" s="35" t="s">
        <v>2629</v>
      </c>
      <c r="I3260" s="28">
        <f>I3256+I3257+I3258+I3259</f>
        <v>58.81</v>
      </c>
    </row>
    <row r="3261" spans="1:1" ht="16">
      <c r="A3261" s="34" t="s">
        <v>2621</v>
      </c>
    </row>
    <row r="3262" spans="2:9" ht="16">
      <c r="B3262" s="24" t="s">
        <v>8</v>
      </c>
      <c r="C3262" s="24" t="s">
        <v>6</v>
      </c>
      <c r="D3262" s="24" t="s">
        <v>2630</v>
      </c>
      <c r="E3262" s="24" t="s">
        <v>8</v>
      </c>
      <c r="F3262" s="24" t="s">
        <v>9</v>
      </c>
      <c r="G3262" s="24" t="s">
        <v>8</v>
      </c>
      <c r="H3262" s="24" t="s">
        <v>2631</v>
      </c>
      <c r="I3262" s="27">
        <v>65.57</v>
      </c>
    </row>
    <row r="3263" spans="2:9" ht="16">
      <c r="B3263" s="24" t="s">
        <v>8</v>
      </c>
      <c r="C3263" s="24" t="s">
        <v>6</v>
      </c>
      <c r="D3263" s="24" t="s">
        <v>2630</v>
      </c>
      <c r="E3263" s="24" t="s">
        <v>8</v>
      </c>
      <c r="F3263" s="24" t="s">
        <v>9</v>
      </c>
      <c r="G3263" s="24" t="s">
        <v>8</v>
      </c>
      <c r="H3263" s="24" t="s">
        <v>2632</v>
      </c>
      <c r="I3263" s="27">
        <v>853.08</v>
      </c>
    </row>
    <row r="3264" spans="2:9" ht="16">
      <c r="B3264" s="24" t="s">
        <v>21</v>
      </c>
      <c r="C3264" s="24" t="s">
        <v>13</v>
      </c>
      <c r="D3264" s="24" t="s">
        <v>1944</v>
      </c>
      <c r="E3264" s="24" t="s">
        <v>2633</v>
      </c>
      <c r="F3264" s="24" t="s">
        <v>9</v>
      </c>
      <c r="G3264" s="24" t="s">
        <v>8</v>
      </c>
      <c r="H3264" s="24" t="s">
        <v>2634</v>
      </c>
      <c r="I3264" s="27">
        <v>443.49</v>
      </c>
    </row>
    <row r="3265" spans="2:9" ht="16">
      <c r="B3265" s="24" t="s">
        <v>589</v>
      </c>
      <c r="C3265" s="24" t="s">
        <v>6</v>
      </c>
      <c r="D3265" s="24" t="s">
        <v>1684</v>
      </c>
      <c r="E3265" s="24" t="s">
        <v>8</v>
      </c>
      <c r="F3265" s="24" t="s">
        <v>9</v>
      </c>
      <c r="G3265" s="24" t="s">
        <v>8</v>
      </c>
      <c r="H3265" s="24" t="s">
        <v>2635</v>
      </c>
      <c r="I3265" s="27">
        <v>104.91</v>
      </c>
    </row>
    <row r="3266" spans="2:9" ht="16">
      <c r="B3266" s="24" t="s">
        <v>589</v>
      </c>
      <c r="C3266" s="24" t="s">
        <v>6</v>
      </c>
      <c r="D3266" s="24" t="s">
        <v>1684</v>
      </c>
      <c r="E3266" s="24" t="s">
        <v>8</v>
      </c>
      <c r="F3266" s="24" t="s">
        <v>9</v>
      </c>
      <c r="G3266" s="24" t="s">
        <v>8</v>
      </c>
      <c r="H3266" s="24" t="s">
        <v>2635</v>
      </c>
      <c r="I3266" s="27">
        <v>-104.91</v>
      </c>
    </row>
    <row r="3267" spans="2:9" ht="16">
      <c r="B3267" s="24" t="s">
        <v>589</v>
      </c>
      <c r="C3267" s="24" t="s">
        <v>6</v>
      </c>
      <c r="D3267" s="24" t="s">
        <v>2049</v>
      </c>
      <c r="E3267" s="24" t="s">
        <v>8</v>
      </c>
      <c r="F3267" s="24" t="s">
        <v>9</v>
      </c>
      <c r="G3267" s="24" t="s">
        <v>8</v>
      </c>
      <c r="H3267" s="24" t="s">
        <v>2636</v>
      </c>
      <c r="I3267" s="27">
        <v>-180.42</v>
      </c>
    </row>
    <row r="3268" spans="2:9" ht="16">
      <c r="B3268" s="24" t="s">
        <v>589</v>
      </c>
      <c r="C3268" s="24" t="s">
        <v>6</v>
      </c>
      <c r="D3268" s="24" t="s">
        <v>2049</v>
      </c>
      <c r="E3268" s="24" t="s">
        <v>8</v>
      </c>
      <c r="F3268" s="24" t="s">
        <v>9</v>
      </c>
      <c r="G3268" s="24" t="s">
        <v>8</v>
      </c>
      <c r="H3268" s="24" t="s">
        <v>2636</v>
      </c>
      <c r="I3268" s="27">
        <v>180.42</v>
      </c>
    </row>
    <row r="3269" spans="2:9" ht="16">
      <c r="B3269" s="24" t="s">
        <v>589</v>
      </c>
      <c r="C3269" s="24" t="s">
        <v>6</v>
      </c>
      <c r="D3269" s="24" t="s">
        <v>1639</v>
      </c>
      <c r="E3269" s="24" t="s">
        <v>2637</v>
      </c>
      <c r="F3269" s="24" t="s">
        <v>9</v>
      </c>
      <c r="G3269" s="24" t="s">
        <v>8</v>
      </c>
      <c r="H3269" s="24" t="s">
        <v>2638</v>
      </c>
      <c r="I3269" s="27">
        <v>39.36</v>
      </c>
    </row>
    <row r="3270" spans="2:9" ht="16">
      <c r="B3270" s="24" t="s">
        <v>949</v>
      </c>
      <c r="C3270" s="24" t="s">
        <v>13</v>
      </c>
      <c r="D3270" s="24" t="s">
        <v>2099</v>
      </c>
      <c r="E3270" s="24" t="s">
        <v>2639</v>
      </c>
      <c r="F3270" s="24" t="s">
        <v>9</v>
      </c>
      <c r="G3270" s="24" t="s">
        <v>8</v>
      </c>
      <c r="H3270" s="24" t="s">
        <v>2640</v>
      </c>
      <c r="I3270" s="27">
        <v>485.98</v>
      </c>
    </row>
    <row r="3271" spans="2:9" ht="16">
      <c r="B3271" s="24" t="s">
        <v>949</v>
      </c>
      <c r="C3271" s="24" t="s">
        <v>13</v>
      </c>
      <c r="D3271" s="24" t="s">
        <v>2099</v>
      </c>
      <c r="E3271" s="24" t="s">
        <v>2641</v>
      </c>
      <c r="F3271" s="24" t="s">
        <v>9</v>
      </c>
      <c r="G3271" s="24" t="s">
        <v>8</v>
      </c>
      <c r="H3271" s="24" t="s">
        <v>2642</v>
      </c>
      <c r="I3271" s="27">
        <v>6868.83</v>
      </c>
    </row>
    <row r="3272" spans="2:9" ht="16">
      <c r="B3272" s="24" t="s">
        <v>949</v>
      </c>
      <c r="C3272" s="24" t="s">
        <v>13</v>
      </c>
      <c r="D3272" s="24" t="s">
        <v>2470</v>
      </c>
      <c r="E3272" s="24" t="s">
        <v>2643</v>
      </c>
      <c r="F3272" s="24" t="s">
        <v>9</v>
      </c>
      <c r="G3272" s="24" t="s">
        <v>8</v>
      </c>
      <c r="H3272" s="24" t="s">
        <v>983</v>
      </c>
      <c r="I3272" s="27">
        <v>10182.39</v>
      </c>
    </row>
    <row r="3273" spans="2:9" ht="16">
      <c r="B3273" s="24" t="s">
        <v>949</v>
      </c>
      <c r="C3273" s="24" t="s">
        <v>13</v>
      </c>
      <c r="D3273" s="24" t="s">
        <v>2099</v>
      </c>
      <c r="E3273" s="24" t="s">
        <v>2644</v>
      </c>
      <c r="F3273" s="24" t="s">
        <v>9</v>
      </c>
      <c r="G3273" s="24" t="s">
        <v>8</v>
      </c>
      <c r="H3273" s="24" t="s">
        <v>983</v>
      </c>
      <c r="I3273" s="27">
        <v>6730.13</v>
      </c>
    </row>
    <row r="3274" spans="2:9" ht="16">
      <c r="B3274" s="24" t="s">
        <v>949</v>
      </c>
      <c r="C3274" s="24" t="s">
        <v>13</v>
      </c>
      <c r="D3274" s="24" t="s">
        <v>2470</v>
      </c>
      <c r="E3274" s="24" t="s">
        <v>2645</v>
      </c>
      <c r="F3274" s="24" t="s">
        <v>9</v>
      </c>
      <c r="G3274" s="24" t="s">
        <v>8</v>
      </c>
      <c r="H3274" s="24" t="s">
        <v>983</v>
      </c>
      <c r="I3274" s="27">
        <v>12229.61</v>
      </c>
    </row>
    <row r="3275" spans="2:9" ht="16">
      <c r="B3275" s="24" t="s">
        <v>949</v>
      </c>
      <c r="C3275" s="24" t="s">
        <v>13</v>
      </c>
      <c r="D3275" s="24" t="s">
        <v>2646</v>
      </c>
      <c r="E3275" s="24" t="s">
        <v>2647</v>
      </c>
      <c r="F3275" s="24" t="s">
        <v>9</v>
      </c>
      <c r="G3275" s="24" t="s">
        <v>8</v>
      </c>
      <c r="H3275" s="24" t="s">
        <v>2648</v>
      </c>
      <c r="I3275" s="27">
        <v>4343.09</v>
      </c>
    </row>
    <row r="3276" spans="2:9" ht="16">
      <c r="B3276" s="24" t="s">
        <v>2182</v>
      </c>
      <c r="C3276" s="24" t="s">
        <v>13</v>
      </c>
      <c r="D3276" s="24" t="s">
        <v>2062</v>
      </c>
      <c r="E3276" s="24" t="s">
        <v>2627</v>
      </c>
      <c r="F3276" s="24" t="s">
        <v>9</v>
      </c>
      <c r="G3276" s="24" t="s">
        <v>8</v>
      </c>
      <c r="H3276" s="24" t="s">
        <v>2649</v>
      </c>
      <c r="I3276" s="27">
        <v>202.31</v>
      </c>
    </row>
    <row r="3277" spans="2:9" ht="16">
      <c r="B3277" s="24" t="s">
        <v>2182</v>
      </c>
      <c r="C3277" s="24" t="s">
        <v>13</v>
      </c>
      <c r="D3277" s="24" t="s">
        <v>2494</v>
      </c>
      <c r="E3277" s="24" t="s">
        <v>2650</v>
      </c>
      <c r="F3277" s="24" t="s">
        <v>9</v>
      </c>
      <c r="G3277" s="24" t="s">
        <v>8</v>
      </c>
      <c r="H3277" s="24" t="s">
        <v>2651</v>
      </c>
      <c r="I3277" s="27">
        <v>2987.98</v>
      </c>
    </row>
    <row r="3278" spans="2:9" ht="16">
      <c r="B3278" s="24" t="s">
        <v>186</v>
      </c>
      <c r="C3278" s="24" t="s">
        <v>13</v>
      </c>
      <c r="D3278" s="24" t="s">
        <v>2080</v>
      </c>
      <c r="E3278" s="24" t="s">
        <v>2652</v>
      </c>
      <c r="F3278" s="24" t="s">
        <v>9</v>
      </c>
      <c r="G3278" s="24" t="s">
        <v>8</v>
      </c>
      <c r="H3278" s="24" t="s">
        <v>2653</v>
      </c>
      <c r="I3278" s="27">
        <v>1145.84</v>
      </c>
    </row>
    <row r="3279" spans="2:9" ht="16">
      <c r="B3279" s="24" t="s">
        <v>186</v>
      </c>
      <c r="C3279" s="24" t="s">
        <v>13</v>
      </c>
      <c r="D3279" s="24" t="s">
        <v>2654</v>
      </c>
      <c r="E3279" s="24" t="s">
        <v>2655</v>
      </c>
      <c r="F3279" s="24" t="s">
        <v>9</v>
      </c>
      <c r="G3279" s="24" t="s">
        <v>8</v>
      </c>
      <c r="H3279" s="24" t="s">
        <v>2656</v>
      </c>
      <c r="I3279" s="27">
        <v>980.6</v>
      </c>
    </row>
    <row r="3280" spans="2:9" ht="16">
      <c r="B3280" s="24" t="s">
        <v>186</v>
      </c>
      <c r="C3280" s="24" t="s">
        <v>13</v>
      </c>
      <c r="D3280" s="24" t="s">
        <v>1955</v>
      </c>
      <c r="E3280" s="24" t="s">
        <v>2657</v>
      </c>
      <c r="F3280" s="24" t="s">
        <v>9</v>
      </c>
      <c r="G3280" s="24" t="s">
        <v>8</v>
      </c>
      <c r="H3280" s="24" t="s">
        <v>2658</v>
      </c>
      <c r="I3280" s="27">
        <v>1379.92</v>
      </c>
    </row>
    <row r="3281" spans="2:9" ht="16">
      <c r="B3281" s="24" t="s">
        <v>119</v>
      </c>
      <c r="C3281" s="24" t="s">
        <v>6</v>
      </c>
      <c r="D3281" s="24" t="s">
        <v>1991</v>
      </c>
      <c r="E3281" s="24" t="s">
        <v>8</v>
      </c>
      <c r="F3281" s="24" t="s">
        <v>9</v>
      </c>
      <c r="G3281" s="24" t="s">
        <v>8</v>
      </c>
      <c r="H3281" s="24" t="s">
        <v>2659</v>
      </c>
      <c r="I3281" s="27">
        <v>118.38</v>
      </c>
    </row>
    <row r="3282" spans="2:9" ht="16">
      <c r="B3282" s="24" t="s">
        <v>119</v>
      </c>
      <c r="C3282" s="24" t="s">
        <v>6</v>
      </c>
      <c r="D3282" s="24" t="s">
        <v>1991</v>
      </c>
      <c r="E3282" s="24" t="s">
        <v>8</v>
      </c>
      <c r="F3282" s="24" t="s">
        <v>9</v>
      </c>
      <c r="G3282" s="24" t="s">
        <v>8</v>
      </c>
      <c r="H3282" s="24" t="s">
        <v>2660</v>
      </c>
      <c r="I3282" s="27">
        <v>187.58</v>
      </c>
    </row>
    <row r="3283" spans="2:9" ht="16">
      <c r="B3283" s="24" t="s">
        <v>12</v>
      </c>
      <c r="C3283" s="24" t="s">
        <v>13</v>
      </c>
      <c r="D3283" s="24" t="s">
        <v>1685</v>
      </c>
      <c r="E3283" s="24" t="s">
        <v>2661</v>
      </c>
      <c r="F3283" s="24" t="s">
        <v>9</v>
      </c>
      <c r="G3283" s="24" t="s">
        <v>8</v>
      </c>
      <c r="H3283" s="24" t="s">
        <v>2662</v>
      </c>
      <c r="I3283" s="27">
        <v>551.89</v>
      </c>
    </row>
    <row r="3284" spans="2:9" ht="16">
      <c r="B3284" s="24" t="s">
        <v>21</v>
      </c>
      <c r="C3284" s="24" t="s">
        <v>13</v>
      </c>
      <c r="D3284" s="24" t="s">
        <v>2145</v>
      </c>
      <c r="E3284" s="24" t="s">
        <v>2663</v>
      </c>
      <c r="F3284" s="24" t="s">
        <v>9</v>
      </c>
      <c r="G3284" s="24" t="s">
        <v>8</v>
      </c>
      <c r="H3284" s="24" t="s">
        <v>2664</v>
      </c>
      <c r="I3284" s="27">
        <v>211.41</v>
      </c>
    </row>
    <row r="3285" spans="2:9" ht="16">
      <c r="B3285" s="24" t="s">
        <v>589</v>
      </c>
      <c r="C3285" s="24" t="s">
        <v>6</v>
      </c>
      <c r="D3285" s="24" t="s">
        <v>2665</v>
      </c>
      <c r="E3285" s="24" t="s">
        <v>2666</v>
      </c>
      <c r="F3285" s="24" t="s">
        <v>9</v>
      </c>
      <c r="G3285" s="24" t="s">
        <v>8</v>
      </c>
      <c r="H3285" s="24" t="s">
        <v>2667</v>
      </c>
      <c r="I3285" s="27">
        <v>84.3</v>
      </c>
    </row>
    <row r="3286" spans="2:9" ht="16">
      <c r="B3286" s="24" t="s">
        <v>8</v>
      </c>
      <c r="C3286" s="24" t="s">
        <v>6</v>
      </c>
      <c r="D3286" s="24" t="s">
        <v>2668</v>
      </c>
      <c r="E3286" s="24" t="s">
        <v>8</v>
      </c>
      <c r="F3286" s="24" t="s">
        <v>9</v>
      </c>
      <c r="G3286" s="24" t="s">
        <v>8</v>
      </c>
      <c r="H3286" s="24" t="s">
        <v>2669</v>
      </c>
      <c r="I3286" s="27">
        <v>203.99</v>
      </c>
    </row>
    <row r="3287" spans="2:9" ht="16">
      <c r="B3287" s="24" t="s">
        <v>36</v>
      </c>
      <c r="C3287" s="24" t="s">
        <v>6</v>
      </c>
      <c r="D3287" s="24" t="s">
        <v>2665</v>
      </c>
      <c r="E3287" s="24" t="s">
        <v>8</v>
      </c>
      <c r="F3287" s="24" t="s">
        <v>9</v>
      </c>
      <c r="G3287" s="24" t="s">
        <v>8</v>
      </c>
      <c r="H3287" s="24" t="s">
        <v>2670</v>
      </c>
      <c r="I3287" s="27">
        <v>9643.25</v>
      </c>
    </row>
    <row r="3288" spans="2:9" ht="16">
      <c r="B3288" s="24" t="s">
        <v>36</v>
      </c>
      <c r="C3288" s="24" t="s">
        <v>6</v>
      </c>
      <c r="D3288" s="24" t="s">
        <v>2646</v>
      </c>
      <c r="E3288" s="24" t="s">
        <v>8</v>
      </c>
      <c r="F3288" s="24" t="s">
        <v>9</v>
      </c>
      <c r="G3288" s="24" t="s">
        <v>8</v>
      </c>
      <c r="H3288" s="24" t="s">
        <v>2671</v>
      </c>
      <c r="I3288" s="27">
        <v>4971.05</v>
      </c>
    </row>
    <row r="3289" spans="2:9" ht="16">
      <c r="B3289" s="24" t="s">
        <v>8</v>
      </c>
      <c r="C3289" s="24" t="s">
        <v>139</v>
      </c>
      <c r="D3289" s="24" t="s">
        <v>2672</v>
      </c>
      <c r="E3289" s="24" t="s">
        <v>8</v>
      </c>
      <c r="F3289" s="24" t="s">
        <v>9</v>
      </c>
      <c r="G3289" s="24" t="s">
        <v>8</v>
      </c>
      <c r="H3289" s="24" t="s">
        <v>2673</v>
      </c>
      <c r="I3289" s="27">
        <v>-3803.8</v>
      </c>
    </row>
    <row r="3290" spans="2:9" ht="16">
      <c r="B3290" s="24" t="s">
        <v>8</v>
      </c>
      <c r="C3290" s="24" t="s">
        <v>6</v>
      </c>
      <c r="D3290" s="24" t="s">
        <v>1673</v>
      </c>
      <c r="E3290" s="24" t="s">
        <v>8</v>
      </c>
      <c r="F3290" s="24" t="s">
        <v>9</v>
      </c>
      <c r="G3290" s="24" t="s">
        <v>8</v>
      </c>
      <c r="H3290" s="24" t="s">
        <v>1976</v>
      </c>
      <c r="I3290" s="27">
        <v>75.23</v>
      </c>
    </row>
    <row r="3291" spans="2:9" ht="16">
      <c r="B3291" s="24" t="s">
        <v>21</v>
      </c>
      <c r="C3291" s="24" t="s">
        <v>13</v>
      </c>
      <c r="D3291" s="24" t="s">
        <v>1683</v>
      </c>
      <c r="E3291" s="24" t="s">
        <v>2674</v>
      </c>
      <c r="F3291" s="24" t="s">
        <v>9</v>
      </c>
      <c r="G3291" s="24" t="s">
        <v>8</v>
      </c>
      <c r="H3291" s="24" t="s">
        <v>837</v>
      </c>
      <c r="I3291" s="27">
        <v>912.6</v>
      </c>
    </row>
    <row r="3292" spans="2:9" ht="16">
      <c r="B3292" s="24" t="s">
        <v>119</v>
      </c>
      <c r="C3292" s="24" t="s">
        <v>6</v>
      </c>
      <c r="D3292" s="24" t="s">
        <v>2014</v>
      </c>
      <c r="E3292" s="24" t="s">
        <v>8</v>
      </c>
      <c r="F3292" s="24" t="s">
        <v>9</v>
      </c>
      <c r="G3292" s="24" t="s">
        <v>8</v>
      </c>
      <c r="H3292" s="24" t="s">
        <v>837</v>
      </c>
      <c r="I3292" s="27">
        <v>145.37</v>
      </c>
    </row>
    <row r="3293" spans="2:9" ht="16">
      <c r="B3293" s="24" t="s">
        <v>21</v>
      </c>
      <c r="C3293" s="24" t="s">
        <v>13</v>
      </c>
      <c r="D3293" s="24" t="s">
        <v>2487</v>
      </c>
      <c r="E3293" s="24" t="s">
        <v>2675</v>
      </c>
      <c r="F3293" s="24" t="s">
        <v>9</v>
      </c>
      <c r="G3293" s="24" t="s">
        <v>8</v>
      </c>
      <c r="H3293" s="24" t="s">
        <v>837</v>
      </c>
      <c r="I3293" s="27">
        <v>399.21</v>
      </c>
    </row>
    <row r="3294" spans="2:9" ht="16">
      <c r="B3294" s="24" t="s">
        <v>21</v>
      </c>
      <c r="C3294" s="24" t="s">
        <v>13</v>
      </c>
      <c r="D3294" s="24" t="s">
        <v>1682</v>
      </c>
      <c r="E3294" s="24" t="s">
        <v>2676</v>
      </c>
      <c r="F3294" s="24" t="s">
        <v>9</v>
      </c>
      <c r="G3294" s="24" t="s">
        <v>8</v>
      </c>
      <c r="H3294" s="24" t="s">
        <v>837</v>
      </c>
      <c r="I3294" s="27">
        <v>7225.36</v>
      </c>
    </row>
    <row r="3295" spans="2:9" ht="16">
      <c r="B3295" s="24" t="s">
        <v>239</v>
      </c>
      <c r="C3295" s="24" t="s">
        <v>6</v>
      </c>
      <c r="D3295" s="24" t="s">
        <v>1674</v>
      </c>
      <c r="E3295" s="24" t="s">
        <v>8</v>
      </c>
      <c r="F3295" s="24" t="s">
        <v>9</v>
      </c>
      <c r="G3295" s="24" t="s">
        <v>8</v>
      </c>
      <c r="H3295" s="24" t="s">
        <v>2498</v>
      </c>
      <c r="I3295" s="27">
        <v>51.51</v>
      </c>
    </row>
    <row r="3296" spans="2:9" ht="16">
      <c r="B3296" s="24" t="s">
        <v>21</v>
      </c>
      <c r="C3296" s="24" t="s">
        <v>13</v>
      </c>
      <c r="D3296" s="24" t="s">
        <v>1773</v>
      </c>
      <c r="E3296" s="24" t="s">
        <v>2677</v>
      </c>
      <c r="F3296" s="24" t="s">
        <v>9</v>
      </c>
      <c r="G3296" s="24" t="s">
        <v>8</v>
      </c>
      <c r="H3296" s="24" t="s">
        <v>2678</v>
      </c>
      <c r="I3296" s="27">
        <v>4.38</v>
      </c>
    </row>
    <row r="3297" spans="2:9" ht="16">
      <c r="B3297" s="24" t="s">
        <v>21</v>
      </c>
      <c r="C3297" s="24" t="s">
        <v>13</v>
      </c>
      <c r="D3297" s="24" t="s">
        <v>2679</v>
      </c>
      <c r="E3297" s="24" t="s">
        <v>2680</v>
      </c>
      <c r="F3297" s="24" t="s">
        <v>9</v>
      </c>
      <c r="G3297" s="24" t="s">
        <v>8</v>
      </c>
      <c r="H3297" s="24" t="s">
        <v>2681</v>
      </c>
      <c r="I3297" s="27">
        <v>524.11</v>
      </c>
    </row>
    <row r="3298" spans="2:9" ht="16">
      <c r="B3298" s="24" t="s">
        <v>127</v>
      </c>
      <c r="C3298" s="24" t="s">
        <v>6</v>
      </c>
      <c r="D3298" s="24" t="s">
        <v>2187</v>
      </c>
      <c r="E3298" s="24" t="s">
        <v>8</v>
      </c>
      <c r="F3298" s="24" t="s">
        <v>9</v>
      </c>
      <c r="G3298" s="24" t="s">
        <v>8</v>
      </c>
      <c r="H3298" s="24" t="s">
        <v>2682</v>
      </c>
      <c r="I3298" s="27">
        <v>41.08</v>
      </c>
    </row>
    <row r="3299" spans="2:9" ht="16">
      <c r="B3299" s="24" t="s">
        <v>8</v>
      </c>
      <c r="C3299" s="24" t="s">
        <v>6</v>
      </c>
      <c r="D3299" s="24" t="s">
        <v>1683</v>
      </c>
      <c r="E3299" s="24" t="s">
        <v>8</v>
      </c>
      <c r="F3299" s="24" t="s">
        <v>9</v>
      </c>
      <c r="G3299" s="24" t="s">
        <v>8</v>
      </c>
      <c r="H3299" s="24" t="s">
        <v>2683</v>
      </c>
      <c r="I3299" s="27">
        <v>825.2</v>
      </c>
    </row>
    <row r="3300" spans="2:9" ht="16">
      <c r="B3300" s="24" t="s">
        <v>36</v>
      </c>
      <c r="C3300" s="24" t="s">
        <v>6</v>
      </c>
      <c r="D3300" s="24" t="s">
        <v>1683</v>
      </c>
      <c r="E3300" s="24" t="s">
        <v>8</v>
      </c>
      <c r="F3300" s="24" t="s">
        <v>9</v>
      </c>
      <c r="G3300" s="24" t="s">
        <v>8</v>
      </c>
      <c r="H3300" s="24" t="s">
        <v>2684</v>
      </c>
      <c r="I3300" s="27">
        <v>95.63</v>
      </c>
    </row>
    <row r="3301" spans="2:9" ht="16">
      <c r="B3301" s="24" t="s">
        <v>8</v>
      </c>
      <c r="C3301" s="24" t="s">
        <v>139</v>
      </c>
      <c r="D3301" s="24" t="s">
        <v>1951</v>
      </c>
      <c r="E3301" s="24" t="s">
        <v>8</v>
      </c>
      <c r="F3301" s="24" t="s">
        <v>9</v>
      </c>
      <c r="G3301" s="24" t="s">
        <v>8</v>
      </c>
      <c r="H3301" s="24" t="s">
        <v>2685</v>
      </c>
      <c r="I3301" s="27">
        <v>-368.34</v>
      </c>
    </row>
    <row r="3302" spans="2:9" ht="16">
      <c r="B3302" s="24" t="s">
        <v>316</v>
      </c>
      <c r="C3302" s="24" t="s">
        <v>6</v>
      </c>
      <c r="D3302" s="24" t="s">
        <v>1958</v>
      </c>
      <c r="E3302" s="24" t="s">
        <v>8</v>
      </c>
      <c r="F3302" s="24" t="s">
        <v>9</v>
      </c>
      <c r="G3302" s="24" t="s">
        <v>8</v>
      </c>
      <c r="H3302" s="24" t="s">
        <v>2686</v>
      </c>
      <c r="I3302" s="27">
        <v>129.23</v>
      </c>
    </row>
    <row r="3303" spans="2:9" ht="16">
      <c r="B3303" s="24" t="s">
        <v>8</v>
      </c>
      <c r="C3303" s="24" t="s">
        <v>6</v>
      </c>
      <c r="D3303" s="24" t="s">
        <v>1597</v>
      </c>
      <c r="E3303" s="24" t="s">
        <v>8</v>
      </c>
      <c r="F3303" s="24" t="s">
        <v>9</v>
      </c>
      <c r="G3303" s="24" t="s">
        <v>8</v>
      </c>
      <c r="H3303" s="24" t="s">
        <v>2687</v>
      </c>
      <c r="I3303" s="27">
        <v>489.29</v>
      </c>
    </row>
    <row r="3304" spans="2:9" ht="16">
      <c r="B3304" s="24" t="s">
        <v>1041</v>
      </c>
      <c r="C3304" s="24" t="s">
        <v>6</v>
      </c>
      <c r="D3304" s="24" t="s">
        <v>1958</v>
      </c>
      <c r="E3304" s="24" t="s">
        <v>8</v>
      </c>
      <c r="F3304" s="24" t="s">
        <v>9</v>
      </c>
      <c r="G3304" s="24" t="s">
        <v>8</v>
      </c>
      <c r="H3304" s="24" t="s">
        <v>2688</v>
      </c>
      <c r="I3304" s="27">
        <v>381.86</v>
      </c>
    </row>
    <row r="3305" spans="2:9" ht="16">
      <c r="B3305" s="24" t="s">
        <v>21</v>
      </c>
      <c r="C3305" s="24" t="s">
        <v>13</v>
      </c>
      <c r="D3305" s="24" t="s">
        <v>2028</v>
      </c>
      <c r="E3305" s="24" t="s">
        <v>2689</v>
      </c>
      <c r="F3305" s="24" t="s">
        <v>9</v>
      </c>
      <c r="G3305" s="24" t="s">
        <v>8</v>
      </c>
      <c r="H3305" s="24" t="s">
        <v>2690</v>
      </c>
      <c r="I3305" s="27">
        <v>372.63</v>
      </c>
    </row>
    <row r="3306" spans="2:9" ht="16">
      <c r="B3306" s="24" t="s">
        <v>119</v>
      </c>
      <c r="C3306" s="24" t="s">
        <v>6</v>
      </c>
      <c r="D3306" s="24" t="s">
        <v>1688</v>
      </c>
      <c r="E3306" s="24" t="s">
        <v>8</v>
      </c>
      <c r="F3306" s="24" t="s">
        <v>9</v>
      </c>
      <c r="G3306" s="24" t="s">
        <v>8</v>
      </c>
      <c r="H3306" s="24" t="s">
        <v>2691</v>
      </c>
      <c r="I3306" s="27">
        <v>231.88</v>
      </c>
    </row>
    <row r="3307" spans="2:9" ht="16">
      <c r="B3307" s="24" t="s">
        <v>119</v>
      </c>
      <c r="C3307" s="24" t="s">
        <v>6</v>
      </c>
      <c r="D3307" s="24" t="s">
        <v>2021</v>
      </c>
      <c r="E3307" s="24" t="s">
        <v>8</v>
      </c>
      <c r="F3307" s="24" t="s">
        <v>9</v>
      </c>
      <c r="G3307" s="24" t="s">
        <v>8</v>
      </c>
      <c r="H3307" s="24" t="s">
        <v>2692</v>
      </c>
      <c r="I3307" s="27">
        <v>10.37</v>
      </c>
    </row>
    <row r="3308" spans="2:9" ht="16">
      <c r="B3308" s="24" t="s">
        <v>811</v>
      </c>
      <c r="C3308" s="24" t="s">
        <v>6</v>
      </c>
      <c r="D3308" s="24" t="s">
        <v>2021</v>
      </c>
      <c r="E3308" s="24" t="s">
        <v>8</v>
      </c>
      <c r="F3308" s="24" t="s">
        <v>9</v>
      </c>
      <c r="G3308" s="24" t="s">
        <v>8</v>
      </c>
      <c r="H3308" s="24" t="s">
        <v>2693</v>
      </c>
      <c r="I3308" s="27">
        <v>282.92</v>
      </c>
    </row>
    <row r="3309" spans="2:9" ht="16">
      <c r="B3309" s="24" t="s">
        <v>1041</v>
      </c>
      <c r="C3309" s="24" t="s">
        <v>6</v>
      </c>
      <c r="D3309" s="24" t="s">
        <v>1685</v>
      </c>
      <c r="E3309" s="24" t="s">
        <v>8</v>
      </c>
      <c r="F3309" s="24" t="s">
        <v>9</v>
      </c>
      <c r="G3309" s="24" t="s">
        <v>8</v>
      </c>
      <c r="H3309" s="24" t="s">
        <v>2694</v>
      </c>
      <c r="I3309" s="27">
        <v>283.33</v>
      </c>
    </row>
    <row r="3310" spans="2:9" ht="16">
      <c r="B3310" s="24" t="s">
        <v>21</v>
      </c>
      <c r="C3310" s="24" t="s">
        <v>13</v>
      </c>
      <c r="D3310" s="24" t="s">
        <v>2041</v>
      </c>
      <c r="E3310" s="24" t="s">
        <v>2695</v>
      </c>
      <c r="F3310" s="24" t="s">
        <v>9</v>
      </c>
      <c r="G3310" s="24" t="s">
        <v>8</v>
      </c>
      <c r="H3310" s="24" t="s">
        <v>2696</v>
      </c>
      <c r="I3310" s="27">
        <v>819.22</v>
      </c>
    </row>
    <row r="3311" spans="2:9" ht="16">
      <c r="B3311" s="24" t="s">
        <v>127</v>
      </c>
      <c r="C3311" s="24" t="s">
        <v>6</v>
      </c>
      <c r="D3311" s="24" t="s">
        <v>1955</v>
      </c>
      <c r="E3311" s="24" t="s">
        <v>8</v>
      </c>
      <c r="F3311" s="24" t="s">
        <v>9</v>
      </c>
      <c r="G3311" s="24" t="s">
        <v>8</v>
      </c>
      <c r="H3311" s="24" t="s">
        <v>2697</v>
      </c>
      <c r="I3311" s="27">
        <v>95.13</v>
      </c>
    </row>
    <row r="3312" spans="2:9" ht="16">
      <c r="B3312" s="24" t="s">
        <v>119</v>
      </c>
      <c r="C3312" s="24" t="s">
        <v>6</v>
      </c>
      <c r="D3312" s="24" t="s">
        <v>1995</v>
      </c>
      <c r="E3312" s="24" t="s">
        <v>8</v>
      </c>
      <c r="F3312" s="24" t="s">
        <v>9</v>
      </c>
      <c r="G3312" s="24" t="s">
        <v>8</v>
      </c>
      <c r="H3312" s="24" t="s">
        <v>2698</v>
      </c>
      <c r="I3312" s="27">
        <v>48.47</v>
      </c>
    </row>
    <row r="3313" spans="2:9" ht="16">
      <c r="B3313" s="24" t="s">
        <v>119</v>
      </c>
      <c r="C3313" s="24" t="s">
        <v>6</v>
      </c>
      <c r="D3313" s="24" t="s">
        <v>2699</v>
      </c>
      <c r="E3313" s="24" t="s">
        <v>8</v>
      </c>
      <c r="F3313" s="24" t="s">
        <v>9</v>
      </c>
      <c r="G3313" s="24" t="s">
        <v>8</v>
      </c>
      <c r="H3313" s="24" t="s">
        <v>2700</v>
      </c>
      <c r="I3313" s="27">
        <v>32.88</v>
      </c>
    </row>
    <row r="3314" spans="2:9" ht="16">
      <c r="B3314" s="24" t="s">
        <v>21</v>
      </c>
      <c r="C3314" s="24" t="s">
        <v>13</v>
      </c>
      <c r="D3314" s="24" t="s">
        <v>1686</v>
      </c>
      <c r="E3314" s="24" t="s">
        <v>2701</v>
      </c>
      <c r="F3314" s="24" t="s">
        <v>9</v>
      </c>
      <c r="G3314" s="24" t="s">
        <v>8</v>
      </c>
      <c r="H3314" s="24" t="s">
        <v>2702</v>
      </c>
      <c r="I3314" s="27">
        <v>210.27</v>
      </c>
    </row>
    <row r="3315" spans="2:9" ht="16">
      <c r="B3315" s="24" t="s">
        <v>493</v>
      </c>
      <c r="C3315" s="24" t="s">
        <v>13</v>
      </c>
      <c r="D3315" s="24" t="s">
        <v>2439</v>
      </c>
      <c r="E3315" s="24" t="s">
        <v>2703</v>
      </c>
      <c r="F3315" s="24" t="s">
        <v>9</v>
      </c>
      <c r="G3315" s="24" t="s">
        <v>8</v>
      </c>
      <c r="H3315" s="24" t="s">
        <v>2704</v>
      </c>
      <c r="I3315" s="27">
        <v>569.71</v>
      </c>
    </row>
    <row r="3316" spans="2:9" ht="16">
      <c r="B3316" s="24" t="s">
        <v>127</v>
      </c>
      <c r="C3316" s="24" t="s">
        <v>6</v>
      </c>
      <c r="D3316" s="24" t="s">
        <v>1970</v>
      </c>
      <c r="E3316" s="24" t="s">
        <v>8</v>
      </c>
      <c r="F3316" s="24" t="s">
        <v>9</v>
      </c>
      <c r="G3316" s="24" t="s">
        <v>8</v>
      </c>
      <c r="H3316" s="24" t="s">
        <v>2705</v>
      </c>
      <c r="I3316" s="27">
        <v>24.04</v>
      </c>
    </row>
    <row r="3317" spans="2:9" ht="16">
      <c r="B3317" s="24" t="s">
        <v>119</v>
      </c>
      <c r="C3317" s="24" t="s">
        <v>6</v>
      </c>
      <c r="D3317" s="24" t="s">
        <v>2107</v>
      </c>
      <c r="E3317" s="24" t="s">
        <v>8</v>
      </c>
      <c r="F3317" s="24" t="s">
        <v>9</v>
      </c>
      <c r="G3317" s="24" t="s">
        <v>8</v>
      </c>
      <c r="H3317" s="24" t="s">
        <v>2706</v>
      </c>
      <c r="I3317" s="27">
        <v>200.28</v>
      </c>
    </row>
    <row r="3318" spans="2:9" ht="16">
      <c r="B3318" s="24" t="s">
        <v>119</v>
      </c>
      <c r="C3318" s="24" t="s">
        <v>6</v>
      </c>
      <c r="D3318" s="24" t="s">
        <v>1977</v>
      </c>
      <c r="E3318" s="24" t="s">
        <v>8</v>
      </c>
      <c r="F3318" s="24" t="s">
        <v>9</v>
      </c>
      <c r="G3318" s="24" t="s">
        <v>8</v>
      </c>
      <c r="H3318" s="24" t="s">
        <v>2707</v>
      </c>
      <c r="I3318" s="27">
        <v>112.77</v>
      </c>
    </row>
    <row r="3319" spans="2:9" ht="16">
      <c r="B3319" s="24" t="s">
        <v>493</v>
      </c>
      <c r="C3319" s="24" t="s">
        <v>13</v>
      </c>
      <c r="D3319" s="24" t="s">
        <v>2474</v>
      </c>
      <c r="E3319" s="24" t="s">
        <v>2708</v>
      </c>
      <c r="F3319" s="24" t="s">
        <v>9</v>
      </c>
      <c r="G3319" s="24" t="s">
        <v>8</v>
      </c>
      <c r="H3319" s="24" t="s">
        <v>2709</v>
      </c>
      <c r="I3319" s="27">
        <v>778.82</v>
      </c>
    </row>
    <row r="3320" spans="2:9" ht="16">
      <c r="B3320" s="24" t="s">
        <v>36</v>
      </c>
      <c r="C3320" s="24" t="s">
        <v>6</v>
      </c>
      <c r="D3320" s="24" t="s">
        <v>2474</v>
      </c>
      <c r="E3320" s="24" t="s">
        <v>8</v>
      </c>
      <c r="F3320" s="24" t="s">
        <v>9</v>
      </c>
      <c r="G3320" s="24" t="s">
        <v>8</v>
      </c>
      <c r="H3320" s="24" t="s">
        <v>2710</v>
      </c>
      <c r="I3320" s="27">
        <v>99.26</v>
      </c>
    </row>
    <row r="3321" spans="2:9" ht="16">
      <c r="B3321" s="24" t="s">
        <v>8</v>
      </c>
      <c r="C3321" s="24" t="s">
        <v>6</v>
      </c>
      <c r="D3321" s="24" t="s">
        <v>2562</v>
      </c>
      <c r="E3321" s="24" t="s">
        <v>2711</v>
      </c>
      <c r="F3321" s="24" t="s">
        <v>9</v>
      </c>
      <c r="G3321" s="24" t="s">
        <v>8</v>
      </c>
      <c r="H3321" s="24" t="s">
        <v>2712</v>
      </c>
      <c r="I3321" s="27">
        <v>1449.7</v>
      </c>
    </row>
    <row r="3322" spans="2:9" ht="16">
      <c r="B3322" s="24" t="s">
        <v>8</v>
      </c>
      <c r="C3322" s="24" t="s">
        <v>6</v>
      </c>
      <c r="D3322" s="24" t="s">
        <v>2099</v>
      </c>
      <c r="E3322" s="24" t="s">
        <v>8</v>
      </c>
      <c r="F3322" s="24" t="s">
        <v>9</v>
      </c>
      <c r="G3322" s="24" t="s">
        <v>8</v>
      </c>
      <c r="H3322" s="24" t="s">
        <v>2713</v>
      </c>
      <c r="I3322" s="27">
        <v>531.4</v>
      </c>
    </row>
    <row r="3323" spans="2:9" ht="16">
      <c r="B3323" s="24" t="s">
        <v>8</v>
      </c>
      <c r="C3323" s="24" t="s">
        <v>6</v>
      </c>
      <c r="D3323" s="24" t="s">
        <v>2099</v>
      </c>
      <c r="E3323" s="24" t="s">
        <v>8</v>
      </c>
      <c r="F3323" s="24" t="s">
        <v>9</v>
      </c>
      <c r="G3323" s="24" t="s">
        <v>8</v>
      </c>
      <c r="H3323" s="24" t="s">
        <v>2714</v>
      </c>
      <c r="I3323" s="27">
        <v>918.29</v>
      </c>
    </row>
    <row r="3324" spans="2:9" ht="16">
      <c r="B3324" s="24" t="s">
        <v>8</v>
      </c>
      <c r="C3324" s="24" t="s">
        <v>6</v>
      </c>
      <c r="D3324" s="24" t="s">
        <v>2538</v>
      </c>
      <c r="E3324" s="24" t="s">
        <v>8</v>
      </c>
      <c r="F3324" s="24" t="s">
        <v>9</v>
      </c>
      <c r="G3324" s="24" t="s">
        <v>8</v>
      </c>
      <c r="H3324" s="24" t="s">
        <v>2715</v>
      </c>
      <c r="I3324" s="27">
        <v>916.13</v>
      </c>
    </row>
    <row r="3325" spans="2:9" ht="16">
      <c r="B3325" s="24" t="s">
        <v>316</v>
      </c>
      <c r="C3325" s="24" t="s">
        <v>6</v>
      </c>
      <c r="D3325" s="24" t="s">
        <v>2716</v>
      </c>
      <c r="E3325" s="24" t="s">
        <v>8</v>
      </c>
      <c r="F3325" s="24" t="s">
        <v>9</v>
      </c>
      <c r="G3325" s="24" t="s">
        <v>8</v>
      </c>
      <c r="H3325" s="24" t="s">
        <v>2717</v>
      </c>
      <c r="I3325" s="27">
        <v>38.22</v>
      </c>
    </row>
    <row r="3326" spans="2:9" ht="16">
      <c r="B3326" s="24" t="s">
        <v>8</v>
      </c>
      <c r="C3326" s="24" t="s">
        <v>6</v>
      </c>
      <c r="D3326" s="24" t="s">
        <v>2716</v>
      </c>
      <c r="E3326" s="24" t="s">
        <v>8</v>
      </c>
      <c r="F3326" s="24" t="s">
        <v>9</v>
      </c>
      <c r="G3326" s="24" t="s">
        <v>8</v>
      </c>
      <c r="H3326" s="24" t="s">
        <v>2718</v>
      </c>
      <c r="I3326" s="27">
        <v>562.16</v>
      </c>
    </row>
    <row r="3327" spans="2:9" ht="16">
      <c r="B3327" s="24" t="s">
        <v>8</v>
      </c>
      <c r="C3327" s="24" t="s">
        <v>6</v>
      </c>
      <c r="D3327" s="24" t="s">
        <v>2540</v>
      </c>
      <c r="E3327" s="24" t="s">
        <v>8</v>
      </c>
      <c r="F3327" s="24" t="s">
        <v>9</v>
      </c>
      <c r="G3327" s="24" t="s">
        <v>8</v>
      </c>
      <c r="H3327" s="24" t="s">
        <v>2719</v>
      </c>
      <c r="I3327" s="27">
        <v>273.23</v>
      </c>
    </row>
    <row r="3328" spans="2:9" ht="16">
      <c r="B3328" s="24" t="s">
        <v>2130</v>
      </c>
      <c r="C3328" s="24" t="s">
        <v>6</v>
      </c>
      <c r="D3328" s="24" t="s">
        <v>2544</v>
      </c>
      <c r="E3328" s="24" t="s">
        <v>8</v>
      </c>
      <c r="F3328" s="24" t="s">
        <v>9</v>
      </c>
      <c r="G3328" s="24" t="s">
        <v>8</v>
      </c>
      <c r="H3328" s="24" t="s">
        <v>2720</v>
      </c>
      <c r="I3328" s="27">
        <v>25.78</v>
      </c>
    </row>
    <row r="3329" spans="2:9" ht="16">
      <c r="B3329" s="24" t="s">
        <v>8</v>
      </c>
      <c r="C3329" s="24" t="s">
        <v>6</v>
      </c>
      <c r="D3329" s="24" t="s">
        <v>2544</v>
      </c>
      <c r="E3329" s="24" t="s">
        <v>8</v>
      </c>
      <c r="F3329" s="24" t="s">
        <v>9</v>
      </c>
      <c r="G3329" s="24" t="s">
        <v>8</v>
      </c>
      <c r="H3329" s="24" t="s">
        <v>2721</v>
      </c>
      <c r="I3329" s="27">
        <v>25.79</v>
      </c>
    </row>
    <row r="3330" spans="2:9" ht="16">
      <c r="B3330" s="24" t="s">
        <v>8</v>
      </c>
      <c r="C3330" s="24" t="s">
        <v>6</v>
      </c>
      <c r="D3330" s="24" t="s">
        <v>2630</v>
      </c>
      <c r="E3330" s="24" t="s">
        <v>8</v>
      </c>
      <c r="F3330" s="24" t="s">
        <v>9</v>
      </c>
      <c r="G3330" s="24" t="s">
        <v>8</v>
      </c>
      <c r="H3330" s="24" t="s">
        <v>2722</v>
      </c>
      <c r="I3330" s="27">
        <v>292.08</v>
      </c>
    </row>
    <row r="3331" spans="2:9" ht="16">
      <c r="B3331" s="24" t="s">
        <v>8</v>
      </c>
      <c r="C3331" s="24" t="s">
        <v>6</v>
      </c>
      <c r="D3331" s="24" t="s">
        <v>2630</v>
      </c>
      <c r="E3331" s="24" t="s">
        <v>8</v>
      </c>
      <c r="F3331" s="24" t="s">
        <v>9</v>
      </c>
      <c r="G3331" s="24" t="s">
        <v>8</v>
      </c>
      <c r="H3331" s="24" t="s">
        <v>2723</v>
      </c>
      <c r="I3331" s="27">
        <v>113.86</v>
      </c>
    </row>
    <row r="3332" spans="2:9" ht="16">
      <c r="B3332" s="24" t="s">
        <v>127</v>
      </c>
      <c r="C3332" s="24" t="s">
        <v>6</v>
      </c>
      <c r="D3332" s="24" t="s">
        <v>2622</v>
      </c>
      <c r="E3332" s="24" t="s">
        <v>8</v>
      </c>
      <c r="F3332" s="24" t="s">
        <v>9</v>
      </c>
      <c r="G3332" s="24" t="s">
        <v>8</v>
      </c>
      <c r="H3332" s="24" t="s">
        <v>2724</v>
      </c>
      <c r="I3332" s="27">
        <v>16.39</v>
      </c>
    </row>
    <row r="3333" spans="2:9" ht="16">
      <c r="B3333" s="24" t="s">
        <v>127</v>
      </c>
      <c r="C3333" s="24" t="s">
        <v>6</v>
      </c>
      <c r="D3333" s="24" t="s">
        <v>2725</v>
      </c>
      <c r="E3333" s="24" t="s">
        <v>8</v>
      </c>
      <c r="F3333" s="24" t="s">
        <v>9</v>
      </c>
      <c r="G3333" s="24" t="s">
        <v>8</v>
      </c>
      <c r="H3333" s="24" t="s">
        <v>2726</v>
      </c>
      <c r="I3333" s="27">
        <v>499.73</v>
      </c>
    </row>
    <row r="3334" spans="2:9" ht="16">
      <c r="B3334" s="24" t="s">
        <v>155</v>
      </c>
      <c r="C3334" s="24" t="s">
        <v>13</v>
      </c>
      <c r="D3334" s="24" t="s">
        <v>2041</v>
      </c>
      <c r="E3334" s="24" t="s">
        <v>2727</v>
      </c>
      <c r="F3334" s="24" t="s">
        <v>9</v>
      </c>
      <c r="G3334" s="24" t="s">
        <v>8</v>
      </c>
      <c r="H3334" s="24" t="s">
        <v>2728</v>
      </c>
      <c r="I3334" s="27">
        <v>187.08</v>
      </c>
    </row>
    <row r="3335" spans="2:9" ht="16">
      <c r="B3335" s="24" t="s">
        <v>589</v>
      </c>
      <c r="C3335" s="24" t="s">
        <v>6</v>
      </c>
      <c r="D3335" s="24" t="s">
        <v>1639</v>
      </c>
      <c r="E3335" s="24" t="s">
        <v>2637</v>
      </c>
      <c r="F3335" s="24" t="s">
        <v>9</v>
      </c>
      <c r="G3335" s="24" t="s">
        <v>8</v>
      </c>
      <c r="H3335" s="24" t="s">
        <v>2729</v>
      </c>
      <c r="I3335" s="27">
        <v>48.67</v>
      </c>
    </row>
    <row r="3336" spans="2:9" ht="16">
      <c r="B3336" s="24" t="s">
        <v>316</v>
      </c>
      <c r="C3336" s="24" t="s">
        <v>6</v>
      </c>
      <c r="D3336" s="24" t="s">
        <v>2080</v>
      </c>
      <c r="E3336" s="24" t="s">
        <v>8</v>
      </c>
      <c r="F3336" s="24" t="s">
        <v>9</v>
      </c>
      <c r="G3336" s="24" t="s">
        <v>8</v>
      </c>
      <c r="H3336" s="24" t="s">
        <v>2730</v>
      </c>
      <c r="I3336" s="27">
        <v>121.03</v>
      </c>
    </row>
    <row r="3337" spans="2:9" ht="16">
      <c r="B3337" s="24" t="s">
        <v>316</v>
      </c>
      <c r="C3337" s="24" t="s">
        <v>6</v>
      </c>
      <c r="D3337" s="24" t="s">
        <v>2731</v>
      </c>
      <c r="E3337" s="24" t="s">
        <v>8</v>
      </c>
      <c r="F3337" s="24" t="s">
        <v>9</v>
      </c>
      <c r="G3337" s="24" t="s">
        <v>8</v>
      </c>
      <c r="H3337" s="24" t="s">
        <v>2732</v>
      </c>
      <c r="I3337" s="27">
        <v>9.42</v>
      </c>
    </row>
    <row r="3338" spans="2:9" ht="16">
      <c r="B3338" s="24" t="s">
        <v>316</v>
      </c>
      <c r="C3338" s="24" t="s">
        <v>6</v>
      </c>
      <c r="D3338" s="24" t="s">
        <v>2733</v>
      </c>
      <c r="E3338" s="24" t="s">
        <v>8</v>
      </c>
      <c r="F3338" s="24" t="s">
        <v>9</v>
      </c>
      <c r="G3338" s="24" t="s">
        <v>8</v>
      </c>
      <c r="H3338" s="24" t="s">
        <v>2734</v>
      </c>
      <c r="I3338" s="27">
        <v>211.74</v>
      </c>
    </row>
    <row r="3339" spans="2:9" ht="16">
      <c r="B3339" s="24" t="s">
        <v>2735</v>
      </c>
      <c r="C3339" s="24" t="s">
        <v>13</v>
      </c>
      <c r="D3339" s="24" t="s">
        <v>2736</v>
      </c>
      <c r="E3339" s="24" t="s">
        <v>2737</v>
      </c>
      <c r="F3339" s="24" t="s">
        <v>9</v>
      </c>
      <c r="G3339" s="24" t="s">
        <v>8</v>
      </c>
      <c r="H3339" s="24" t="s">
        <v>2738</v>
      </c>
      <c r="I3339" s="29">
        <v>0</v>
      </c>
    </row>
    <row r="3340" spans="2:9" ht="16">
      <c r="B3340" s="24" t="s">
        <v>2735</v>
      </c>
      <c r="C3340" s="24" t="s">
        <v>13</v>
      </c>
      <c r="D3340" s="24" t="s">
        <v>2736</v>
      </c>
      <c r="E3340" s="24" t="s">
        <v>2737</v>
      </c>
      <c r="F3340" s="24" t="s">
        <v>9</v>
      </c>
      <c r="G3340" s="24" t="s">
        <v>8</v>
      </c>
      <c r="H3340" s="24" t="s">
        <v>2739</v>
      </c>
      <c r="I3340" s="27">
        <v>370.66</v>
      </c>
    </row>
    <row r="3341" spans="2:9" ht="16">
      <c r="B3341" s="24" t="s">
        <v>1096</v>
      </c>
      <c r="C3341" s="24" t="s">
        <v>6</v>
      </c>
      <c r="D3341" s="24" t="s">
        <v>2740</v>
      </c>
      <c r="E3341" s="24" t="s">
        <v>8</v>
      </c>
      <c r="F3341" s="24" t="s">
        <v>9</v>
      </c>
      <c r="G3341" s="24" t="s">
        <v>8</v>
      </c>
      <c r="H3341" s="24" t="s">
        <v>2741</v>
      </c>
      <c r="I3341" s="27">
        <v>7.64</v>
      </c>
    </row>
    <row r="3342" spans="2:9" ht="16">
      <c r="B3342" s="24" t="s">
        <v>155</v>
      </c>
      <c r="C3342" s="24" t="s">
        <v>13</v>
      </c>
      <c r="D3342" s="24" t="s">
        <v>2491</v>
      </c>
      <c r="E3342" s="24" t="s">
        <v>2742</v>
      </c>
      <c r="F3342" s="24" t="s">
        <v>9</v>
      </c>
      <c r="G3342" s="24" t="s">
        <v>8</v>
      </c>
      <c r="H3342" s="24" t="s">
        <v>2743</v>
      </c>
      <c r="I3342" s="27">
        <v>50.92</v>
      </c>
    </row>
    <row r="3343" spans="2:9" ht="16">
      <c r="B3343" s="24" t="s">
        <v>119</v>
      </c>
      <c r="C3343" s="24" t="s">
        <v>6</v>
      </c>
      <c r="D3343" s="24" t="s">
        <v>1769</v>
      </c>
      <c r="E3343" s="24" t="s">
        <v>8</v>
      </c>
      <c r="F3343" s="24" t="s">
        <v>9</v>
      </c>
      <c r="G3343" s="24" t="s">
        <v>8</v>
      </c>
      <c r="H3343" s="24" t="s">
        <v>2744</v>
      </c>
      <c r="I3343" s="27">
        <v>238.97</v>
      </c>
    </row>
    <row r="3344" spans="2:9" ht="16">
      <c r="B3344" s="24" t="s">
        <v>119</v>
      </c>
      <c r="C3344" s="24" t="s">
        <v>6</v>
      </c>
      <c r="D3344" s="24" t="s">
        <v>2533</v>
      </c>
      <c r="E3344" s="24" t="s">
        <v>8</v>
      </c>
      <c r="F3344" s="24" t="s">
        <v>9</v>
      </c>
      <c r="G3344" s="24" t="s">
        <v>8</v>
      </c>
      <c r="H3344" s="24" t="s">
        <v>2745</v>
      </c>
      <c r="I3344" s="27">
        <v>878.21</v>
      </c>
    </row>
    <row r="3345" spans="2:9" ht="16">
      <c r="B3345" s="24" t="s">
        <v>2130</v>
      </c>
      <c r="C3345" s="24" t="s">
        <v>6</v>
      </c>
      <c r="D3345" s="24" t="s">
        <v>2746</v>
      </c>
      <c r="E3345" s="24" t="s">
        <v>8</v>
      </c>
      <c r="F3345" s="24" t="s">
        <v>9</v>
      </c>
      <c r="G3345" s="24" t="s">
        <v>8</v>
      </c>
      <c r="H3345" s="24" t="s">
        <v>2045</v>
      </c>
      <c r="I3345" s="27">
        <v>47.66</v>
      </c>
    </row>
    <row r="3346" spans="2:9" ht="16">
      <c r="B3346" s="24" t="s">
        <v>2130</v>
      </c>
      <c r="C3346" s="24" t="s">
        <v>6</v>
      </c>
      <c r="D3346" s="24" t="s">
        <v>1988</v>
      </c>
      <c r="E3346" s="24" t="s">
        <v>8</v>
      </c>
      <c r="F3346" s="24" t="s">
        <v>9</v>
      </c>
      <c r="G3346" s="24" t="s">
        <v>8</v>
      </c>
      <c r="H3346" s="24" t="s">
        <v>2747</v>
      </c>
      <c r="I3346" s="27">
        <v>141.67</v>
      </c>
    </row>
    <row r="3347" spans="2:9" ht="16">
      <c r="B3347" s="24" t="s">
        <v>2130</v>
      </c>
      <c r="C3347" s="24" t="s">
        <v>6</v>
      </c>
      <c r="D3347" s="24" t="s">
        <v>1988</v>
      </c>
      <c r="E3347" s="24" t="s">
        <v>8</v>
      </c>
      <c r="F3347" s="24" t="s">
        <v>9</v>
      </c>
      <c r="G3347" s="24" t="s">
        <v>8</v>
      </c>
      <c r="H3347" s="24" t="s">
        <v>2748</v>
      </c>
      <c r="I3347" s="27">
        <v>237.57</v>
      </c>
    </row>
    <row r="3348" spans="2:9" ht="16">
      <c r="B3348" s="24" t="s">
        <v>8</v>
      </c>
      <c r="C3348" s="24" t="s">
        <v>6</v>
      </c>
      <c r="D3348" s="24" t="s">
        <v>2113</v>
      </c>
      <c r="E3348" s="24" t="s">
        <v>8</v>
      </c>
      <c r="F3348" s="24" t="s">
        <v>9</v>
      </c>
      <c r="G3348" s="24" t="s">
        <v>8</v>
      </c>
      <c r="H3348" s="24" t="s">
        <v>2749</v>
      </c>
      <c r="I3348" s="27">
        <v>43.77</v>
      </c>
    </row>
    <row r="3349" spans="2:9" ht="16">
      <c r="B3349" s="24" t="s">
        <v>8</v>
      </c>
      <c r="C3349" s="24" t="s">
        <v>6</v>
      </c>
      <c r="D3349" s="24" t="s">
        <v>2750</v>
      </c>
      <c r="E3349" s="24" t="s">
        <v>8</v>
      </c>
      <c r="F3349" s="24" t="s">
        <v>9</v>
      </c>
      <c r="G3349" s="24" t="s">
        <v>8</v>
      </c>
      <c r="H3349" s="24" t="s">
        <v>2749</v>
      </c>
      <c r="I3349" s="27">
        <v>177.19</v>
      </c>
    </row>
    <row r="3350" spans="2:9" ht="16">
      <c r="B3350" s="24" t="s">
        <v>119</v>
      </c>
      <c r="C3350" s="24" t="s">
        <v>6</v>
      </c>
      <c r="D3350" s="24" t="s">
        <v>2049</v>
      </c>
      <c r="E3350" s="24" t="s">
        <v>8</v>
      </c>
      <c r="F3350" s="24" t="s">
        <v>9</v>
      </c>
      <c r="G3350" s="24" t="s">
        <v>8</v>
      </c>
      <c r="H3350" s="24" t="s">
        <v>910</v>
      </c>
      <c r="I3350" s="27">
        <v>126.67</v>
      </c>
    </row>
    <row r="3351" spans="2:9" ht="16">
      <c r="B3351" s="24" t="s">
        <v>119</v>
      </c>
      <c r="C3351" s="24" t="s">
        <v>6</v>
      </c>
      <c r="D3351" s="24" t="s">
        <v>1986</v>
      </c>
      <c r="E3351" s="24" t="s">
        <v>2751</v>
      </c>
      <c r="F3351" s="24" t="s">
        <v>9</v>
      </c>
      <c r="G3351" s="24" t="s">
        <v>8</v>
      </c>
      <c r="H3351" s="24" t="s">
        <v>910</v>
      </c>
      <c r="I3351" s="27">
        <v>25.14</v>
      </c>
    </row>
    <row r="3352" spans="2:9" ht="16">
      <c r="B3352" s="24" t="s">
        <v>119</v>
      </c>
      <c r="C3352" s="24" t="s">
        <v>6</v>
      </c>
      <c r="D3352" s="24" t="s">
        <v>1615</v>
      </c>
      <c r="E3352" s="24" t="s">
        <v>8</v>
      </c>
      <c r="F3352" s="24" t="s">
        <v>9</v>
      </c>
      <c r="G3352" s="24" t="s">
        <v>8</v>
      </c>
      <c r="H3352" s="24" t="s">
        <v>910</v>
      </c>
      <c r="I3352" s="27">
        <v>88.59</v>
      </c>
    </row>
    <row r="3353" spans="2:9" ht="16">
      <c r="B3353" s="24" t="s">
        <v>119</v>
      </c>
      <c r="C3353" s="24" t="s">
        <v>6</v>
      </c>
      <c r="D3353" s="24" t="s">
        <v>1661</v>
      </c>
      <c r="E3353" s="24" t="s">
        <v>8</v>
      </c>
      <c r="F3353" s="24" t="s">
        <v>9</v>
      </c>
      <c r="G3353" s="24" t="s">
        <v>8</v>
      </c>
      <c r="H3353" s="24" t="s">
        <v>910</v>
      </c>
      <c r="I3353" s="27">
        <v>97.35</v>
      </c>
    </row>
    <row r="3354" spans="2:9" ht="16">
      <c r="B3354" s="24" t="s">
        <v>8</v>
      </c>
      <c r="C3354" s="24" t="s">
        <v>6</v>
      </c>
      <c r="D3354" s="24" t="s">
        <v>2113</v>
      </c>
      <c r="E3354" s="24" t="s">
        <v>8</v>
      </c>
      <c r="F3354" s="24" t="s">
        <v>9</v>
      </c>
      <c r="G3354" s="24" t="s">
        <v>8</v>
      </c>
      <c r="H3354" s="24" t="s">
        <v>2752</v>
      </c>
      <c r="I3354" s="27">
        <v>419.57</v>
      </c>
    </row>
    <row r="3355" spans="2:9" ht="16">
      <c r="B3355" s="24" t="s">
        <v>119</v>
      </c>
      <c r="C3355" s="24" t="s">
        <v>6</v>
      </c>
      <c r="D3355" s="24" t="s">
        <v>2496</v>
      </c>
      <c r="E3355" s="24" t="s">
        <v>8</v>
      </c>
      <c r="F3355" s="24" t="s">
        <v>9</v>
      </c>
      <c r="G3355" s="24" t="s">
        <v>8</v>
      </c>
      <c r="H3355" s="24" t="s">
        <v>2752</v>
      </c>
      <c r="I3355" s="27">
        <v>312.62</v>
      </c>
    </row>
    <row r="3356" spans="2:9" ht="16">
      <c r="B3356" s="24" t="s">
        <v>119</v>
      </c>
      <c r="C3356" s="24" t="s">
        <v>6</v>
      </c>
      <c r="D3356" s="24" t="s">
        <v>2360</v>
      </c>
      <c r="E3356" s="24" t="s">
        <v>8</v>
      </c>
      <c r="F3356" s="24" t="s">
        <v>9</v>
      </c>
      <c r="G3356" s="24" t="s">
        <v>8</v>
      </c>
      <c r="H3356" s="24" t="s">
        <v>2753</v>
      </c>
      <c r="I3356" s="27">
        <v>50.67</v>
      </c>
    </row>
    <row r="3357" spans="2:9" ht="16">
      <c r="B3357" s="24" t="s">
        <v>8</v>
      </c>
      <c r="C3357" s="24" t="s">
        <v>139</v>
      </c>
      <c r="D3357" s="24" t="s">
        <v>2470</v>
      </c>
      <c r="E3357" s="24" t="s">
        <v>8</v>
      </c>
      <c r="F3357" s="24" t="s">
        <v>9</v>
      </c>
      <c r="G3357" s="24" t="s">
        <v>8</v>
      </c>
      <c r="H3357" s="24" t="s">
        <v>1107</v>
      </c>
      <c r="I3357" s="27">
        <v>-21.9</v>
      </c>
    </row>
    <row r="3358" spans="2:9" ht="16">
      <c r="B3358" s="24" t="s">
        <v>8</v>
      </c>
      <c r="C3358" s="24" t="s">
        <v>139</v>
      </c>
      <c r="D3358" s="24" t="s">
        <v>2099</v>
      </c>
      <c r="E3358" s="24" t="s">
        <v>8</v>
      </c>
      <c r="F3358" s="24" t="s">
        <v>9</v>
      </c>
      <c r="G3358" s="24" t="s">
        <v>8</v>
      </c>
      <c r="H3358" s="24" t="s">
        <v>1107</v>
      </c>
      <c r="I3358" s="27">
        <v>-394.15</v>
      </c>
    </row>
    <row r="3359" spans="2:9" ht="16">
      <c r="B3359" s="24" t="s">
        <v>8</v>
      </c>
      <c r="C3359" s="24" t="s">
        <v>6</v>
      </c>
      <c r="D3359" s="24" t="s">
        <v>1672</v>
      </c>
      <c r="E3359" s="24" t="s">
        <v>8</v>
      </c>
      <c r="F3359" s="24" t="s">
        <v>9</v>
      </c>
      <c r="G3359" s="24" t="s">
        <v>8</v>
      </c>
      <c r="H3359" s="24" t="s">
        <v>2754</v>
      </c>
      <c r="I3359" s="27">
        <v>34.72</v>
      </c>
    </row>
    <row r="3360" spans="2:9" ht="16">
      <c r="B3360" s="24" t="s">
        <v>119</v>
      </c>
      <c r="C3360" s="24" t="s">
        <v>6</v>
      </c>
      <c r="D3360" s="24" t="s">
        <v>2107</v>
      </c>
      <c r="E3360" s="24" t="s">
        <v>8</v>
      </c>
      <c r="F3360" s="24" t="s">
        <v>9</v>
      </c>
      <c r="G3360" s="24" t="s">
        <v>8</v>
      </c>
      <c r="H3360" s="24" t="s">
        <v>2754</v>
      </c>
      <c r="I3360" s="27">
        <v>27.76</v>
      </c>
    </row>
    <row r="3361" spans="2:9" ht="16">
      <c r="B3361" s="24" t="s">
        <v>8</v>
      </c>
      <c r="C3361" s="24" t="s">
        <v>6</v>
      </c>
      <c r="D3361" s="24" t="s">
        <v>2755</v>
      </c>
      <c r="E3361" s="24" t="s">
        <v>8</v>
      </c>
      <c r="F3361" s="24" t="s">
        <v>9</v>
      </c>
      <c r="G3361" s="24" t="s">
        <v>8</v>
      </c>
      <c r="H3361" s="24" t="s">
        <v>2754</v>
      </c>
      <c r="I3361" s="27">
        <v>170.0</v>
      </c>
    </row>
    <row r="3362" spans="2:9" ht="16">
      <c r="B3362" s="24" t="s">
        <v>316</v>
      </c>
      <c r="C3362" s="24" t="s">
        <v>6</v>
      </c>
      <c r="D3362" s="24" t="s">
        <v>1970</v>
      </c>
      <c r="E3362" s="24" t="s">
        <v>8</v>
      </c>
      <c r="F3362" s="24" t="s">
        <v>9</v>
      </c>
      <c r="G3362" s="24" t="s">
        <v>8</v>
      </c>
      <c r="H3362" s="24" t="s">
        <v>2756</v>
      </c>
      <c r="I3362" s="27">
        <v>27.04</v>
      </c>
    </row>
    <row r="3363" spans="2:9" ht="16">
      <c r="B3363" s="24" t="s">
        <v>21</v>
      </c>
      <c r="C3363" s="24" t="s">
        <v>13</v>
      </c>
      <c r="D3363" s="24" t="s">
        <v>1685</v>
      </c>
      <c r="E3363" s="24" t="s">
        <v>2757</v>
      </c>
      <c r="F3363" s="24" t="s">
        <v>9</v>
      </c>
      <c r="G3363" s="24" t="s">
        <v>8</v>
      </c>
      <c r="H3363" s="24" t="s">
        <v>527</v>
      </c>
      <c r="I3363" s="27">
        <v>578.55</v>
      </c>
    </row>
    <row r="3364" spans="2:9" ht="16">
      <c r="B3364" s="24" t="s">
        <v>21</v>
      </c>
      <c r="C3364" s="24" t="s">
        <v>13</v>
      </c>
      <c r="D3364" s="24" t="s">
        <v>2496</v>
      </c>
      <c r="E3364" s="24" t="s">
        <v>2758</v>
      </c>
      <c r="F3364" s="24" t="s">
        <v>9</v>
      </c>
      <c r="G3364" s="24" t="s">
        <v>8</v>
      </c>
      <c r="H3364" s="24" t="s">
        <v>527</v>
      </c>
      <c r="I3364" s="27">
        <v>4002.18</v>
      </c>
    </row>
    <row r="3365" spans="2:9" ht="16">
      <c r="B3365" s="24" t="s">
        <v>21</v>
      </c>
      <c r="C3365" s="24" t="s">
        <v>13</v>
      </c>
      <c r="D3365" s="24" t="s">
        <v>2496</v>
      </c>
      <c r="E3365" s="24" t="s">
        <v>2759</v>
      </c>
      <c r="F3365" s="24" t="s">
        <v>9</v>
      </c>
      <c r="G3365" s="24" t="s">
        <v>8</v>
      </c>
      <c r="H3365" s="24" t="s">
        <v>527</v>
      </c>
      <c r="I3365" s="27">
        <v>5154.48</v>
      </c>
    </row>
    <row r="3366" spans="2:9" ht="16">
      <c r="B3366" s="24" t="s">
        <v>2182</v>
      </c>
      <c r="C3366" s="24" t="s">
        <v>13</v>
      </c>
      <c r="D3366" s="24" t="s">
        <v>2137</v>
      </c>
      <c r="E3366" s="24" t="s">
        <v>2760</v>
      </c>
      <c r="F3366" s="24" t="s">
        <v>9</v>
      </c>
      <c r="G3366" s="24" t="s">
        <v>8</v>
      </c>
      <c r="H3366" s="24" t="s">
        <v>2761</v>
      </c>
      <c r="I3366" s="27">
        <v>730.95</v>
      </c>
    </row>
    <row r="3367" spans="2:9" ht="16">
      <c r="B3367" s="24" t="s">
        <v>493</v>
      </c>
      <c r="C3367" s="24" t="s">
        <v>13</v>
      </c>
      <c r="D3367" s="24" t="s">
        <v>2625</v>
      </c>
      <c r="E3367" s="24" t="s">
        <v>2762</v>
      </c>
      <c r="F3367" s="24" t="s">
        <v>9</v>
      </c>
      <c r="G3367" s="24" t="s">
        <v>8</v>
      </c>
      <c r="H3367" s="24" t="s">
        <v>2763</v>
      </c>
      <c r="I3367" s="27">
        <v>309.06</v>
      </c>
    </row>
    <row r="3368" spans="2:9" ht="16">
      <c r="B3368" s="24" t="s">
        <v>117</v>
      </c>
      <c r="C3368" s="24" t="s">
        <v>6</v>
      </c>
      <c r="D3368" s="24" t="s">
        <v>1685</v>
      </c>
      <c r="E3368" s="24" t="s">
        <v>8</v>
      </c>
      <c r="F3368" s="24" t="s">
        <v>9</v>
      </c>
      <c r="G3368" s="24" t="s">
        <v>8</v>
      </c>
      <c r="H3368" s="24" t="s">
        <v>2764</v>
      </c>
      <c r="I3368" s="27">
        <v>1688.8</v>
      </c>
    </row>
    <row r="3369" spans="1:9" ht="16">
      <c r="A3369" s="35" t="s">
        <v>40</v>
      </c>
      <c r="I3369" s="28">
        <f>I3261+I3262+I3263+I3264+I3265+I3266+I3267+I3268+I3269+I3270+I3271+I3272+I3273+I3274+I3275+I3276+I3277+I3278+I3279+I3280+I3281+I3282+I3283+I3284+I3285+I3286+I3287+I3288+I3289+I3290+I3291+I3292+I3293+I3294+I3295+I3296+I3297+I3298+I3299+I3300+I3301+I3302+I3303+I3304+I3305+I3306+I3307+I3308+I3309+I3310+I3311+I3312+I3313+I3314+I3315+I3316+I3317+I3318+I3319+I3320+I3321+I3322+I3323+I3324+I3325+I3326+I3327+I3328+I3329+I3330+I3331+I3332+I3333+I3334+I3335+I3336+I3337+I3338+I3339+I3340+I3341+I3342+I3343+I3344+I3345+I3346+I3347+I3348+I3349+I3350+I3351+I3352+I3353+I3354+I3355+I3356+I3357+I3358+I3359+I3360+I3361+I3362+I3363+I3364+I3365+I3366+I3367+I3368</f>
        <v>98072.99000000002</v>
      </c>
    </row>
    <row r="3370" spans="1:1" ht="16">
      <c r="A3370" s="34" t="s">
        <v>2621</v>
      </c>
    </row>
    <row r="3371" spans="2:9" ht="16">
      <c r="B3371" s="24" t="s">
        <v>961</v>
      </c>
      <c r="C3371" s="24" t="s">
        <v>6</v>
      </c>
      <c r="D3371" s="24" t="s">
        <v>1655</v>
      </c>
      <c r="E3371" s="24" t="s">
        <v>8</v>
      </c>
      <c r="F3371" s="24" t="s">
        <v>9</v>
      </c>
      <c r="G3371" s="24" t="s">
        <v>8</v>
      </c>
      <c r="H3371" s="24" t="s">
        <v>53</v>
      </c>
      <c r="I3371" s="27">
        <v>432.91</v>
      </c>
    </row>
    <row r="3372" spans="2:9" ht="16">
      <c r="B3372" s="24" t="s">
        <v>961</v>
      </c>
      <c r="C3372" s="24" t="s">
        <v>6</v>
      </c>
      <c r="D3372" s="24" t="s">
        <v>2053</v>
      </c>
      <c r="E3372" s="24" t="s">
        <v>8</v>
      </c>
      <c r="F3372" s="24" t="s">
        <v>9</v>
      </c>
      <c r="G3372" s="24" t="s">
        <v>8</v>
      </c>
      <c r="H3372" s="24" t="s">
        <v>8</v>
      </c>
      <c r="I3372" s="27">
        <v>453.76</v>
      </c>
    </row>
    <row r="3373" spans="1:9" ht="16">
      <c r="A3373" s="35" t="s">
        <v>1656</v>
      </c>
      <c r="I3373" s="28">
        <f>I3370+I3371+I3372</f>
        <v>886.6700000000001</v>
      </c>
    </row>
    <row r="3374" spans="1:1" ht="16">
      <c r="A3374" s="34" t="s">
        <v>2621</v>
      </c>
    </row>
    <row r="3375" spans="2:9" ht="16">
      <c r="B3375" s="24" t="s">
        <v>1124</v>
      </c>
      <c r="C3375" s="24" t="s">
        <v>6</v>
      </c>
      <c r="D3375" s="24" t="s">
        <v>1930</v>
      </c>
      <c r="E3375" s="24" t="s">
        <v>8</v>
      </c>
      <c r="F3375" s="24" t="s">
        <v>9</v>
      </c>
      <c r="G3375" s="24" t="s">
        <v>8</v>
      </c>
      <c r="H3375" s="24" t="s">
        <v>1125</v>
      </c>
      <c r="I3375" s="27">
        <v>1326.0</v>
      </c>
    </row>
    <row r="3376" spans="2:9" ht="16">
      <c r="B3376" s="24" t="s">
        <v>1124</v>
      </c>
      <c r="C3376" s="24" t="s">
        <v>6</v>
      </c>
      <c r="D3376" s="24" t="s">
        <v>1930</v>
      </c>
      <c r="E3376" s="24" t="s">
        <v>8</v>
      </c>
      <c r="F3376" s="24" t="s">
        <v>9</v>
      </c>
      <c r="G3376" s="24" t="s">
        <v>8</v>
      </c>
      <c r="H3376" s="24" t="s">
        <v>1125</v>
      </c>
      <c r="I3376" s="27">
        <v>1330.0</v>
      </c>
    </row>
    <row r="3377" spans="1:9" ht="16">
      <c r="A3377" s="35" t="s">
        <v>1127</v>
      </c>
      <c r="I3377" s="28">
        <f>I3374+I3375+I3376</f>
        <v>2656.0</v>
      </c>
    </row>
    <row r="3378" spans="1:1" ht="16">
      <c r="A3378" s="34" t="s">
        <v>2621</v>
      </c>
    </row>
    <row r="3379" spans="2:9" ht="16">
      <c r="B3379" s="24" t="s">
        <v>2130</v>
      </c>
      <c r="C3379" s="24" t="s">
        <v>6</v>
      </c>
      <c r="D3379" s="24" t="s">
        <v>2142</v>
      </c>
      <c r="E3379" s="24" t="s">
        <v>8</v>
      </c>
      <c r="F3379" s="24" t="s">
        <v>9</v>
      </c>
      <c r="G3379" s="24" t="s">
        <v>8</v>
      </c>
      <c r="H3379" s="24" t="s">
        <v>2765</v>
      </c>
      <c r="I3379" s="27">
        <v>92.4</v>
      </c>
    </row>
    <row r="3380" spans="2:9" ht="16">
      <c r="B3380" s="24" t="s">
        <v>2130</v>
      </c>
      <c r="C3380" s="24" t="s">
        <v>6</v>
      </c>
      <c r="D3380" s="24" t="s">
        <v>2590</v>
      </c>
      <c r="E3380" s="24" t="s">
        <v>8</v>
      </c>
      <c r="F3380" s="24" t="s">
        <v>9</v>
      </c>
      <c r="G3380" s="24" t="s">
        <v>8</v>
      </c>
      <c r="H3380" s="24" t="s">
        <v>2765</v>
      </c>
      <c r="I3380" s="27">
        <v>17.9</v>
      </c>
    </row>
    <row r="3381" spans="2:9" ht="16">
      <c r="B3381" s="24" t="s">
        <v>589</v>
      </c>
      <c r="C3381" s="24" t="s">
        <v>6</v>
      </c>
      <c r="D3381" s="24" t="s">
        <v>1930</v>
      </c>
      <c r="E3381" s="24" t="s">
        <v>8</v>
      </c>
      <c r="F3381" s="24" t="s">
        <v>9</v>
      </c>
      <c r="G3381" s="24" t="s">
        <v>8</v>
      </c>
      <c r="H3381" s="24" t="s">
        <v>2766</v>
      </c>
      <c r="I3381" s="27">
        <v>55.74</v>
      </c>
    </row>
    <row r="3382" spans="2:9" ht="16">
      <c r="B3382" s="24" t="s">
        <v>8</v>
      </c>
      <c r="C3382" s="24" t="s">
        <v>139</v>
      </c>
      <c r="D3382" s="24" t="s">
        <v>1687</v>
      </c>
      <c r="E3382" s="24" t="s">
        <v>8</v>
      </c>
      <c r="F3382" s="24" t="s">
        <v>9</v>
      </c>
      <c r="G3382" s="24" t="s">
        <v>8</v>
      </c>
      <c r="H3382" s="24" t="s">
        <v>2767</v>
      </c>
      <c r="I3382" s="27">
        <v>-141.67</v>
      </c>
    </row>
    <row r="3383" spans="2:9" ht="16">
      <c r="B3383" s="24" t="s">
        <v>2130</v>
      </c>
      <c r="C3383" s="24" t="s">
        <v>139</v>
      </c>
      <c r="D3383" s="24" t="s">
        <v>2562</v>
      </c>
      <c r="E3383" s="24" t="s">
        <v>8</v>
      </c>
      <c r="F3383" s="24" t="s">
        <v>9</v>
      </c>
      <c r="G3383" s="24" t="s">
        <v>8</v>
      </c>
      <c r="H3383" s="24" t="s">
        <v>2768</v>
      </c>
      <c r="I3383" s="27">
        <v>-237.57</v>
      </c>
    </row>
    <row r="3384" spans="1:9" ht="16">
      <c r="A3384" s="35" t="s">
        <v>267</v>
      </c>
      <c r="I3384" s="28">
        <f>I3378+I3379+I3380+I3381+I3382+I3383</f>
        <v>-213.19999999999996</v>
      </c>
    </row>
    <row r="3385" spans="1:1" ht="16">
      <c r="A3385" s="34" t="s">
        <v>2621</v>
      </c>
    </row>
    <row r="3386" spans="2:9" ht="16">
      <c r="B3386" s="24" t="s">
        <v>1382</v>
      </c>
      <c r="C3386" s="24" t="s">
        <v>13</v>
      </c>
      <c r="D3386" s="24" t="s">
        <v>2769</v>
      </c>
      <c r="E3386" s="24" t="s">
        <v>2770</v>
      </c>
      <c r="F3386" s="24" t="s">
        <v>9</v>
      </c>
      <c r="G3386" s="24" t="s">
        <v>8</v>
      </c>
      <c r="H3386" s="24" t="s">
        <v>2771</v>
      </c>
      <c r="I3386" s="27">
        <v>19350.0</v>
      </c>
    </row>
    <row r="3387" spans="2:9" ht="16">
      <c r="B3387" s="24" t="s">
        <v>949</v>
      </c>
      <c r="C3387" s="24" t="s">
        <v>13</v>
      </c>
      <c r="D3387" s="24" t="s">
        <v>2772</v>
      </c>
      <c r="E3387" s="24" t="s">
        <v>2773</v>
      </c>
      <c r="F3387" s="24" t="s">
        <v>9</v>
      </c>
      <c r="G3387" s="24" t="s">
        <v>8</v>
      </c>
      <c r="H3387" s="24" t="s">
        <v>2774</v>
      </c>
      <c r="I3387" s="27">
        <v>4043.57</v>
      </c>
    </row>
    <row r="3388" spans="2:9" ht="16">
      <c r="B3388" s="24" t="s">
        <v>1167</v>
      </c>
      <c r="C3388" s="24" t="s">
        <v>13</v>
      </c>
      <c r="D3388" s="24" t="s">
        <v>2740</v>
      </c>
      <c r="E3388" s="24" t="s">
        <v>2775</v>
      </c>
      <c r="F3388" s="24" t="s">
        <v>9</v>
      </c>
      <c r="G3388" s="24" t="s">
        <v>8</v>
      </c>
      <c r="H3388" s="24" t="s">
        <v>2776</v>
      </c>
      <c r="I3388" s="27">
        <v>630.0</v>
      </c>
    </row>
    <row r="3389" spans="2:9" ht="16">
      <c r="B3389" s="24" t="s">
        <v>1167</v>
      </c>
      <c r="C3389" s="24" t="s">
        <v>13</v>
      </c>
      <c r="D3389" s="24" t="s">
        <v>2740</v>
      </c>
      <c r="E3389" s="24" t="s">
        <v>2777</v>
      </c>
      <c r="F3389" s="24" t="s">
        <v>9</v>
      </c>
      <c r="G3389" s="24" t="s">
        <v>8</v>
      </c>
      <c r="H3389" s="24" t="s">
        <v>2778</v>
      </c>
      <c r="I3389" s="27">
        <v>750.0</v>
      </c>
    </row>
    <row r="3390" spans="2:9" ht="16">
      <c r="B3390" s="24" t="s">
        <v>1167</v>
      </c>
      <c r="C3390" s="24" t="s">
        <v>13</v>
      </c>
      <c r="D3390" s="24" t="s">
        <v>2740</v>
      </c>
      <c r="E3390" s="24" t="s">
        <v>2779</v>
      </c>
      <c r="F3390" s="24" t="s">
        <v>9</v>
      </c>
      <c r="G3390" s="24" t="s">
        <v>8</v>
      </c>
      <c r="H3390" s="24" t="s">
        <v>2780</v>
      </c>
      <c r="I3390" s="27">
        <v>750.0</v>
      </c>
    </row>
    <row r="3391" spans="2:9" ht="16">
      <c r="B3391" s="24" t="s">
        <v>1182</v>
      </c>
      <c r="C3391" s="24" t="s">
        <v>13</v>
      </c>
      <c r="D3391" s="24" t="s">
        <v>2144</v>
      </c>
      <c r="E3391" s="24" t="s">
        <v>2781</v>
      </c>
      <c r="F3391" s="24" t="s">
        <v>9</v>
      </c>
      <c r="G3391" s="24" t="s">
        <v>8</v>
      </c>
      <c r="H3391" s="24" t="s">
        <v>2782</v>
      </c>
      <c r="I3391" s="27">
        <v>19906.2</v>
      </c>
    </row>
    <row r="3392" spans="2:9" ht="16">
      <c r="B3392" s="24" t="s">
        <v>1382</v>
      </c>
      <c r="C3392" s="24" t="s">
        <v>13</v>
      </c>
      <c r="D3392" s="24" t="s">
        <v>1773</v>
      </c>
      <c r="E3392" s="24" t="s">
        <v>2783</v>
      </c>
      <c r="F3392" s="24" t="s">
        <v>9</v>
      </c>
      <c r="G3392" s="24" t="s">
        <v>8</v>
      </c>
      <c r="H3392" s="24" t="s">
        <v>2784</v>
      </c>
      <c r="I3392" s="27">
        <v>1207.0</v>
      </c>
    </row>
    <row r="3393" spans="2:9" ht="16">
      <c r="B3393" s="24" t="s">
        <v>1199</v>
      </c>
      <c r="C3393" s="24" t="s">
        <v>13</v>
      </c>
      <c r="D3393" s="24" t="s">
        <v>2585</v>
      </c>
      <c r="E3393" s="24" t="s">
        <v>2785</v>
      </c>
      <c r="F3393" s="24" t="s">
        <v>9</v>
      </c>
      <c r="G3393" s="24" t="s">
        <v>8</v>
      </c>
      <c r="H3393" s="24" t="s">
        <v>2786</v>
      </c>
      <c r="I3393" s="27">
        <v>1321.16</v>
      </c>
    </row>
    <row r="3394" spans="2:9" ht="16">
      <c r="B3394" s="24" t="s">
        <v>2406</v>
      </c>
      <c r="C3394" s="24" t="s">
        <v>13</v>
      </c>
      <c r="D3394" s="24" t="s">
        <v>2787</v>
      </c>
      <c r="E3394" s="24" t="s">
        <v>1676</v>
      </c>
      <c r="F3394" s="24" t="s">
        <v>9</v>
      </c>
      <c r="G3394" s="24" t="s">
        <v>8</v>
      </c>
      <c r="H3394" s="24" t="s">
        <v>2788</v>
      </c>
      <c r="I3394" s="27">
        <v>900.0</v>
      </c>
    </row>
    <row r="3395" spans="2:9" ht="16">
      <c r="B3395" s="24" t="s">
        <v>949</v>
      </c>
      <c r="C3395" s="24" t="s">
        <v>13</v>
      </c>
      <c r="D3395" s="24" t="s">
        <v>2135</v>
      </c>
      <c r="E3395" s="24" t="s">
        <v>2789</v>
      </c>
      <c r="F3395" s="24" t="s">
        <v>9</v>
      </c>
      <c r="G3395" s="24" t="s">
        <v>8</v>
      </c>
      <c r="H3395" s="24" t="s">
        <v>986</v>
      </c>
      <c r="I3395" s="27">
        <v>6536.83</v>
      </c>
    </row>
    <row r="3396" spans="2:9" ht="16">
      <c r="B3396" s="24" t="s">
        <v>949</v>
      </c>
      <c r="C3396" s="24" t="s">
        <v>13</v>
      </c>
      <c r="D3396" s="24" t="s">
        <v>2772</v>
      </c>
      <c r="E3396" s="24" t="s">
        <v>2790</v>
      </c>
      <c r="F3396" s="24" t="s">
        <v>9</v>
      </c>
      <c r="G3396" s="24" t="s">
        <v>8</v>
      </c>
      <c r="H3396" s="24" t="s">
        <v>2791</v>
      </c>
      <c r="I3396" s="27">
        <v>5962.09</v>
      </c>
    </row>
    <row r="3397" spans="2:9" ht="16">
      <c r="B3397" s="24" t="s">
        <v>2792</v>
      </c>
      <c r="C3397" s="24" t="s">
        <v>13</v>
      </c>
      <c r="D3397" s="24" t="s">
        <v>2104</v>
      </c>
      <c r="E3397" s="24" t="s">
        <v>2793</v>
      </c>
      <c r="F3397" s="24" t="s">
        <v>9</v>
      </c>
      <c r="G3397" s="24" t="s">
        <v>8</v>
      </c>
      <c r="H3397" s="24" t="s">
        <v>2794</v>
      </c>
      <c r="I3397" s="27">
        <v>12600.0</v>
      </c>
    </row>
    <row r="3398" spans="2:9" ht="16">
      <c r="B3398" s="24" t="s">
        <v>1134</v>
      </c>
      <c r="C3398" s="24" t="s">
        <v>13</v>
      </c>
      <c r="D3398" s="24" t="s">
        <v>2795</v>
      </c>
      <c r="E3398" s="24" t="s">
        <v>2796</v>
      </c>
      <c r="F3398" s="24" t="s">
        <v>9</v>
      </c>
      <c r="G3398" s="24" t="s">
        <v>8</v>
      </c>
      <c r="H3398" s="24" t="s">
        <v>2794</v>
      </c>
      <c r="I3398" s="27">
        <v>2211.2</v>
      </c>
    </row>
    <row r="3399" spans="2:9" ht="16">
      <c r="B3399" s="24" t="s">
        <v>2792</v>
      </c>
      <c r="C3399" s="24" t="s">
        <v>13</v>
      </c>
      <c r="D3399" s="24" t="s">
        <v>2797</v>
      </c>
      <c r="E3399" s="24" t="s">
        <v>2798</v>
      </c>
      <c r="F3399" s="24" t="s">
        <v>9</v>
      </c>
      <c r="G3399" s="24" t="s">
        <v>8</v>
      </c>
      <c r="H3399" s="24" t="s">
        <v>2794</v>
      </c>
      <c r="I3399" s="27">
        <v>2880.0</v>
      </c>
    </row>
    <row r="3400" spans="2:9" ht="16">
      <c r="B3400" s="24" t="s">
        <v>1140</v>
      </c>
      <c r="C3400" s="24" t="s">
        <v>13</v>
      </c>
      <c r="D3400" s="24" t="s">
        <v>2606</v>
      </c>
      <c r="E3400" s="24" t="s">
        <v>8</v>
      </c>
      <c r="F3400" s="24" t="s">
        <v>9</v>
      </c>
      <c r="G3400" s="24" t="s">
        <v>8</v>
      </c>
      <c r="H3400" s="24" t="s">
        <v>2799</v>
      </c>
      <c r="I3400" s="27">
        <v>11000.0</v>
      </c>
    </row>
    <row r="3401" spans="2:9" ht="16">
      <c r="B3401" s="24" t="s">
        <v>1140</v>
      </c>
      <c r="C3401" s="24" t="s">
        <v>13</v>
      </c>
      <c r="D3401" s="24" t="s">
        <v>2795</v>
      </c>
      <c r="E3401" s="24" t="s">
        <v>8</v>
      </c>
      <c r="F3401" s="24" t="s">
        <v>9</v>
      </c>
      <c r="G3401" s="24" t="s">
        <v>8</v>
      </c>
      <c r="H3401" s="24" t="s">
        <v>2800</v>
      </c>
      <c r="I3401" s="27">
        <v>21600.0</v>
      </c>
    </row>
    <row r="3402" spans="2:9" ht="16">
      <c r="B3402" s="24" t="s">
        <v>1140</v>
      </c>
      <c r="C3402" s="24" t="s">
        <v>13</v>
      </c>
      <c r="D3402" s="24" t="s">
        <v>2801</v>
      </c>
      <c r="E3402" s="24" t="s">
        <v>2802</v>
      </c>
      <c r="F3402" s="24" t="s">
        <v>9</v>
      </c>
      <c r="G3402" s="24" t="s">
        <v>8</v>
      </c>
      <c r="H3402" s="24" t="s">
        <v>2803</v>
      </c>
      <c r="I3402" s="27">
        <v>36000.0</v>
      </c>
    </row>
    <row r="3403" spans="2:9" ht="16">
      <c r="B3403" s="24" t="s">
        <v>2406</v>
      </c>
      <c r="C3403" s="24" t="s">
        <v>13</v>
      </c>
      <c r="D3403" s="24" t="s">
        <v>2497</v>
      </c>
      <c r="E3403" s="24" t="s">
        <v>2264</v>
      </c>
      <c r="F3403" s="24" t="s">
        <v>9</v>
      </c>
      <c r="G3403" s="24" t="s">
        <v>8</v>
      </c>
      <c r="H3403" s="24" t="s">
        <v>2804</v>
      </c>
      <c r="I3403" s="27">
        <v>8100.0</v>
      </c>
    </row>
    <row r="3404" spans="2:9" ht="16">
      <c r="B3404" s="24" t="s">
        <v>1167</v>
      </c>
      <c r="C3404" s="24" t="s">
        <v>13</v>
      </c>
      <c r="D3404" s="24" t="s">
        <v>2740</v>
      </c>
      <c r="E3404" s="24" t="s">
        <v>2779</v>
      </c>
      <c r="F3404" s="24" t="s">
        <v>9</v>
      </c>
      <c r="G3404" s="24" t="s">
        <v>8</v>
      </c>
      <c r="H3404" s="24" t="s">
        <v>2805</v>
      </c>
      <c r="I3404" s="27">
        <v>100.0</v>
      </c>
    </row>
    <row r="3405" spans="2:9" ht="16">
      <c r="B3405" s="24" t="s">
        <v>1167</v>
      </c>
      <c r="C3405" s="24" t="s">
        <v>13</v>
      </c>
      <c r="D3405" s="24" t="s">
        <v>2740</v>
      </c>
      <c r="E3405" s="24" t="s">
        <v>2775</v>
      </c>
      <c r="F3405" s="24" t="s">
        <v>9</v>
      </c>
      <c r="G3405" s="24" t="s">
        <v>8</v>
      </c>
      <c r="H3405" s="24" t="s">
        <v>2805</v>
      </c>
      <c r="I3405" s="27">
        <v>100.0</v>
      </c>
    </row>
    <row r="3406" spans="2:9" ht="16">
      <c r="B3406" s="24" t="s">
        <v>1167</v>
      </c>
      <c r="C3406" s="24" t="s">
        <v>13</v>
      </c>
      <c r="D3406" s="24" t="s">
        <v>2740</v>
      </c>
      <c r="E3406" s="24" t="s">
        <v>2777</v>
      </c>
      <c r="F3406" s="24" t="s">
        <v>9</v>
      </c>
      <c r="G3406" s="24" t="s">
        <v>8</v>
      </c>
      <c r="H3406" s="24" t="s">
        <v>2805</v>
      </c>
      <c r="I3406" s="27">
        <v>100.0</v>
      </c>
    </row>
    <row r="3407" spans="2:9" ht="16">
      <c r="B3407" s="24" t="s">
        <v>1140</v>
      </c>
      <c r="C3407" s="24" t="s">
        <v>13</v>
      </c>
      <c r="D3407" s="24" t="s">
        <v>2806</v>
      </c>
      <c r="E3407" s="24" t="s">
        <v>2807</v>
      </c>
      <c r="F3407" s="24" t="s">
        <v>9</v>
      </c>
      <c r="G3407" s="24" t="s">
        <v>8</v>
      </c>
      <c r="H3407" s="24" t="s">
        <v>2808</v>
      </c>
      <c r="I3407" s="27">
        <v>36000.0</v>
      </c>
    </row>
    <row r="3408" spans="2:9" ht="16">
      <c r="B3408" s="24" t="s">
        <v>1199</v>
      </c>
      <c r="C3408" s="24" t="s">
        <v>13</v>
      </c>
      <c r="D3408" s="24" t="s">
        <v>2585</v>
      </c>
      <c r="E3408" s="24" t="s">
        <v>2785</v>
      </c>
      <c r="F3408" s="24" t="s">
        <v>9</v>
      </c>
      <c r="G3408" s="24" t="s">
        <v>8</v>
      </c>
      <c r="H3408" s="24" t="s">
        <v>2809</v>
      </c>
      <c r="I3408" s="27">
        <v>1950.0</v>
      </c>
    </row>
    <row r="3409" spans="2:9" ht="16">
      <c r="B3409" s="24" t="s">
        <v>1018</v>
      </c>
      <c r="C3409" s="24" t="s">
        <v>13</v>
      </c>
      <c r="D3409" s="24" t="s">
        <v>2810</v>
      </c>
      <c r="E3409" s="24" t="s">
        <v>2811</v>
      </c>
      <c r="F3409" s="24" t="s">
        <v>9</v>
      </c>
      <c r="G3409" s="24" t="s">
        <v>8</v>
      </c>
      <c r="H3409" s="24" t="s">
        <v>2812</v>
      </c>
      <c r="I3409" s="27">
        <v>24785.61</v>
      </c>
    </row>
    <row r="3410" spans="2:9" ht="16">
      <c r="B3410" s="24" t="s">
        <v>1199</v>
      </c>
      <c r="C3410" s="24" t="s">
        <v>13</v>
      </c>
      <c r="D3410" s="24" t="s">
        <v>2585</v>
      </c>
      <c r="E3410" s="24" t="s">
        <v>2785</v>
      </c>
      <c r="F3410" s="24" t="s">
        <v>9</v>
      </c>
      <c r="G3410" s="24" t="s">
        <v>8</v>
      </c>
      <c r="H3410" s="24" t="s">
        <v>2813</v>
      </c>
      <c r="I3410" s="27">
        <v>-567.12</v>
      </c>
    </row>
    <row r="3411" spans="2:9" ht="16">
      <c r="B3411" s="24" t="s">
        <v>1199</v>
      </c>
      <c r="C3411" s="24" t="s">
        <v>13</v>
      </c>
      <c r="D3411" s="24" t="s">
        <v>2585</v>
      </c>
      <c r="E3411" s="24" t="s">
        <v>2785</v>
      </c>
      <c r="F3411" s="24" t="s">
        <v>9</v>
      </c>
      <c r="G3411" s="24" t="s">
        <v>8</v>
      </c>
      <c r="H3411" s="24" t="s">
        <v>837</v>
      </c>
      <c r="I3411" s="27">
        <v>2400.0</v>
      </c>
    </row>
    <row r="3412" spans="2:9" ht="16">
      <c r="B3412" s="24" t="s">
        <v>1134</v>
      </c>
      <c r="C3412" s="24" t="s">
        <v>13</v>
      </c>
      <c r="D3412" s="24" t="s">
        <v>2544</v>
      </c>
      <c r="E3412" s="24" t="s">
        <v>2257</v>
      </c>
      <c r="F3412" s="24" t="s">
        <v>9</v>
      </c>
      <c r="G3412" s="24" t="s">
        <v>8</v>
      </c>
      <c r="H3412" s="24" t="s">
        <v>2814</v>
      </c>
      <c r="I3412" s="27">
        <v>19900.8</v>
      </c>
    </row>
    <row r="3413" spans="2:9" ht="16">
      <c r="B3413" s="24" t="s">
        <v>1130</v>
      </c>
      <c r="C3413" s="24" t="s">
        <v>13</v>
      </c>
      <c r="D3413" s="24" t="s">
        <v>2815</v>
      </c>
      <c r="E3413" s="24" t="s">
        <v>2793</v>
      </c>
      <c r="F3413" s="24" t="s">
        <v>9</v>
      </c>
      <c r="G3413" s="24" t="s">
        <v>8</v>
      </c>
      <c r="H3413" s="24" t="s">
        <v>2816</v>
      </c>
      <c r="I3413" s="27">
        <v>8878.5</v>
      </c>
    </row>
    <row r="3414" spans="2:9" ht="16">
      <c r="B3414" s="24" t="s">
        <v>1130</v>
      </c>
      <c r="C3414" s="24" t="s">
        <v>13</v>
      </c>
      <c r="D3414" s="24" t="s">
        <v>2443</v>
      </c>
      <c r="E3414" s="24" t="s">
        <v>2111</v>
      </c>
      <c r="F3414" s="24" t="s">
        <v>9</v>
      </c>
      <c r="G3414" s="24" t="s">
        <v>8</v>
      </c>
      <c r="H3414" s="24" t="s">
        <v>2817</v>
      </c>
      <c r="I3414" s="27">
        <v>9235.8</v>
      </c>
    </row>
    <row r="3415" spans="2:9" ht="16">
      <c r="B3415" s="24" t="s">
        <v>2792</v>
      </c>
      <c r="C3415" s="24" t="s">
        <v>13</v>
      </c>
      <c r="D3415" s="24" t="s">
        <v>2110</v>
      </c>
      <c r="E3415" s="24" t="s">
        <v>2818</v>
      </c>
      <c r="F3415" s="24" t="s">
        <v>9</v>
      </c>
      <c r="G3415" s="24" t="s">
        <v>8</v>
      </c>
      <c r="H3415" s="24" t="s">
        <v>2819</v>
      </c>
      <c r="I3415" s="27">
        <v>13320.0</v>
      </c>
    </row>
    <row r="3416" spans="2:9" ht="16">
      <c r="B3416" s="24" t="s">
        <v>1382</v>
      </c>
      <c r="C3416" s="24" t="s">
        <v>13</v>
      </c>
      <c r="D3416" s="24" t="s">
        <v>1773</v>
      </c>
      <c r="E3416" s="24" t="s">
        <v>2820</v>
      </c>
      <c r="F3416" s="24" t="s">
        <v>9</v>
      </c>
      <c r="G3416" s="24" t="s">
        <v>8</v>
      </c>
      <c r="H3416" s="24" t="s">
        <v>2821</v>
      </c>
      <c r="I3416" s="27">
        <v>465.0</v>
      </c>
    </row>
    <row r="3417" spans="2:9" ht="16">
      <c r="B3417" s="24" t="s">
        <v>1182</v>
      </c>
      <c r="C3417" s="24" t="s">
        <v>13</v>
      </c>
      <c r="D3417" s="24" t="s">
        <v>2822</v>
      </c>
      <c r="E3417" s="24" t="s">
        <v>2823</v>
      </c>
      <c r="F3417" s="24" t="s">
        <v>9</v>
      </c>
      <c r="G3417" s="24" t="s">
        <v>8</v>
      </c>
      <c r="H3417" s="24" t="s">
        <v>1191</v>
      </c>
      <c r="I3417" s="27">
        <v>10412.53</v>
      </c>
    </row>
    <row r="3418" spans="2:9" ht="16">
      <c r="B3418" s="24" t="s">
        <v>1182</v>
      </c>
      <c r="C3418" s="24" t="s">
        <v>13</v>
      </c>
      <c r="D3418" s="24" t="s">
        <v>2587</v>
      </c>
      <c r="E3418" s="24" t="s">
        <v>2824</v>
      </c>
      <c r="F3418" s="24" t="s">
        <v>9</v>
      </c>
      <c r="G3418" s="24" t="s">
        <v>8</v>
      </c>
      <c r="H3418" s="24" t="s">
        <v>2825</v>
      </c>
      <c r="I3418" s="27">
        <v>7947.47</v>
      </c>
    </row>
    <row r="3419" spans="2:9" ht="16">
      <c r="B3419" s="24" t="s">
        <v>1182</v>
      </c>
      <c r="C3419" s="24" t="s">
        <v>13</v>
      </c>
      <c r="D3419" s="24" t="s">
        <v>1192</v>
      </c>
      <c r="E3419" s="24" t="s">
        <v>2826</v>
      </c>
      <c r="F3419" s="24" t="s">
        <v>9</v>
      </c>
      <c r="G3419" s="24" t="s">
        <v>8</v>
      </c>
      <c r="H3419" s="24" t="s">
        <v>2827</v>
      </c>
      <c r="I3419" s="27">
        <v>6521.8</v>
      </c>
    </row>
    <row r="3420" spans="2:9" ht="16">
      <c r="B3420" s="24" t="s">
        <v>1182</v>
      </c>
      <c r="C3420" s="24" t="s">
        <v>13</v>
      </c>
      <c r="D3420" s="24" t="s">
        <v>1995</v>
      </c>
      <c r="E3420" s="24" t="s">
        <v>2802</v>
      </c>
      <c r="F3420" s="24" t="s">
        <v>9</v>
      </c>
      <c r="G3420" s="24" t="s">
        <v>8</v>
      </c>
      <c r="H3420" s="24" t="s">
        <v>2828</v>
      </c>
      <c r="I3420" s="27">
        <v>20430.0</v>
      </c>
    </row>
    <row r="3421" spans="2:9" ht="16">
      <c r="B3421" s="24" t="s">
        <v>2829</v>
      </c>
      <c r="C3421" s="24" t="s">
        <v>13</v>
      </c>
      <c r="D3421" s="24" t="s">
        <v>2830</v>
      </c>
      <c r="E3421" s="24" t="s">
        <v>2831</v>
      </c>
      <c r="F3421" s="24" t="s">
        <v>9</v>
      </c>
      <c r="G3421" s="24" t="s">
        <v>8</v>
      </c>
      <c r="H3421" s="24" t="s">
        <v>2832</v>
      </c>
      <c r="I3421" s="27">
        <v>2256.79</v>
      </c>
    </row>
    <row r="3422" spans="2:9" ht="16">
      <c r="B3422" s="24" t="s">
        <v>1161</v>
      </c>
      <c r="C3422" s="24" t="s">
        <v>13</v>
      </c>
      <c r="D3422" s="24" t="s">
        <v>2795</v>
      </c>
      <c r="E3422" s="24" t="s">
        <v>2833</v>
      </c>
      <c r="F3422" s="24" t="s">
        <v>9</v>
      </c>
      <c r="G3422" s="24" t="s">
        <v>8</v>
      </c>
      <c r="H3422" s="24" t="s">
        <v>2834</v>
      </c>
      <c r="I3422" s="27">
        <v>8045.88</v>
      </c>
    </row>
    <row r="3423" spans="2:9" ht="16">
      <c r="B3423" s="24" t="s">
        <v>1140</v>
      </c>
      <c r="C3423" s="24" t="s">
        <v>13</v>
      </c>
      <c r="D3423" s="24" t="s">
        <v>2795</v>
      </c>
      <c r="E3423" s="24" t="s">
        <v>8</v>
      </c>
      <c r="F3423" s="24" t="s">
        <v>9</v>
      </c>
      <c r="G3423" s="24" t="s">
        <v>8</v>
      </c>
      <c r="H3423" s="24" t="s">
        <v>548</v>
      </c>
      <c r="I3423" s="27">
        <v>11500.0</v>
      </c>
    </row>
    <row r="3424" spans="2:9" ht="16">
      <c r="B3424" s="24" t="s">
        <v>1199</v>
      </c>
      <c r="C3424" s="24" t="s">
        <v>13</v>
      </c>
      <c r="D3424" s="24" t="s">
        <v>2740</v>
      </c>
      <c r="E3424" s="24" t="s">
        <v>2835</v>
      </c>
      <c r="F3424" s="24" t="s">
        <v>9</v>
      </c>
      <c r="G3424" s="24" t="s">
        <v>8</v>
      </c>
      <c r="H3424" s="24" t="s">
        <v>548</v>
      </c>
      <c r="I3424" s="27">
        <v>567.12</v>
      </c>
    </row>
    <row r="3425" spans="2:9" ht="16">
      <c r="B3425" s="24" t="s">
        <v>1140</v>
      </c>
      <c r="C3425" s="24" t="s">
        <v>13</v>
      </c>
      <c r="D3425" s="24" t="s">
        <v>2606</v>
      </c>
      <c r="E3425" s="24" t="s">
        <v>8</v>
      </c>
      <c r="F3425" s="24" t="s">
        <v>9</v>
      </c>
      <c r="G3425" s="24" t="s">
        <v>8</v>
      </c>
      <c r="H3425" s="24" t="s">
        <v>2836</v>
      </c>
      <c r="I3425" s="27">
        <v>-1100.0</v>
      </c>
    </row>
    <row r="3426" spans="2:9" ht="16">
      <c r="B3426" s="24" t="s">
        <v>1130</v>
      </c>
      <c r="C3426" s="24" t="s">
        <v>13</v>
      </c>
      <c r="D3426" s="24" t="s">
        <v>2622</v>
      </c>
      <c r="E3426" s="24" t="s">
        <v>2837</v>
      </c>
      <c r="F3426" s="24" t="s">
        <v>9</v>
      </c>
      <c r="G3426" s="24" t="s">
        <v>8</v>
      </c>
      <c r="H3426" s="24" t="s">
        <v>2838</v>
      </c>
      <c r="I3426" s="27">
        <v>986.5</v>
      </c>
    </row>
    <row r="3427" spans="2:9" ht="16">
      <c r="B3427" s="24" t="s">
        <v>1130</v>
      </c>
      <c r="C3427" s="24" t="s">
        <v>13</v>
      </c>
      <c r="D3427" s="24" t="s">
        <v>2622</v>
      </c>
      <c r="E3427" s="24" t="s">
        <v>2837</v>
      </c>
      <c r="F3427" s="24" t="s">
        <v>9</v>
      </c>
      <c r="G3427" s="24" t="s">
        <v>8</v>
      </c>
      <c r="H3427" s="24" t="s">
        <v>2839</v>
      </c>
      <c r="I3427" s="27">
        <v>1026.2</v>
      </c>
    </row>
    <row r="3428" spans="2:9" ht="16">
      <c r="B3428" s="24" t="s">
        <v>1161</v>
      </c>
      <c r="C3428" s="24" t="s">
        <v>13</v>
      </c>
      <c r="D3428" s="24" t="s">
        <v>2795</v>
      </c>
      <c r="E3428" s="24" t="s">
        <v>2833</v>
      </c>
      <c r="F3428" s="24" t="s">
        <v>9</v>
      </c>
      <c r="G3428" s="24" t="s">
        <v>8</v>
      </c>
      <c r="H3428" s="24" t="s">
        <v>2840</v>
      </c>
      <c r="I3428" s="27">
        <v>752.29</v>
      </c>
    </row>
    <row r="3429" spans="2:9" ht="16">
      <c r="B3429" s="24" t="s">
        <v>1167</v>
      </c>
      <c r="C3429" s="24" t="s">
        <v>13</v>
      </c>
      <c r="D3429" s="24" t="s">
        <v>2740</v>
      </c>
      <c r="E3429" s="24" t="s">
        <v>2775</v>
      </c>
      <c r="F3429" s="24" t="s">
        <v>9</v>
      </c>
      <c r="G3429" s="24" t="s">
        <v>8</v>
      </c>
      <c r="H3429" s="24" t="s">
        <v>2841</v>
      </c>
      <c r="I3429" s="27">
        <v>58.91</v>
      </c>
    </row>
    <row r="3430" spans="2:9" ht="16">
      <c r="B3430" s="24" t="s">
        <v>1167</v>
      </c>
      <c r="C3430" s="24" t="s">
        <v>13</v>
      </c>
      <c r="D3430" s="24" t="s">
        <v>2740</v>
      </c>
      <c r="E3430" s="24" t="s">
        <v>2777</v>
      </c>
      <c r="F3430" s="24" t="s">
        <v>9</v>
      </c>
      <c r="G3430" s="24" t="s">
        <v>8</v>
      </c>
      <c r="H3430" s="24" t="s">
        <v>2841</v>
      </c>
      <c r="I3430" s="27">
        <v>70.13</v>
      </c>
    </row>
    <row r="3431" spans="2:9" ht="16">
      <c r="B3431" s="24" t="s">
        <v>1167</v>
      </c>
      <c r="C3431" s="24" t="s">
        <v>13</v>
      </c>
      <c r="D3431" s="24" t="s">
        <v>2740</v>
      </c>
      <c r="E3431" s="24" t="s">
        <v>2779</v>
      </c>
      <c r="F3431" s="24" t="s">
        <v>9</v>
      </c>
      <c r="G3431" s="24" t="s">
        <v>8</v>
      </c>
      <c r="H3431" s="24" t="s">
        <v>2841</v>
      </c>
      <c r="I3431" s="27">
        <v>70.13</v>
      </c>
    </row>
    <row r="3432" spans="2:9" ht="16">
      <c r="B3432" s="24" t="s">
        <v>1130</v>
      </c>
      <c r="C3432" s="24" t="s">
        <v>13</v>
      </c>
      <c r="D3432" s="24" t="s">
        <v>1661</v>
      </c>
      <c r="E3432" s="24" t="s">
        <v>2842</v>
      </c>
      <c r="F3432" s="24" t="s">
        <v>9</v>
      </c>
      <c r="G3432" s="24" t="s">
        <v>8</v>
      </c>
      <c r="H3432" s="24" t="s">
        <v>527</v>
      </c>
      <c r="I3432" s="27">
        <v>9735.0</v>
      </c>
    </row>
    <row r="3433" spans="2:9" ht="16">
      <c r="B3433" s="24" t="s">
        <v>1382</v>
      </c>
      <c r="C3433" s="24" t="s">
        <v>13</v>
      </c>
      <c r="D3433" s="24" t="s">
        <v>2587</v>
      </c>
      <c r="E3433" s="24" t="s">
        <v>2843</v>
      </c>
      <c r="F3433" s="24" t="s">
        <v>9</v>
      </c>
      <c r="G3433" s="24" t="s">
        <v>8</v>
      </c>
      <c r="H3433" s="24" t="s">
        <v>2844</v>
      </c>
      <c r="I3433" s="27">
        <v>340.0</v>
      </c>
    </row>
    <row r="3434" spans="2:9" ht="16">
      <c r="B3434" s="24" t="s">
        <v>1382</v>
      </c>
      <c r="C3434" s="24" t="s">
        <v>13</v>
      </c>
      <c r="D3434" s="24" t="s">
        <v>2587</v>
      </c>
      <c r="E3434" s="24" t="s">
        <v>2843</v>
      </c>
      <c r="F3434" s="24" t="s">
        <v>9</v>
      </c>
      <c r="G3434" s="24" t="s">
        <v>8</v>
      </c>
      <c r="H3434" s="24" t="s">
        <v>2845</v>
      </c>
      <c r="I3434" s="27">
        <v>98.0</v>
      </c>
    </row>
    <row r="3435" spans="1:9" ht="16">
      <c r="A3435" s="35" t="s">
        <v>164</v>
      </c>
      <c r="I3435" s="28">
        <f>I3385+I3386+I3387+I3388+I3389+I3390+I3391+I3392+I3393+I3394+I3395+I3396+I3397+I3398+I3399+I3400+I3401+I3402+I3403+I3404+I3405+I3406+I3407+I3408+I3409+I3410+I3411+I3412+I3413+I3414+I3415+I3416+I3417+I3418+I3419+I3420+I3421+I3422+I3423+I3424+I3425+I3426+I3427+I3428+I3429+I3430+I3431+I3432+I3433+I3434</f>
        <v>352135.3899999999</v>
      </c>
    </row>
    <row r="3436" spans="1:1" ht="16">
      <c r="A3436" s="34" t="s">
        <v>2621</v>
      </c>
    </row>
    <row r="3437" spans="2:9" ht="16">
      <c r="B3437" s="24" t="s">
        <v>45</v>
      </c>
      <c r="C3437" s="24" t="s">
        <v>13</v>
      </c>
      <c r="D3437" s="24" t="s">
        <v>2589</v>
      </c>
      <c r="E3437" s="24" t="s">
        <v>8</v>
      </c>
      <c r="F3437" s="24" t="s">
        <v>9</v>
      </c>
      <c r="G3437" s="24" t="s">
        <v>8</v>
      </c>
      <c r="H3437" s="24" t="s">
        <v>2621</v>
      </c>
      <c r="I3437" s="27">
        <v>66.2</v>
      </c>
    </row>
    <row r="3438" spans="2:9" ht="16">
      <c r="B3438" s="24" t="s">
        <v>45</v>
      </c>
      <c r="C3438" s="24" t="s">
        <v>13</v>
      </c>
      <c r="D3438" s="24" t="s">
        <v>2846</v>
      </c>
      <c r="E3438" s="24" t="s">
        <v>8</v>
      </c>
      <c r="F3438" s="24" t="s">
        <v>9</v>
      </c>
      <c r="G3438" s="24" t="s">
        <v>8</v>
      </c>
      <c r="H3438" s="24" t="s">
        <v>2621</v>
      </c>
      <c r="I3438" s="27">
        <v>214.16</v>
      </c>
    </row>
    <row r="3439" spans="2:9" ht="16">
      <c r="B3439" s="24" t="s">
        <v>8</v>
      </c>
      <c r="C3439" s="24" t="s">
        <v>6</v>
      </c>
      <c r="D3439" s="24" t="s">
        <v>2847</v>
      </c>
      <c r="E3439" s="24" t="s">
        <v>8</v>
      </c>
      <c r="F3439" s="24" t="s">
        <v>9</v>
      </c>
      <c r="G3439" s="24" t="s">
        <v>8</v>
      </c>
      <c r="H3439" s="24" t="s">
        <v>2848</v>
      </c>
      <c r="I3439" s="27">
        <v>4316.24</v>
      </c>
    </row>
    <row r="3440" spans="2:9" ht="16">
      <c r="B3440" s="24" t="s">
        <v>8</v>
      </c>
      <c r="C3440" s="24" t="s">
        <v>6</v>
      </c>
      <c r="D3440" s="24" t="s">
        <v>1672</v>
      </c>
      <c r="E3440" s="24" t="s">
        <v>8</v>
      </c>
      <c r="F3440" s="24" t="s">
        <v>9</v>
      </c>
      <c r="G3440" s="24" t="s">
        <v>8</v>
      </c>
      <c r="H3440" s="24" t="s">
        <v>47</v>
      </c>
      <c r="I3440" s="27">
        <v>11096.63</v>
      </c>
    </row>
    <row r="3441" spans="2:9" ht="16">
      <c r="B3441" s="24" t="s">
        <v>45</v>
      </c>
      <c r="C3441" s="24" t="s">
        <v>13</v>
      </c>
      <c r="D3441" s="24" t="s">
        <v>1674</v>
      </c>
      <c r="E3441" s="24" t="s">
        <v>8</v>
      </c>
      <c r="F3441" s="24" t="s">
        <v>9</v>
      </c>
      <c r="G3441" s="24" t="s">
        <v>8</v>
      </c>
      <c r="H3441" s="24" t="s">
        <v>8</v>
      </c>
      <c r="I3441" s="27">
        <v>10488.76</v>
      </c>
    </row>
    <row r="3442" spans="2:9" ht="16">
      <c r="B3442" s="24" t="s">
        <v>45</v>
      </c>
      <c r="C3442" s="24" t="s">
        <v>13</v>
      </c>
      <c r="D3442" s="24" t="s">
        <v>2135</v>
      </c>
      <c r="E3442" s="24" t="s">
        <v>2136</v>
      </c>
      <c r="F3442" s="24" t="s">
        <v>9</v>
      </c>
      <c r="G3442" s="24" t="s">
        <v>8</v>
      </c>
      <c r="H3442" s="24" t="s">
        <v>8</v>
      </c>
      <c r="I3442" s="27">
        <v>11068.73</v>
      </c>
    </row>
    <row r="3443" spans="2:9" ht="16">
      <c r="B3443" s="24" t="s">
        <v>45</v>
      </c>
      <c r="C3443" s="24" t="s">
        <v>13</v>
      </c>
      <c r="D3443" s="24" t="s">
        <v>2137</v>
      </c>
      <c r="E3443" s="24" t="s">
        <v>2138</v>
      </c>
      <c r="F3443" s="24" t="s">
        <v>9</v>
      </c>
      <c r="G3443" s="24" t="s">
        <v>8</v>
      </c>
      <c r="H3443" s="24" t="s">
        <v>8</v>
      </c>
      <c r="I3443" s="27">
        <v>7287.17</v>
      </c>
    </row>
    <row r="3444" spans="1:9" ht="16">
      <c r="A3444" s="35" t="s">
        <v>50</v>
      </c>
      <c r="I3444" s="28">
        <f>I3436+I3437+I3438+I3439+I3440+I3441+I3442+I3443</f>
        <v>44537.89</v>
      </c>
    </row>
    <row r="3445" spans="1:1" ht="16">
      <c r="A3445" s="34" t="s">
        <v>2621</v>
      </c>
    </row>
    <row r="3446" spans="2:9" ht="16">
      <c r="B3446" s="24" t="s">
        <v>8</v>
      </c>
      <c r="C3446" s="24" t="s">
        <v>150</v>
      </c>
      <c r="D3446" s="24" t="s">
        <v>2468</v>
      </c>
      <c r="E3446" s="24" t="s">
        <v>2849</v>
      </c>
      <c r="F3446" s="24" t="s">
        <v>9</v>
      </c>
      <c r="G3446" s="24" t="s">
        <v>8</v>
      </c>
      <c r="H3446" s="24" t="s">
        <v>2850</v>
      </c>
      <c r="I3446" s="29">
        <v>0</v>
      </c>
    </row>
    <row r="3447" spans="2:9" ht="16">
      <c r="B3447" s="24" t="s">
        <v>8</v>
      </c>
      <c r="C3447" s="24" t="s">
        <v>150</v>
      </c>
      <c r="D3447" s="24" t="s">
        <v>2815</v>
      </c>
      <c r="E3447" s="24" t="s">
        <v>2851</v>
      </c>
      <c r="F3447" s="24" t="s">
        <v>9</v>
      </c>
      <c r="G3447" s="24" t="s">
        <v>8</v>
      </c>
      <c r="H3447" s="24" t="s">
        <v>2852</v>
      </c>
      <c r="I3447" s="27">
        <v>1327.2</v>
      </c>
    </row>
    <row r="3448" spans="2:9" ht="16">
      <c r="B3448" s="24" t="s">
        <v>961</v>
      </c>
      <c r="C3448" s="24" t="s">
        <v>6</v>
      </c>
      <c r="D3448" s="24" t="s">
        <v>1773</v>
      </c>
      <c r="E3448" s="24" t="s">
        <v>8</v>
      </c>
      <c r="F3448" s="24" t="s">
        <v>9</v>
      </c>
      <c r="G3448" s="24" t="s">
        <v>8</v>
      </c>
      <c r="H3448" s="24" t="s">
        <v>2853</v>
      </c>
      <c r="I3448" s="27">
        <v>-1327.2</v>
      </c>
    </row>
    <row r="3449" spans="2:9" ht="16">
      <c r="B3449" s="24" t="s">
        <v>8</v>
      </c>
      <c r="C3449" s="24" t="s">
        <v>150</v>
      </c>
      <c r="D3449" s="24" t="s">
        <v>2468</v>
      </c>
      <c r="E3449" s="24" t="s">
        <v>2854</v>
      </c>
      <c r="F3449" s="24" t="s">
        <v>9</v>
      </c>
      <c r="G3449" s="24" t="s">
        <v>8</v>
      </c>
      <c r="H3449" s="24" t="s">
        <v>2855</v>
      </c>
      <c r="I3449" s="29">
        <v>0</v>
      </c>
    </row>
    <row r="3450" spans="2:9" ht="16">
      <c r="B3450" s="24" t="s">
        <v>961</v>
      </c>
      <c r="C3450" s="24" t="s">
        <v>6</v>
      </c>
      <c r="D3450" s="24" t="s">
        <v>2716</v>
      </c>
      <c r="E3450" s="24" t="s">
        <v>8</v>
      </c>
      <c r="F3450" s="24" t="s">
        <v>9</v>
      </c>
      <c r="G3450" s="24" t="s">
        <v>8</v>
      </c>
      <c r="H3450" s="24" t="s">
        <v>2856</v>
      </c>
      <c r="I3450" s="27">
        <v>3541.93</v>
      </c>
    </row>
    <row r="3451" spans="2:9" ht="16">
      <c r="B3451" s="24" t="s">
        <v>961</v>
      </c>
      <c r="C3451" s="24" t="s">
        <v>6</v>
      </c>
      <c r="D3451" s="24" t="s">
        <v>2857</v>
      </c>
      <c r="E3451" s="24" t="s">
        <v>8</v>
      </c>
      <c r="F3451" s="24" t="s">
        <v>9</v>
      </c>
      <c r="G3451" s="24" t="s">
        <v>8</v>
      </c>
      <c r="H3451" s="24" t="s">
        <v>2858</v>
      </c>
      <c r="I3451" s="27">
        <v>2805.79</v>
      </c>
    </row>
    <row r="3452" spans="2:9" ht="16">
      <c r="B3452" s="24" t="s">
        <v>961</v>
      </c>
      <c r="C3452" s="24" t="s">
        <v>6</v>
      </c>
      <c r="D3452" s="24" t="s">
        <v>2140</v>
      </c>
      <c r="E3452" s="24" t="s">
        <v>8</v>
      </c>
      <c r="F3452" s="24" t="s">
        <v>9</v>
      </c>
      <c r="G3452" s="24" t="s">
        <v>8</v>
      </c>
      <c r="H3452" s="24" t="s">
        <v>2141</v>
      </c>
      <c r="I3452" s="27">
        <v>5181.09</v>
      </c>
    </row>
    <row r="3453" spans="2:9" ht="16">
      <c r="B3453" s="24" t="s">
        <v>961</v>
      </c>
      <c r="C3453" s="24" t="s">
        <v>6</v>
      </c>
      <c r="D3453" s="24" t="s">
        <v>2538</v>
      </c>
      <c r="E3453" s="24" t="s">
        <v>8</v>
      </c>
      <c r="F3453" s="24" t="s">
        <v>9</v>
      </c>
      <c r="G3453" s="24" t="s">
        <v>8</v>
      </c>
      <c r="H3453" s="24" t="s">
        <v>2603</v>
      </c>
      <c r="I3453" s="27">
        <v>422.29</v>
      </c>
    </row>
    <row r="3454" spans="2:9" ht="16">
      <c r="B3454" s="24" t="s">
        <v>961</v>
      </c>
      <c r="C3454" s="24" t="s">
        <v>6</v>
      </c>
      <c r="D3454" s="24" t="s">
        <v>2547</v>
      </c>
      <c r="E3454" s="24" t="s">
        <v>8</v>
      </c>
      <c r="F3454" s="24" t="s">
        <v>9</v>
      </c>
      <c r="G3454" s="24" t="s">
        <v>8</v>
      </c>
      <c r="H3454" s="24" t="s">
        <v>2859</v>
      </c>
      <c r="I3454" s="27">
        <v>127.59</v>
      </c>
    </row>
    <row r="3455" spans="2:9" ht="16">
      <c r="B3455" s="24" t="s">
        <v>961</v>
      </c>
      <c r="C3455" s="24" t="s">
        <v>6</v>
      </c>
      <c r="D3455" s="24" t="s">
        <v>2604</v>
      </c>
      <c r="E3455" s="24" t="s">
        <v>8</v>
      </c>
      <c r="F3455" s="24" t="s">
        <v>9</v>
      </c>
      <c r="G3455" s="24" t="s">
        <v>8</v>
      </c>
      <c r="H3455" s="24" t="s">
        <v>2605</v>
      </c>
      <c r="I3455" s="27">
        <v>7706.28</v>
      </c>
    </row>
    <row r="3456" spans="2:9" ht="16">
      <c r="B3456" s="24" t="s">
        <v>961</v>
      </c>
      <c r="C3456" s="24" t="s">
        <v>6</v>
      </c>
      <c r="D3456" s="24" t="s">
        <v>2606</v>
      </c>
      <c r="E3456" s="24" t="s">
        <v>8</v>
      </c>
      <c r="F3456" s="24" t="s">
        <v>9</v>
      </c>
      <c r="G3456" s="24" t="s">
        <v>8</v>
      </c>
      <c r="H3456" s="24" t="s">
        <v>2607</v>
      </c>
      <c r="I3456" s="27">
        <v>2704.01</v>
      </c>
    </row>
    <row r="3457" spans="2:9" ht="16">
      <c r="B3457" s="24" t="s">
        <v>961</v>
      </c>
      <c r="C3457" s="24" t="s">
        <v>6</v>
      </c>
      <c r="D3457" s="24" t="s">
        <v>2795</v>
      </c>
      <c r="E3457" s="24" t="s">
        <v>8</v>
      </c>
      <c r="F3457" s="24" t="s">
        <v>9</v>
      </c>
      <c r="G3457" s="24" t="s">
        <v>8</v>
      </c>
      <c r="H3457" s="24" t="s">
        <v>2860</v>
      </c>
      <c r="I3457" s="27">
        <v>1636.94</v>
      </c>
    </row>
    <row r="3458" spans="2:9" ht="16">
      <c r="B3458" s="24" t="s">
        <v>961</v>
      </c>
      <c r="C3458" s="24" t="s">
        <v>6</v>
      </c>
      <c r="D3458" s="24" t="s">
        <v>2861</v>
      </c>
      <c r="E3458" s="24" t="s">
        <v>8</v>
      </c>
      <c r="F3458" s="24" t="s">
        <v>9</v>
      </c>
      <c r="G3458" s="24" t="s">
        <v>8</v>
      </c>
      <c r="H3458" s="24" t="s">
        <v>2862</v>
      </c>
      <c r="I3458" s="27">
        <v>289.09</v>
      </c>
    </row>
    <row r="3459" spans="2:9" ht="16">
      <c r="B3459" s="24" t="s">
        <v>961</v>
      </c>
      <c r="C3459" s="24" t="s">
        <v>6</v>
      </c>
      <c r="D3459" s="24" t="s">
        <v>2608</v>
      </c>
      <c r="E3459" s="24" t="s">
        <v>8</v>
      </c>
      <c r="F3459" s="24" t="s">
        <v>9</v>
      </c>
      <c r="G3459" s="24" t="s">
        <v>8</v>
      </c>
      <c r="H3459" s="24" t="s">
        <v>2609</v>
      </c>
      <c r="I3459" s="27">
        <v>52.02</v>
      </c>
    </row>
    <row r="3460" spans="2:9" ht="16">
      <c r="B3460" s="24" t="s">
        <v>961</v>
      </c>
      <c r="C3460" s="24" t="s">
        <v>6</v>
      </c>
      <c r="D3460" s="24" t="s">
        <v>1813</v>
      </c>
      <c r="E3460" s="24" t="s">
        <v>8</v>
      </c>
      <c r="F3460" s="24" t="s">
        <v>9</v>
      </c>
      <c r="G3460" s="24" t="s">
        <v>8</v>
      </c>
      <c r="H3460" s="24" t="s">
        <v>1814</v>
      </c>
      <c r="I3460" s="27">
        <v>424.85</v>
      </c>
    </row>
    <row r="3461" spans="2:9" ht="16">
      <c r="B3461" s="24" t="s">
        <v>961</v>
      </c>
      <c r="C3461" s="24" t="s">
        <v>6</v>
      </c>
      <c r="D3461" s="24" t="s">
        <v>2846</v>
      </c>
      <c r="E3461" s="24" t="s">
        <v>8</v>
      </c>
      <c r="F3461" s="24" t="s">
        <v>9</v>
      </c>
      <c r="G3461" s="24" t="s">
        <v>8</v>
      </c>
      <c r="H3461" s="24" t="s">
        <v>2863</v>
      </c>
      <c r="I3461" s="27">
        <v>78.04</v>
      </c>
    </row>
    <row r="3462" spans="2:9" ht="16">
      <c r="B3462" s="24" t="s">
        <v>961</v>
      </c>
      <c r="C3462" s="24" t="s">
        <v>6</v>
      </c>
      <c r="D3462" s="24" t="s">
        <v>2142</v>
      </c>
      <c r="E3462" s="24" t="s">
        <v>8</v>
      </c>
      <c r="F3462" s="24" t="s">
        <v>9</v>
      </c>
      <c r="G3462" s="24" t="s">
        <v>8</v>
      </c>
      <c r="H3462" s="24" t="s">
        <v>2143</v>
      </c>
      <c r="I3462" s="27">
        <v>5466.65</v>
      </c>
    </row>
    <row r="3463" spans="2:9" ht="16">
      <c r="B3463" s="24" t="s">
        <v>961</v>
      </c>
      <c r="C3463" s="24" t="s">
        <v>6</v>
      </c>
      <c r="D3463" s="24" t="s">
        <v>2104</v>
      </c>
      <c r="E3463" s="24" t="s">
        <v>8</v>
      </c>
      <c r="F3463" s="24" t="s">
        <v>9</v>
      </c>
      <c r="G3463" s="24" t="s">
        <v>8</v>
      </c>
      <c r="H3463" s="24" t="s">
        <v>2864</v>
      </c>
      <c r="I3463" s="27">
        <v>4171.41</v>
      </c>
    </row>
    <row r="3464" spans="2:9" ht="16">
      <c r="B3464" s="24" t="s">
        <v>961</v>
      </c>
      <c r="C3464" s="24" t="s">
        <v>6</v>
      </c>
      <c r="D3464" s="24" t="s">
        <v>1988</v>
      </c>
      <c r="E3464" s="24" t="s">
        <v>8</v>
      </c>
      <c r="F3464" s="24" t="s">
        <v>9</v>
      </c>
      <c r="G3464" s="24" t="s">
        <v>8</v>
      </c>
      <c r="H3464" s="24" t="s">
        <v>53</v>
      </c>
      <c r="I3464" s="27">
        <v>3534.45</v>
      </c>
    </row>
    <row r="3465" spans="2:9" ht="16">
      <c r="B3465" s="24" t="s">
        <v>961</v>
      </c>
      <c r="C3465" s="24" t="s">
        <v>6</v>
      </c>
      <c r="D3465" s="24" t="s">
        <v>2145</v>
      </c>
      <c r="E3465" s="24" t="s">
        <v>8</v>
      </c>
      <c r="F3465" s="24" t="s">
        <v>9</v>
      </c>
      <c r="G3465" s="24" t="s">
        <v>8</v>
      </c>
      <c r="H3465" s="24" t="s">
        <v>53</v>
      </c>
      <c r="I3465" s="27">
        <v>4655.62</v>
      </c>
    </row>
    <row r="3466" spans="2:9" ht="16">
      <c r="B3466" s="24" t="s">
        <v>8</v>
      </c>
      <c r="C3466" s="24" t="s">
        <v>6</v>
      </c>
      <c r="D3466" s="24" t="s">
        <v>1685</v>
      </c>
      <c r="E3466" s="24" t="s">
        <v>8</v>
      </c>
      <c r="F3466" s="24" t="s">
        <v>9</v>
      </c>
      <c r="G3466" s="24" t="s">
        <v>8</v>
      </c>
      <c r="H3466" s="24" t="s">
        <v>53</v>
      </c>
      <c r="I3466" s="27">
        <v>5481.54</v>
      </c>
    </row>
    <row r="3467" spans="2:9" ht="16">
      <c r="B3467" s="24" t="s">
        <v>961</v>
      </c>
      <c r="C3467" s="24" t="s">
        <v>6</v>
      </c>
      <c r="D3467" s="24" t="s">
        <v>1687</v>
      </c>
      <c r="E3467" s="24" t="s">
        <v>8</v>
      </c>
      <c r="F3467" s="24" t="s">
        <v>9</v>
      </c>
      <c r="G3467" s="24" t="s">
        <v>8</v>
      </c>
      <c r="H3467" s="24" t="s">
        <v>53</v>
      </c>
      <c r="I3467" s="27">
        <v>4536.58</v>
      </c>
    </row>
    <row r="3468" spans="2:9" ht="16">
      <c r="B3468" s="24" t="s">
        <v>961</v>
      </c>
      <c r="C3468" s="24" t="s">
        <v>6</v>
      </c>
      <c r="D3468" s="24" t="s">
        <v>2053</v>
      </c>
      <c r="E3468" s="24" t="s">
        <v>8</v>
      </c>
      <c r="F3468" s="24" t="s">
        <v>9</v>
      </c>
      <c r="G3468" s="24" t="s">
        <v>8</v>
      </c>
      <c r="H3468" s="24" t="s">
        <v>53</v>
      </c>
      <c r="I3468" s="27">
        <v>4568.43</v>
      </c>
    </row>
    <row r="3469" spans="2:9" ht="16">
      <c r="B3469" s="24" t="s">
        <v>961</v>
      </c>
      <c r="C3469" s="24" t="s">
        <v>6</v>
      </c>
      <c r="D3469" s="24" t="s">
        <v>2144</v>
      </c>
      <c r="E3469" s="24" t="s">
        <v>8</v>
      </c>
      <c r="F3469" s="24" t="s">
        <v>9</v>
      </c>
      <c r="G3469" s="24" t="s">
        <v>8</v>
      </c>
      <c r="H3469" s="24" t="s">
        <v>53</v>
      </c>
      <c r="I3469" s="27">
        <v>6778.45</v>
      </c>
    </row>
    <row r="3470" spans="2:9" ht="16">
      <c r="B3470" s="24" t="s">
        <v>961</v>
      </c>
      <c r="C3470" s="24" t="s">
        <v>6</v>
      </c>
      <c r="D3470" s="24" t="s">
        <v>1961</v>
      </c>
      <c r="E3470" s="24" t="s">
        <v>8</v>
      </c>
      <c r="F3470" s="24" t="s">
        <v>9</v>
      </c>
      <c r="G3470" s="24" t="s">
        <v>8</v>
      </c>
      <c r="H3470" s="24" t="s">
        <v>53</v>
      </c>
      <c r="I3470" s="27">
        <v>5031.44</v>
      </c>
    </row>
    <row r="3471" spans="2:9" ht="16">
      <c r="B3471" s="24" t="s">
        <v>51</v>
      </c>
      <c r="C3471" s="24" t="s">
        <v>6</v>
      </c>
      <c r="D3471" s="24" t="s">
        <v>1681</v>
      </c>
      <c r="E3471" s="24" t="s">
        <v>8</v>
      </c>
      <c r="F3471" s="24" t="s">
        <v>9</v>
      </c>
      <c r="G3471" s="24" t="s">
        <v>8</v>
      </c>
      <c r="H3471" s="24" t="s">
        <v>53</v>
      </c>
      <c r="I3471" s="27">
        <v>1587.28</v>
      </c>
    </row>
    <row r="3472" spans="2:9" ht="16">
      <c r="B3472" s="24" t="s">
        <v>961</v>
      </c>
      <c r="C3472" s="24" t="s">
        <v>6</v>
      </c>
      <c r="D3472" s="24" t="s">
        <v>1773</v>
      </c>
      <c r="E3472" s="24" t="s">
        <v>8</v>
      </c>
      <c r="F3472" s="24" t="s">
        <v>9</v>
      </c>
      <c r="G3472" s="24" t="s">
        <v>8</v>
      </c>
      <c r="H3472" s="24" t="s">
        <v>53</v>
      </c>
      <c r="I3472" s="27">
        <v>6575.02</v>
      </c>
    </row>
    <row r="3473" spans="2:9" ht="16">
      <c r="B3473" s="24" t="s">
        <v>961</v>
      </c>
      <c r="C3473" s="24" t="s">
        <v>6</v>
      </c>
      <c r="D3473" s="24" t="s">
        <v>1684</v>
      </c>
      <c r="E3473" s="24" t="s">
        <v>8</v>
      </c>
      <c r="F3473" s="24" t="s">
        <v>9</v>
      </c>
      <c r="G3473" s="24" t="s">
        <v>8</v>
      </c>
      <c r="H3473" s="24" t="s">
        <v>53</v>
      </c>
      <c r="I3473" s="27">
        <v>5062.99</v>
      </c>
    </row>
    <row r="3474" spans="2:9" ht="16">
      <c r="B3474" s="24" t="s">
        <v>961</v>
      </c>
      <c r="C3474" s="24" t="s">
        <v>6</v>
      </c>
      <c r="D3474" s="24" t="s">
        <v>1683</v>
      </c>
      <c r="E3474" s="24" t="s">
        <v>8</v>
      </c>
      <c r="F3474" s="24" t="s">
        <v>9</v>
      </c>
      <c r="G3474" s="24" t="s">
        <v>8</v>
      </c>
      <c r="H3474" s="24" t="s">
        <v>53</v>
      </c>
      <c r="I3474" s="27">
        <v>1860.42</v>
      </c>
    </row>
    <row r="3475" spans="2:9" ht="16">
      <c r="B3475" s="24" t="s">
        <v>961</v>
      </c>
      <c r="C3475" s="24" t="s">
        <v>6</v>
      </c>
      <c r="D3475" s="24" t="s">
        <v>1682</v>
      </c>
      <c r="E3475" s="24" t="s">
        <v>8</v>
      </c>
      <c r="F3475" s="24" t="s">
        <v>9</v>
      </c>
      <c r="G3475" s="24" t="s">
        <v>8</v>
      </c>
      <c r="H3475" s="24" t="s">
        <v>53</v>
      </c>
      <c r="I3475" s="27">
        <v>1838.02</v>
      </c>
    </row>
    <row r="3476" spans="2:9" ht="16">
      <c r="B3476" s="24" t="s">
        <v>961</v>
      </c>
      <c r="C3476" s="24" t="s">
        <v>6</v>
      </c>
      <c r="D3476" s="24" t="s">
        <v>1655</v>
      </c>
      <c r="E3476" s="24" t="s">
        <v>8</v>
      </c>
      <c r="F3476" s="24" t="s">
        <v>9</v>
      </c>
      <c r="G3476" s="24" t="s">
        <v>8</v>
      </c>
      <c r="H3476" s="24" t="s">
        <v>53</v>
      </c>
      <c r="I3476" s="27">
        <v>4479.68</v>
      </c>
    </row>
    <row r="3477" spans="2:9" ht="16">
      <c r="B3477" s="24" t="s">
        <v>961</v>
      </c>
      <c r="C3477" s="24" t="s">
        <v>6</v>
      </c>
      <c r="D3477" s="24" t="s">
        <v>1661</v>
      </c>
      <c r="E3477" s="24" t="s">
        <v>8</v>
      </c>
      <c r="F3477" s="24" t="s">
        <v>9</v>
      </c>
      <c r="G3477" s="24" t="s">
        <v>8</v>
      </c>
      <c r="H3477" s="24" t="s">
        <v>53</v>
      </c>
      <c r="I3477" s="27">
        <v>5442.07</v>
      </c>
    </row>
    <row r="3478" spans="2:9" ht="16">
      <c r="B3478" s="24" t="s">
        <v>961</v>
      </c>
      <c r="C3478" s="24" t="s">
        <v>6</v>
      </c>
      <c r="D3478" s="24" t="s">
        <v>1686</v>
      </c>
      <c r="E3478" s="24" t="s">
        <v>8</v>
      </c>
      <c r="F3478" s="24" t="s">
        <v>9</v>
      </c>
      <c r="G3478" s="24" t="s">
        <v>8</v>
      </c>
      <c r="H3478" s="24" t="s">
        <v>53</v>
      </c>
      <c r="I3478" s="27">
        <v>3117.16</v>
      </c>
    </row>
    <row r="3479" spans="2:9" ht="16">
      <c r="B3479" s="24" t="s">
        <v>961</v>
      </c>
      <c r="C3479" s="24" t="s">
        <v>6</v>
      </c>
      <c r="D3479" s="24" t="s">
        <v>1688</v>
      </c>
      <c r="E3479" s="24" t="s">
        <v>8</v>
      </c>
      <c r="F3479" s="24" t="s">
        <v>9</v>
      </c>
      <c r="G3479" s="24" t="s">
        <v>8</v>
      </c>
      <c r="H3479" s="24" t="s">
        <v>53</v>
      </c>
      <c r="I3479" s="27">
        <v>1344.19</v>
      </c>
    </row>
    <row r="3480" spans="2:9" ht="16">
      <c r="B3480" s="24" t="s">
        <v>8</v>
      </c>
      <c r="C3480" s="24" t="s">
        <v>2865</v>
      </c>
      <c r="D3480" s="24" t="s">
        <v>1969</v>
      </c>
      <c r="E3480" s="24" t="s">
        <v>8</v>
      </c>
      <c r="F3480" s="24" t="s">
        <v>9</v>
      </c>
      <c r="G3480" s="24" t="s">
        <v>8</v>
      </c>
      <c r="H3480" s="24" t="s">
        <v>2866</v>
      </c>
      <c r="I3480" s="27">
        <v>-763.21</v>
      </c>
    </row>
    <row r="3481" spans="2:9" ht="16">
      <c r="B3481" s="24" t="s">
        <v>8</v>
      </c>
      <c r="C3481" s="24" t="s">
        <v>150</v>
      </c>
      <c r="D3481" s="24" t="s">
        <v>1685</v>
      </c>
      <c r="E3481" s="24" t="s">
        <v>2867</v>
      </c>
      <c r="F3481" s="24" t="s">
        <v>9</v>
      </c>
      <c r="G3481" s="24" t="s">
        <v>8</v>
      </c>
      <c r="H3481" s="24" t="s">
        <v>2868</v>
      </c>
      <c r="I3481" s="27">
        <v>763.21</v>
      </c>
    </row>
    <row r="3482" spans="2:9" ht="16">
      <c r="B3482" s="24" t="s">
        <v>961</v>
      </c>
      <c r="C3482" s="24" t="s">
        <v>6</v>
      </c>
      <c r="D3482" s="24" t="s">
        <v>2159</v>
      </c>
      <c r="E3482" s="24" t="s">
        <v>8</v>
      </c>
      <c r="F3482" s="24" t="s">
        <v>9</v>
      </c>
      <c r="G3482" s="24" t="s">
        <v>8</v>
      </c>
      <c r="H3482" s="24" t="s">
        <v>8</v>
      </c>
      <c r="I3482" s="27">
        <v>2062.01</v>
      </c>
    </row>
    <row r="3483" spans="1:9" ht="16">
      <c r="A3483" s="35" t="s">
        <v>67</v>
      </c>
      <c r="I3483" s="28">
        <f>I3445+I3446+I3447+I3448+I3449+I3450+I3451+I3452+I3453+I3454+I3455+I3456+I3457+I3458+I3459+I3460+I3461+I3462+I3463+I3464+I3465+I3466+I3467+I3468+I3469+I3470+I3471+I3472+I3473+I3474+I3475+I3476+I3477+I3478+I3479+I3480+I3481+I3482</f>
        <v>102563.33</v>
      </c>
    </row>
    <row r="3484" spans="1:9" ht="16">
      <c r="A3484" s="36" t="s">
        <v>2869</v>
      </c>
      <c r="I3484" s="28">
        <f>I3255+I3260+I3369+I3373+I3377+I3384+I3435+I3444+I3483</f>
        <v>603629.7399999999</v>
      </c>
    </row>
    <row r="3485" spans="1:1" ht="16">
      <c r="A3485" s="33" t="s">
        <v>172</v>
      </c>
    </row>
    <row r="3486" spans="1:1" ht="16">
      <c r="A3486" s="34" t="s">
        <v>2870</v>
      </c>
    </row>
    <row r="3487" spans="2:9" ht="16">
      <c r="B3487" s="24" t="s">
        <v>2871</v>
      </c>
      <c r="C3487" s="24" t="s">
        <v>6</v>
      </c>
      <c r="D3487" s="24" t="s">
        <v>2147</v>
      </c>
      <c r="E3487" s="24" t="s">
        <v>8</v>
      </c>
      <c r="F3487" s="24" t="s">
        <v>9</v>
      </c>
      <c r="G3487" s="24" t="s">
        <v>8</v>
      </c>
      <c r="H3487" s="24" t="s">
        <v>2872</v>
      </c>
      <c r="I3487" s="27">
        <v>9200.25</v>
      </c>
    </row>
    <row r="3488" spans="2:9" ht="16">
      <c r="B3488" s="24" t="s">
        <v>8</v>
      </c>
      <c r="C3488" s="24" t="s">
        <v>6</v>
      </c>
      <c r="D3488" s="24" t="s">
        <v>2360</v>
      </c>
      <c r="E3488" s="24" t="s">
        <v>8</v>
      </c>
      <c r="F3488" s="24" t="s">
        <v>9</v>
      </c>
      <c r="G3488" s="24" t="s">
        <v>8</v>
      </c>
      <c r="H3488" s="24" t="s">
        <v>2873</v>
      </c>
      <c r="I3488" s="27">
        <v>949.15</v>
      </c>
    </row>
    <row r="3489" spans="2:9" ht="16">
      <c r="B3489" s="24" t="s">
        <v>8</v>
      </c>
      <c r="C3489" s="24" t="s">
        <v>6</v>
      </c>
      <c r="D3489" s="24" t="s">
        <v>1963</v>
      </c>
      <c r="E3489" s="24" t="s">
        <v>8</v>
      </c>
      <c r="F3489" s="24" t="s">
        <v>9</v>
      </c>
      <c r="G3489" s="24" t="s">
        <v>8</v>
      </c>
      <c r="H3489" s="24" t="s">
        <v>2873</v>
      </c>
      <c r="I3489" s="27">
        <v>1898.29</v>
      </c>
    </row>
    <row r="3490" spans="1:9" ht="16">
      <c r="A3490" s="35" t="s">
        <v>81</v>
      </c>
      <c r="I3490" s="28">
        <f>I3486+I3487+I3488+I3489</f>
        <v>12047.689999999999</v>
      </c>
    </row>
    <row r="3491" spans="1:1" ht="16">
      <c r="A3491" s="34" t="s">
        <v>2870</v>
      </c>
    </row>
    <row r="3492" spans="2:9" ht="16">
      <c r="B3492" s="24" t="s">
        <v>119</v>
      </c>
      <c r="C3492" s="24" t="s">
        <v>6</v>
      </c>
      <c r="D3492" s="24" t="s">
        <v>1930</v>
      </c>
      <c r="E3492" s="24" t="s">
        <v>8</v>
      </c>
      <c r="F3492" s="24" t="s">
        <v>9</v>
      </c>
      <c r="G3492" s="24" t="s">
        <v>8</v>
      </c>
      <c r="H3492" s="24" t="s">
        <v>2874</v>
      </c>
      <c r="I3492" s="27">
        <v>204.38</v>
      </c>
    </row>
    <row r="3493" spans="2:9" ht="16">
      <c r="B3493" s="24" t="s">
        <v>127</v>
      </c>
      <c r="C3493" s="24" t="s">
        <v>6</v>
      </c>
      <c r="D3493" s="24" t="s">
        <v>1963</v>
      </c>
      <c r="E3493" s="24" t="s">
        <v>8</v>
      </c>
      <c r="F3493" s="24" t="s">
        <v>9</v>
      </c>
      <c r="G3493" s="24" t="s">
        <v>8</v>
      </c>
      <c r="H3493" s="24" t="s">
        <v>2875</v>
      </c>
      <c r="I3493" s="27">
        <v>17.04</v>
      </c>
    </row>
    <row r="3494" spans="2:9" ht="16">
      <c r="B3494" s="24" t="s">
        <v>119</v>
      </c>
      <c r="C3494" s="24" t="s">
        <v>6</v>
      </c>
      <c r="D3494" s="24" t="s">
        <v>1963</v>
      </c>
      <c r="E3494" s="24" t="s">
        <v>8</v>
      </c>
      <c r="F3494" s="24" t="s">
        <v>9</v>
      </c>
      <c r="G3494" s="24" t="s">
        <v>8</v>
      </c>
      <c r="H3494" s="24" t="s">
        <v>2876</v>
      </c>
      <c r="I3494" s="27">
        <v>36.1</v>
      </c>
    </row>
    <row r="3495" spans="2:9" ht="16">
      <c r="B3495" s="24" t="s">
        <v>119</v>
      </c>
      <c r="C3495" s="24" t="s">
        <v>6</v>
      </c>
      <c r="D3495" s="24" t="s">
        <v>1963</v>
      </c>
      <c r="E3495" s="24" t="s">
        <v>8</v>
      </c>
      <c r="F3495" s="24" t="s">
        <v>9</v>
      </c>
      <c r="G3495" s="24" t="s">
        <v>8</v>
      </c>
      <c r="H3495" s="24" t="s">
        <v>2877</v>
      </c>
      <c r="I3495" s="27">
        <v>11.92</v>
      </c>
    </row>
    <row r="3496" spans="2:9" ht="16">
      <c r="B3496" s="24" t="s">
        <v>119</v>
      </c>
      <c r="C3496" s="24" t="s">
        <v>6</v>
      </c>
      <c r="D3496" s="24" t="s">
        <v>1597</v>
      </c>
      <c r="E3496" s="24" t="s">
        <v>8</v>
      </c>
      <c r="F3496" s="24" t="s">
        <v>9</v>
      </c>
      <c r="G3496" s="24" t="s">
        <v>8</v>
      </c>
      <c r="H3496" s="24" t="s">
        <v>2878</v>
      </c>
      <c r="I3496" s="27">
        <v>43.18</v>
      </c>
    </row>
    <row r="3497" spans="2:9" ht="16">
      <c r="B3497" s="24" t="s">
        <v>127</v>
      </c>
      <c r="C3497" s="24" t="s">
        <v>6</v>
      </c>
      <c r="D3497" s="24" t="s">
        <v>1682</v>
      </c>
      <c r="E3497" s="24" t="s">
        <v>8</v>
      </c>
      <c r="F3497" s="24" t="s">
        <v>9</v>
      </c>
      <c r="G3497" s="24" t="s">
        <v>8</v>
      </c>
      <c r="H3497" s="24" t="s">
        <v>2879</v>
      </c>
      <c r="I3497" s="27">
        <v>72.11</v>
      </c>
    </row>
    <row r="3498" spans="2:9" ht="16">
      <c r="B3498" s="24" t="s">
        <v>316</v>
      </c>
      <c r="C3498" s="24" t="s">
        <v>6</v>
      </c>
      <c r="D3498" s="24" t="s">
        <v>1963</v>
      </c>
      <c r="E3498" s="24" t="s">
        <v>8</v>
      </c>
      <c r="F3498" s="24" t="s">
        <v>9</v>
      </c>
      <c r="G3498" s="24" t="s">
        <v>8</v>
      </c>
      <c r="H3498" s="24" t="s">
        <v>2880</v>
      </c>
      <c r="I3498" s="27">
        <v>34.7</v>
      </c>
    </row>
    <row r="3499" spans="2:9" ht="16">
      <c r="B3499" s="24" t="s">
        <v>316</v>
      </c>
      <c r="C3499" s="24" t="s">
        <v>6</v>
      </c>
      <c r="D3499" s="24" t="s">
        <v>1963</v>
      </c>
      <c r="E3499" s="24" t="s">
        <v>8</v>
      </c>
      <c r="F3499" s="24" t="s">
        <v>9</v>
      </c>
      <c r="G3499" s="24" t="s">
        <v>8</v>
      </c>
      <c r="H3499" s="24" t="s">
        <v>2880</v>
      </c>
      <c r="I3499" s="27">
        <v>344.34</v>
      </c>
    </row>
    <row r="3500" spans="2:9" ht="16">
      <c r="B3500" s="24" t="s">
        <v>119</v>
      </c>
      <c r="C3500" s="24" t="s">
        <v>6</v>
      </c>
      <c r="D3500" s="24" t="s">
        <v>1958</v>
      </c>
      <c r="E3500" s="24" t="s">
        <v>8</v>
      </c>
      <c r="F3500" s="24" t="s">
        <v>9</v>
      </c>
      <c r="G3500" s="24" t="s">
        <v>8</v>
      </c>
      <c r="H3500" s="24" t="s">
        <v>910</v>
      </c>
      <c r="I3500" s="27">
        <v>56.68</v>
      </c>
    </row>
    <row r="3501" spans="2:9" ht="16">
      <c r="B3501" s="24" t="s">
        <v>119</v>
      </c>
      <c r="C3501" s="24" t="s">
        <v>6</v>
      </c>
      <c r="D3501" s="24" t="s">
        <v>1683</v>
      </c>
      <c r="E3501" s="24" t="s">
        <v>8</v>
      </c>
      <c r="F3501" s="24" t="s">
        <v>9</v>
      </c>
      <c r="G3501" s="24" t="s">
        <v>8</v>
      </c>
      <c r="H3501" s="24" t="s">
        <v>524</v>
      </c>
      <c r="I3501" s="27">
        <v>248.72</v>
      </c>
    </row>
    <row r="3502" spans="2:9" ht="16">
      <c r="B3502" s="24" t="s">
        <v>119</v>
      </c>
      <c r="C3502" s="24" t="s">
        <v>6</v>
      </c>
      <c r="D3502" s="24" t="s">
        <v>1681</v>
      </c>
      <c r="E3502" s="24" t="s">
        <v>8</v>
      </c>
      <c r="F3502" s="24" t="s">
        <v>9</v>
      </c>
      <c r="G3502" s="24" t="s">
        <v>8</v>
      </c>
      <c r="H3502" s="24" t="s">
        <v>1107</v>
      </c>
      <c r="I3502" s="27">
        <v>27.52</v>
      </c>
    </row>
    <row r="3503" spans="1:9" ht="16">
      <c r="A3503" s="35" t="s">
        <v>40</v>
      </c>
      <c r="I3503" s="28">
        <f>I3491+I3492+I3493+I3494+I3495+I3496+I3497+I3498+I3499+I3500+I3501+I3502</f>
        <v>1096.6899999999998</v>
      </c>
    </row>
    <row r="3504" spans="1:1" ht="16">
      <c r="A3504" s="34" t="s">
        <v>2870</v>
      </c>
    </row>
    <row r="3505" spans="2:9" ht="16">
      <c r="B3505" s="24" t="s">
        <v>1382</v>
      </c>
      <c r="C3505" s="24" t="s">
        <v>13</v>
      </c>
      <c r="D3505" s="24" t="s">
        <v>2506</v>
      </c>
      <c r="E3505" s="24" t="s">
        <v>2881</v>
      </c>
      <c r="F3505" s="24" t="s">
        <v>9</v>
      </c>
      <c r="G3505" s="24" t="s">
        <v>8</v>
      </c>
      <c r="H3505" s="24" t="s">
        <v>2882</v>
      </c>
      <c r="I3505" s="27">
        <v>1955.0</v>
      </c>
    </row>
    <row r="3506" spans="2:9" ht="16">
      <c r="B3506" s="24" t="s">
        <v>1130</v>
      </c>
      <c r="C3506" s="24" t="s">
        <v>13</v>
      </c>
      <c r="D3506" s="24" t="s">
        <v>2028</v>
      </c>
      <c r="E3506" s="24" t="s">
        <v>2883</v>
      </c>
      <c r="F3506" s="24" t="s">
        <v>9</v>
      </c>
      <c r="G3506" s="24" t="s">
        <v>8</v>
      </c>
      <c r="H3506" s="24" t="s">
        <v>2884</v>
      </c>
      <c r="I3506" s="27">
        <v>1662.12</v>
      </c>
    </row>
    <row r="3507" spans="1:9" ht="16">
      <c r="A3507" s="35" t="s">
        <v>164</v>
      </c>
      <c r="I3507" s="28">
        <f>I3504+I3505+I3506</f>
        <v>3617.12</v>
      </c>
    </row>
    <row r="3508" spans="1:1" ht="16">
      <c r="A3508" s="34" t="s">
        <v>2870</v>
      </c>
    </row>
    <row r="3509" spans="2:9" ht="16">
      <c r="B3509" s="24" t="s">
        <v>8</v>
      </c>
      <c r="C3509" s="24" t="s">
        <v>6</v>
      </c>
      <c r="D3509" s="24" t="s">
        <v>1673</v>
      </c>
      <c r="E3509" s="24" t="s">
        <v>8</v>
      </c>
      <c r="F3509" s="24" t="s">
        <v>9</v>
      </c>
      <c r="G3509" s="24" t="s">
        <v>8</v>
      </c>
      <c r="H3509" s="24" t="s">
        <v>47</v>
      </c>
      <c r="I3509" s="27">
        <v>3151.12</v>
      </c>
    </row>
    <row r="3510" spans="1:9" ht="16">
      <c r="A3510" s="35" t="s">
        <v>50</v>
      </c>
      <c r="I3510" s="28">
        <f>I3508+I3509</f>
        <v>3151.12</v>
      </c>
    </row>
    <row r="3511" spans="1:1" ht="16">
      <c r="A3511" s="34" t="s">
        <v>2870</v>
      </c>
    </row>
    <row r="3512" spans="2:9" ht="16">
      <c r="B3512" s="24" t="s">
        <v>8</v>
      </c>
      <c r="C3512" s="24" t="s">
        <v>6</v>
      </c>
      <c r="D3512" s="24" t="s">
        <v>1685</v>
      </c>
      <c r="E3512" s="24" t="s">
        <v>8</v>
      </c>
      <c r="F3512" s="24" t="s">
        <v>9</v>
      </c>
      <c r="G3512" s="24" t="s">
        <v>8</v>
      </c>
      <c r="H3512" s="24" t="s">
        <v>53</v>
      </c>
      <c r="I3512" s="27">
        <v>101.36</v>
      </c>
    </row>
    <row r="3513" spans="2:9" ht="16">
      <c r="B3513" s="24" t="s">
        <v>961</v>
      </c>
      <c r="C3513" s="24" t="s">
        <v>6</v>
      </c>
      <c r="D3513" s="24" t="s">
        <v>1682</v>
      </c>
      <c r="E3513" s="24" t="s">
        <v>8</v>
      </c>
      <c r="F3513" s="24" t="s">
        <v>9</v>
      </c>
      <c r="G3513" s="24" t="s">
        <v>8</v>
      </c>
      <c r="H3513" s="24" t="s">
        <v>53</v>
      </c>
      <c r="I3513" s="27">
        <v>2919.1</v>
      </c>
    </row>
    <row r="3514" spans="2:9" ht="16">
      <c r="B3514" s="24" t="s">
        <v>961</v>
      </c>
      <c r="C3514" s="24" t="s">
        <v>6</v>
      </c>
      <c r="D3514" s="24" t="s">
        <v>1688</v>
      </c>
      <c r="E3514" s="24" t="s">
        <v>8</v>
      </c>
      <c r="F3514" s="24" t="s">
        <v>9</v>
      </c>
      <c r="G3514" s="24" t="s">
        <v>8</v>
      </c>
      <c r="H3514" s="24" t="s">
        <v>53</v>
      </c>
      <c r="I3514" s="27">
        <v>1785.96</v>
      </c>
    </row>
    <row r="3515" spans="2:9" ht="16">
      <c r="B3515" s="24" t="s">
        <v>51</v>
      </c>
      <c r="C3515" s="24" t="s">
        <v>6</v>
      </c>
      <c r="D3515" s="24" t="s">
        <v>1681</v>
      </c>
      <c r="E3515" s="24" t="s">
        <v>8</v>
      </c>
      <c r="F3515" s="24" t="s">
        <v>9</v>
      </c>
      <c r="G3515" s="24" t="s">
        <v>8</v>
      </c>
      <c r="H3515" s="24" t="s">
        <v>53</v>
      </c>
      <c r="I3515" s="27">
        <v>2166.48</v>
      </c>
    </row>
    <row r="3516" spans="1:9" ht="16">
      <c r="A3516" s="35" t="s">
        <v>67</v>
      </c>
      <c r="I3516" s="28">
        <f>I3511+I3512+I3513+I3514+I3515</f>
        <v>6972.9</v>
      </c>
    </row>
    <row r="3517" spans="1:9" ht="16">
      <c r="A3517" s="36" t="s">
        <v>2885</v>
      </c>
      <c r="I3517" s="28">
        <f>I3490+I3503+I3507+I3510+I3516</f>
        <v>26885.519999999997</v>
      </c>
    </row>
    <row r="3518" spans="1:1" ht="16">
      <c r="A3518" s="33" t="s">
        <v>324</v>
      </c>
    </row>
    <row r="3519" spans="1:1" ht="16">
      <c r="A3519" s="34" t="s">
        <v>2886</v>
      </c>
    </row>
    <row r="3520" spans="2:9" ht="16">
      <c r="B3520" s="24" t="s">
        <v>119</v>
      </c>
      <c r="C3520" s="24" t="s">
        <v>6</v>
      </c>
      <c r="D3520" s="24" t="s">
        <v>1955</v>
      </c>
      <c r="E3520" s="24" t="s">
        <v>8</v>
      </c>
      <c r="F3520" s="24" t="s">
        <v>9</v>
      </c>
      <c r="G3520" s="24" t="s">
        <v>8</v>
      </c>
      <c r="H3520" s="24" t="s">
        <v>2887</v>
      </c>
      <c r="I3520" s="27">
        <v>24.32</v>
      </c>
    </row>
    <row r="3521" spans="2:9" ht="16">
      <c r="B3521" s="24" t="s">
        <v>119</v>
      </c>
      <c r="C3521" s="24" t="s">
        <v>6</v>
      </c>
      <c r="D3521" s="24" t="s">
        <v>1961</v>
      </c>
      <c r="E3521" s="24" t="s">
        <v>8</v>
      </c>
      <c r="F3521" s="24" t="s">
        <v>9</v>
      </c>
      <c r="G3521" s="24" t="s">
        <v>8</v>
      </c>
      <c r="H3521" s="24" t="s">
        <v>2323</v>
      </c>
      <c r="I3521" s="27">
        <v>139.31</v>
      </c>
    </row>
    <row r="3522" spans="2:9" ht="16">
      <c r="B3522" s="24" t="s">
        <v>119</v>
      </c>
      <c r="C3522" s="24" t="s">
        <v>6</v>
      </c>
      <c r="D3522" s="24" t="s">
        <v>1961</v>
      </c>
      <c r="E3522" s="24" t="s">
        <v>8</v>
      </c>
      <c r="F3522" s="24" t="s">
        <v>9</v>
      </c>
      <c r="G3522" s="24" t="s">
        <v>8</v>
      </c>
      <c r="H3522" s="24" t="s">
        <v>1807</v>
      </c>
      <c r="I3522" s="27">
        <v>86.95</v>
      </c>
    </row>
    <row r="3523" spans="1:9" ht="16">
      <c r="A3523" s="35" t="s">
        <v>40</v>
      </c>
      <c r="I3523" s="28">
        <f>I3519+I3520+I3521+I3522</f>
        <v>250.57999999999998</v>
      </c>
    </row>
    <row r="3524" spans="1:1" ht="16">
      <c r="A3524" s="34" t="s">
        <v>2886</v>
      </c>
    </row>
    <row r="3525" spans="2:9" ht="16">
      <c r="B3525" s="24" t="s">
        <v>45</v>
      </c>
      <c r="C3525" s="24" t="s">
        <v>13</v>
      </c>
      <c r="D3525" s="24" t="s">
        <v>1674</v>
      </c>
      <c r="E3525" s="24" t="s">
        <v>8</v>
      </c>
      <c r="F3525" s="24" t="s">
        <v>9</v>
      </c>
      <c r="G3525" s="24" t="s">
        <v>8</v>
      </c>
      <c r="H3525" s="24" t="s">
        <v>8</v>
      </c>
      <c r="I3525" s="27">
        <v>445.28</v>
      </c>
    </row>
    <row r="3526" spans="1:9" ht="16">
      <c r="A3526" s="35" t="s">
        <v>50</v>
      </c>
      <c r="I3526" s="28">
        <f>I3524+I3525</f>
        <v>445.28</v>
      </c>
    </row>
    <row r="3527" spans="1:1" ht="16">
      <c r="A3527" s="34" t="s">
        <v>2886</v>
      </c>
    </row>
    <row r="3528" spans="2:9" ht="16">
      <c r="B3528" s="24" t="s">
        <v>961</v>
      </c>
      <c r="C3528" s="24" t="s">
        <v>6</v>
      </c>
      <c r="D3528" s="24" t="s">
        <v>1684</v>
      </c>
      <c r="E3528" s="24" t="s">
        <v>8</v>
      </c>
      <c r="F3528" s="24" t="s">
        <v>9</v>
      </c>
      <c r="G3528" s="24" t="s">
        <v>8</v>
      </c>
      <c r="H3528" s="24" t="s">
        <v>53</v>
      </c>
      <c r="I3528" s="27">
        <v>954.89</v>
      </c>
    </row>
    <row r="3529" spans="1:9" ht="16">
      <c r="A3529" s="35" t="s">
        <v>67</v>
      </c>
      <c r="I3529" s="28">
        <f>I3527+I3528</f>
        <v>954.89</v>
      </c>
    </row>
    <row r="3530" spans="1:9" ht="16">
      <c r="A3530" s="36" t="s">
        <v>2888</v>
      </c>
      <c r="I3530" s="28">
        <f>I3523+I3526+I3529</f>
        <v>1650.75</v>
      </c>
    </row>
    <row r="3531" spans="1:1" ht="16">
      <c r="A3531" s="33" t="s">
        <v>324</v>
      </c>
    </row>
    <row r="3532" spans="1:1" ht="16">
      <c r="A3532" s="34" t="s">
        <v>2889</v>
      </c>
    </row>
    <row r="3533" spans="2:9" ht="16">
      <c r="B3533" s="24" t="s">
        <v>21</v>
      </c>
      <c r="C3533" s="24" t="s">
        <v>141</v>
      </c>
      <c r="D3533" s="24" t="s">
        <v>1944</v>
      </c>
      <c r="E3533" s="24" t="s">
        <v>8</v>
      </c>
      <c r="F3533" s="24" t="s">
        <v>9</v>
      </c>
      <c r="G3533" s="24" t="s">
        <v>8</v>
      </c>
      <c r="H3533" s="24" t="s">
        <v>2890</v>
      </c>
      <c r="I3533" s="27">
        <v>-159.94</v>
      </c>
    </row>
    <row r="3534" spans="2:9" ht="16">
      <c r="B3534" s="24" t="s">
        <v>21</v>
      </c>
      <c r="C3534" s="24" t="s">
        <v>13</v>
      </c>
      <c r="D3534" s="24" t="s">
        <v>2646</v>
      </c>
      <c r="E3534" s="24" t="s">
        <v>2891</v>
      </c>
      <c r="F3534" s="24" t="s">
        <v>9</v>
      </c>
      <c r="G3534" s="24" t="s">
        <v>8</v>
      </c>
      <c r="H3534" s="24" t="s">
        <v>2892</v>
      </c>
      <c r="I3534" s="27">
        <v>510.21</v>
      </c>
    </row>
    <row r="3535" spans="2:9" ht="16">
      <c r="B3535" s="24" t="s">
        <v>21</v>
      </c>
      <c r="C3535" s="24" t="s">
        <v>13</v>
      </c>
      <c r="D3535" s="24" t="s">
        <v>2104</v>
      </c>
      <c r="E3535" s="24" t="s">
        <v>2893</v>
      </c>
      <c r="F3535" s="24" t="s">
        <v>9</v>
      </c>
      <c r="G3535" s="24" t="s">
        <v>8</v>
      </c>
      <c r="H3535" s="24" t="s">
        <v>2894</v>
      </c>
      <c r="I3535" s="27">
        <v>8.58</v>
      </c>
    </row>
    <row r="3536" spans="2:9" ht="16">
      <c r="B3536" s="24" t="s">
        <v>21</v>
      </c>
      <c r="C3536" s="24" t="s">
        <v>13</v>
      </c>
      <c r="D3536" s="24" t="s">
        <v>2672</v>
      </c>
      <c r="E3536" s="24" t="s">
        <v>2895</v>
      </c>
      <c r="F3536" s="24" t="s">
        <v>9</v>
      </c>
      <c r="G3536" s="24" t="s">
        <v>8</v>
      </c>
      <c r="H3536" s="24" t="s">
        <v>2896</v>
      </c>
      <c r="I3536" s="27">
        <v>410.5</v>
      </c>
    </row>
    <row r="3537" spans="2:9" ht="16">
      <c r="B3537" s="24" t="s">
        <v>21</v>
      </c>
      <c r="C3537" s="24" t="s">
        <v>13</v>
      </c>
      <c r="D3537" s="24" t="s">
        <v>1977</v>
      </c>
      <c r="E3537" s="24" t="s">
        <v>2897</v>
      </c>
      <c r="F3537" s="24" t="s">
        <v>9</v>
      </c>
      <c r="G3537" s="24" t="s">
        <v>8</v>
      </c>
      <c r="H3537" s="24" t="s">
        <v>834</v>
      </c>
      <c r="I3537" s="27">
        <v>206.7</v>
      </c>
    </row>
    <row r="3538" spans="2:9" ht="16">
      <c r="B3538" s="24" t="s">
        <v>21</v>
      </c>
      <c r="C3538" s="24" t="s">
        <v>13</v>
      </c>
      <c r="D3538" s="24" t="s">
        <v>1669</v>
      </c>
      <c r="E3538" s="24" t="s">
        <v>2898</v>
      </c>
      <c r="F3538" s="24" t="s">
        <v>9</v>
      </c>
      <c r="G3538" s="24" t="s">
        <v>8</v>
      </c>
      <c r="H3538" s="24" t="s">
        <v>834</v>
      </c>
      <c r="I3538" s="27">
        <v>201.6</v>
      </c>
    </row>
    <row r="3539" spans="2:9" ht="16">
      <c r="B3539" s="24" t="s">
        <v>21</v>
      </c>
      <c r="C3539" s="24" t="s">
        <v>13</v>
      </c>
      <c r="D3539" s="24" t="s">
        <v>1977</v>
      </c>
      <c r="E3539" s="24" t="s">
        <v>2899</v>
      </c>
      <c r="F3539" s="24" t="s">
        <v>9</v>
      </c>
      <c r="G3539" s="24" t="s">
        <v>8</v>
      </c>
      <c r="H3539" s="24" t="s">
        <v>834</v>
      </c>
      <c r="I3539" s="27">
        <v>355.84</v>
      </c>
    </row>
    <row r="3540" spans="2:9" ht="16">
      <c r="B3540" s="24" t="s">
        <v>21</v>
      </c>
      <c r="C3540" s="24" t="s">
        <v>13</v>
      </c>
      <c r="D3540" s="24" t="s">
        <v>2062</v>
      </c>
      <c r="E3540" s="24" t="s">
        <v>2900</v>
      </c>
      <c r="F3540" s="24" t="s">
        <v>9</v>
      </c>
      <c r="G3540" s="24" t="s">
        <v>8</v>
      </c>
      <c r="H3540" s="24" t="s">
        <v>837</v>
      </c>
      <c r="I3540" s="27">
        <v>142.34</v>
      </c>
    </row>
    <row r="3541" spans="2:9" ht="16">
      <c r="B3541" s="24" t="s">
        <v>21</v>
      </c>
      <c r="C3541" s="24" t="s">
        <v>13</v>
      </c>
      <c r="D3541" s="24" t="s">
        <v>1686</v>
      </c>
      <c r="E3541" s="24" t="s">
        <v>2901</v>
      </c>
      <c r="F3541" s="24" t="s">
        <v>9</v>
      </c>
      <c r="G3541" s="24" t="s">
        <v>8</v>
      </c>
      <c r="H3541" s="24" t="s">
        <v>2902</v>
      </c>
      <c r="I3541" s="27">
        <v>247.54</v>
      </c>
    </row>
    <row r="3542" spans="2:9" ht="16">
      <c r="B3542" s="24" t="s">
        <v>119</v>
      </c>
      <c r="C3542" s="24" t="s">
        <v>6</v>
      </c>
      <c r="D3542" s="24" t="s">
        <v>2903</v>
      </c>
      <c r="E3542" s="24" t="s">
        <v>8</v>
      </c>
      <c r="F3542" s="24" t="s">
        <v>9</v>
      </c>
      <c r="G3542" s="24" t="s">
        <v>8</v>
      </c>
      <c r="H3542" s="24" t="s">
        <v>2904</v>
      </c>
      <c r="I3542" s="27">
        <v>24.15</v>
      </c>
    </row>
    <row r="3543" spans="2:9" ht="16">
      <c r="B3543" s="24" t="s">
        <v>86</v>
      </c>
      <c r="C3543" s="24" t="s">
        <v>13</v>
      </c>
      <c r="D3543" s="24" t="s">
        <v>2147</v>
      </c>
      <c r="E3543" s="24" t="s">
        <v>2905</v>
      </c>
      <c r="F3543" s="24" t="s">
        <v>9</v>
      </c>
      <c r="G3543" s="24" t="s">
        <v>8</v>
      </c>
      <c r="H3543" s="24" t="s">
        <v>2906</v>
      </c>
      <c r="I3543" s="27">
        <v>228.79</v>
      </c>
    </row>
    <row r="3544" spans="2:9" ht="16">
      <c r="B3544" s="24" t="s">
        <v>1800</v>
      </c>
      <c r="C3544" s="24" t="s">
        <v>6</v>
      </c>
      <c r="D3544" s="24" t="s">
        <v>2494</v>
      </c>
      <c r="E3544" s="24" t="s">
        <v>8</v>
      </c>
      <c r="F3544" s="24" t="s">
        <v>9</v>
      </c>
      <c r="G3544" s="24" t="s">
        <v>8</v>
      </c>
      <c r="H3544" s="24" t="s">
        <v>2907</v>
      </c>
      <c r="I3544" s="27">
        <v>895.72</v>
      </c>
    </row>
    <row r="3545" spans="2:9" ht="16">
      <c r="B3545" s="24" t="s">
        <v>8</v>
      </c>
      <c r="C3545" s="24" t="s">
        <v>6</v>
      </c>
      <c r="D3545" s="24" t="s">
        <v>2646</v>
      </c>
      <c r="E3545" s="24" t="s">
        <v>8</v>
      </c>
      <c r="F3545" s="24" t="s">
        <v>9</v>
      </c>
      <c r="G3545" s="24" t="s">
        <v>8</v>
      </c>
      <c r="H3545" s="24" t="s">
        <v>2908</v>
      </c>
      <c r="I3545" s="27">
        <v>89.74</v>
      </c>
    </row>
    <row r="3546" spans="2:9" ht="16">
      <c r="B3546" s="24" t="s">
        <v>1800</v>
      </c>
      <c r="C3546" s="24" t="s">
        <v>6</v>
      </c>
      <c r="D3546" s="24" t="s">
        <v>2623</v>
      </c>
      <c r="E3546" s="24" t="s">
        <v>8</v>
      </c>
      <c r="F3546" s="24" t="s">
        <v>9</v>
      </c>
      <c r="G3546" s="24" t="s">
        <v>8</v>
      </c>
      <c r="H3546" s="24" t="s">
        <v>2909</v>
      </c>
      <c r="I3546" s="27">
        <v>148.52</v>
      </c>
    </row>
    <row r="3547" spans="2:9" ht="16">
      <c r="B3547" s="24" t="s">
        <v>8</v>
      </c>
      <c r="C3547" s="24" t="s">
        <v>6</v>
      </c>
      <c r="D3547" s="24" t="s">
        <v>2857</v>
      </c>
      <c r="E3547" s="24" t="s">
        <v>8</v>
      </c>
      <c r="F3547" s="24" t="s">
        <v>9</v>
      </c>
      <c r="G3547" s="24" t="s">
        <v>8</v>
      </c>
      <c r="H3547" s="24" t="s">
        <v>2910</v>
      </c>
      <c r="I3547" s="27">
        <v>16.29</v>
      </c>
    </row>
    <row r="3548" spans="2:9" ht="16">
      <c r="B3548" s="24" t="s">
        <v>86</v>
      </c>
      <c r="C3548" s="24" t="s">
        <v>13</v>
      </c>
      <c r="D3548" s="24" t="s">
        <v>2806</v>
      </c>
      <c r="E3548" s="24" t="s">
        <v>2911</v>
      </c>
      <c r="F3548" s="24" t="s">
        <v>9</v>
      </c>
      <c r="G3548" s="24" t="s">
        <v>8</v>
      </c>
      <c r="H3548" s="24" t="s">
        <v>2912</v>
      </c>
      <c r="I3548" s="27">
        <v>63.78</v>
      </c>
    </row>
    <row r="3549" spans="2:9" ht="16">
      <c r="B3549" s="24" t="s">
        <v>8</v>
      </c>
      <c r="C3549" s="24" t="s">
        <v>6</v>
      </c>
      <c r="D3549" s="24" t="s">
        <v>2672</v>
      </c>
      <c r="E3549" s="24" t="s">
        <v>8</v>
      </c>
      <c r="F3549" s="24" t="s">
        <v>9</v>
      </c>
      <c r="G3549" s="24" t="s">
        <v>8</v>
      </c>
      <c r="H3549" s="24" t="s">
        <v>2913</v>
      </c>
      <c r="I3549" s="27">
        <v>49.44</v>
      </c>
    </row>
    <row r="3550" spans="2:9" ht="16">
      <c r="B3550" s="24" t="s">
        <v>119</v>
      </c>
      <c r="C3550" s="24" t="s">
        <v>6</v>
      </c>
      <c r="D3550" s="24" t="s">
        <v>2497</v>
      </c>
      <c r="E3550" s="24" t="s">
        <v>8</v>
      </c>
      <c r="F3550" s="24" t="s">
        <v>9</v>
      </c>
      <c r="G3550" s="24" t="s">
        <v>8</v>
      </c>
      <c r="H3550" s="24" t="s">
        <v>2913</v>
      </c>
      <c r="I3550" s="27">
        <v>44.32</v>
      </c>
    </row>
    <row r="3551" spans="2:9" ht="16">
      <c r="B3551" s="24" t="s">
        <v>119</v>
      </c>
      <c r="C3551" s="24" t="s">
        <v>6</v>
      </c>
      <c r="D3551" s="24" t="s">
        <v>2093</v>
      </c>
      <c r="E3551" s="24" t="s">
        <v>8</v>
      </c>
      <c r="F3551" s="24" t="s">
        <v>9</v>
      </c>
      <c r="G3551" s="24" t="s">
        <v>8</v>
      </c>
      <c r="H3551" s="24" t="s">
        <v>2913</v>
      </c>
      <c r="I3551" s="27">
        <v>21.36</v>
      </c>
    </row>
    <row r="3552" spans="2:9" ht="16">
      <c r="B3552" s="24" t="s">
        <v>21</v>
      </c>
      <c r="C3552" s="24" t="s">
        <v>13</v>
      </c>
      <c r="D3552" s="24" t="s">
        <v>2049</v>
      </c>
      <c r="E3552" s="24" t="s">
        <v>2914</v>
      </c>
      <c r="F3552" s="24" t="s">
        <v>9</v>
      </c>
      <c r="G3552" s="24" t="s">
        <v>8</v>
      </c>
      <c r="H3552" s="24" t="s">
        <v>527</v>
      </c>
      <c r="I3552" s="27">
        <v>129.61</v>
      </c>
    </row>
    <row r="3553" spans="2:9" ht="16">
      <c r="B3553" s="24" t="s">
        <v>21</v>
      </c>
      <c r="C3553" s="24" t="s">
        <v>13</v>
      </c>
      <c r="D3553" s="24" t="s">
        <v>1944</v>
      </c>
      <c r="E3553" s="24" t="s">
        <v>2915</v>
      </c>
      <c r="F3553" s="24" t="s">
        <v>9</v>
      </c>
      <c r="G3553" s="24" t="s">
        <v>8</v>
      </c>
      <c r="H3553" s="24" t="s">
        <v>8</v>
      </c>
      <c r="I3553" s="27">
        <v>323.74</v>
      </c>
    </row>
    <row r="3554" spans="1:9" ht="16">
      <c r="A3554" s="35" t="s">
        <v>40</v>
      </c>
      <c r="I3554" s="28">
        <f>I3532+I3533+I3534+I3535+I3536+I3537+I3538+I3539+I3540+I3541+I3542+I3543+I3544+I3545+I3546+I3547+I3548+I3549+I3550+I3551+I3552+I3553</f>
        <v>3958.83</v>
      </c>
    </row>
    <row r="3555" spans="1:1" ht="16">
      <c r="A3555" s="34" t="s">
        <v>2889</v>
      </c>
    </row>
    <row r="3556" spans="2:9" ht="16">
      <c r="B3556" s="24" t="s">
        <v>1382</v>
      </c>
      <c r="C3556" s="24" t="s">
        <v>13</v>
      </c>
      <c r="D3556" s="24" t="s">
        <v>2557</v>
      </c>
      <c r="E3556" s="24" t="s">
        <v>8</v>
      </c>
      <c r="F3556" s="24" t="s">
        <v>9</v>
      </c>
      <c r="G3556" s="24" t="s">
        <v>8</v>
      </c>
      <c r="H3556" s="24" t="s">
        <v>2916</v>
      </c>
      <c r="I3556" s="27">
        <v>380.0</v>
      </c>
    </row>
    <row r="3557" spans="2:9" ht="16">
      <c r="B3557" s="24" t="s">
        <v>1382</v>
      </c>
      <c r="C3557" s="24" t="s">
        <v>13</v>
      </c>
      <c r="D3557" s="24" t="s">
        <v>2542</v>
      </c>
      <c r="E3557" s="24" t="s">
        <v>2917</v>
      </c>
      <c r="F3557" s="24" t="s">
        <v>9</v>
      </c>
      <c r="G3557" s="24" t="s">
        <v>8</v>
      </c>
      <c r="H3557" s="24" t="s">
        <v>2918</v>
      </c>
      <c r="I3557" s="27">
        <v>6460.0</v>
      </c>
    </row>
    <row r="3558" spans="2:9" ht="16">
      <c r="B3558" s="24" t="s">
        <v>1382</v>
      </c>
      <c r="C3558" s="24" t="s">
        <v>13</v>
      </c>
      <c r="D3558" s="24" t="s">
        <v>2919</v>
      </c>
      <c r="E3558" s="24" t="s">
        <v>2920</v>
      </c>
      <c r="F3558" s="24" t="s">
        <v>9</v>
      </c>
      <c r="G3558" s="24" t="s">
        <v>8</v>
      </c>
      <c r="H3558" s="24" t="s">
        <v>2921</v>
      </c>
      <c r="I3558" s="27">
        <v>1340.0</v>
      </c>
    </row>
    <row r="3559" spans="1:9" ht="16">
      <c r="A3559" s="35" t="s">
        <v>164</v>
      </c>
      <c r="I3559" s="28">
        <f>I3555+I3556+I3557+I3558</f>
        <v>8180.0</v>
      </c>
    </row>
    <row r="3560" spans="1:1" ht="16">
      <c r="A3560" s="34" t="s">
        <v>2889</v>
      </c>
    </row>
    <row r="3561" spans="2:9" ht="16">
      <c r="B3561" s="24" t="s">
        <v>8</v>
      </c>
      <c r="C3561" s="24" t="s">
        <v>6</v>
      </c>
      <c r="D3561" s="24" t="s">
        <v>2847</v>
      </c>
      <c r="E3561" s="24" t="s">
        <v>8</v>
      </c>
      <c r="F3561" s="24" t="s">
        <v>9</v>
      </c>
      <c r="G3561" s="24" t="s">
        <v>8</v>
      </c>
      <c r="H3561" s="24" t="s">
        <v>2848</v>
      </c>
      <c r="I3561" s="27">
        <v>1310.76</v>
      </c>
    </row>
    <row r="3562" spans="2:9" ht="16">
      <c r="B3562" s="24" t="s">
        <v>8</v>
      </c>
      <c r="C3562" s="24" t="s">
        <v>6</v>
      </c>
      <c r="D3562" s="24" t="s">
        <v>1672</v>
      </c>
      <c r="E3562" s="24" t="s">
        <v>8</v>
      </c>
      <c r="F3562" s="24" t="s">
        <v>9</v>
      </c>
      <c r="G3562" s="24" t="s">
        <v>8</v>
      </c>
      <c r="H3562" s="24" t="s">
        <v>47</v>
      </c>
      <c r="I3562" s="27">
        <v>2010.71</v>
      </c>
    </row>
    <row r="3563" spans="2:9" ht="16">
      <c r="B3563" s="24" t="s">
        <v>45</v>
      </c>
      <c r="C3563" s="24" t="s">
        <v>13</v>
      </c>
      <c r="D3563" s="24" t="s">
        <v>1674</v>
      </c>
      <c r="E3563" s="24" t="s">
        <v>8</v>
      </c>
      <c r="F3563" s="24" t="s">
        <v>9</v>
      </c>
      <c r="G3563" s="24" t="s">
        <v>8</v>
      </c>
      <c r="H3563" s="24" t="s">
        <v>8</v>
      </c>
      <c r="I3563" s="27">
        <v>74.21</v>
      </c>
    </row>
    <row r="3564" spans="2:9" ht="16">
      <c r="B3564" s="24" t="s">
        <v>45</v>
      </c>
      <c r="C3564" s="24" t="s">
        <v>13</v>
      </c>
      <c r="D3564" s="24" t="s">
        <v>2137</v>
      </c>
      <c r="E3564" s="24" t="s">
        <v>2138</v>
      </c>
      <c r="F3564" s="24" t="s">
        <v>9</v>
      </c>
      <c r="G3564" s="24" t="s">
        <v>8</v>
      </c>
      <c r="H3564" s="24" t="s">
        <v>8</v>
      </c>
      <c r="I3564" s="27">
        <v>1227.24</v>
      </c>
    </row>
    <row r="3565" spans="1:9" ht="16">
      <c r="A3565" s="35" t="s">
        <v>50</v>
      </c>
      <c r="I3565" s="28">
        <f>I3560+I3561+I3562+I3563+I3564</f>
        <v>4622.92</v>
      </c>
    </row>
    <row r="3566" spans="1:1" ht="16">
      <c r="A3566" s="34" t="s">
        <v>2889</v>
      </c>
    </row>
    <row r="3567" spans="2:9" ht="16">
      <c r="B3567" s="24" t="s">
        <v>961</v>
      </c>
      <c r="C3567" s="24" t="s">
        <v>6</v>
      </c>
      <c r="D3567" s="24" t="s">
        <v>2922</v>
      </c>
      <c r="E3567" s="24" t="s">
        <v>8</v>
      </c>
      <c r="F3567" s="24" t="s">
        <v>9</v>
      </c>
      <c r="G3567" s="24" t="s">
        <v>8</v>
      </c>
      <c r="H3567" s="24" t="s">
        <v>2923</v>
      </c>
      <c r="I3567" s="27">
        <v>134.11</v>
      </c>
    </row>
    <row r="3568" spans="2:9" ht="16">
      <c r="B3568" s="24" t="s">
        <v>961</v>
      </c>
      <c r="C3568" s="24" t="s">
        <v>6</v>
      </c>
      <c r="D3568" s="24" t="s">
        <v>2795</v>
      </c>
      <c r="E3568" s="24" t="s">
        <v>8</v>
      </c>
      <c r="F3568" s="24" t="s">
        <v>9</v>
      </c>
      <c r="G3568" s="24" t="s">
        <v>8</v>
      </c>
      <c r="H3568" s="24" t="s">
        <v>2860</v>
      </c>
      <c r="I3568" s="27">
        <v>2003.51</v>
      </c>
    </row>
    <row r="3569" spans="2:9" ht="16">
      <c r="B3569" s="24" t="s">
        <v>961</v>
      </c>
      <c r="C3569" s="24" t="s">
        <v>6</v>
      </c>
      <c r="D3569" s="24" t="s">
        <v>2104</v>
      </c>
      <c r="E3569" s="24" t="s">
        <v>8</v>
      </c>
      <c r="F3569" s="24" t="s">
        <v>9</v>
      </c>
      <c r="G3569" s="24" t="s">
        <v>8</v>
      </c>
      <c r="H3569" s="24" t="s">
        <v>2864</v>
      </c>
      <c r="I3569" s="27">
        <v>620.48</v>
      </c>
    </row>
    <row r="3570" spans="2:9" ht="16">
      <c r="B3570" s="24" t="s">
        <v>961</v>
      </c>
      <c r="C3570" s="24" t="s">
        <v>6</v>
      </c>
      <c r="D3570" s="24" t="s">
        <v>2144</v>
      </c>
      <c r="E3570" s="24" t="s">
        <v>8</v>
      </c>
      <c r="F3570" s="24" t="s">
        <v>9</v>
      </c>
      <c r="G3570" s="24" t="s">
        <v>8</v>
      </c>
      <c r="H3570" s="24" t="s">
        <v>53</v>
      </c>
      <c r="I3570" s="27">
        <v>868.41</v>
      </c>
    </row>
    <row r="3571" spans="2:9" ht="16">
      <c r="B3571" s="24" t="s">
        <v>961</v>
      </c>
      <c r="C3571" s="24" t="s">
        <v>6</v>
      </c>
      <c r="D3571" s="24" t="s">
        <v>2053</v>
      </c>
      <c r="E3571" s="24" t="s">
        <v>8</v>
      </c>
      <c r="F3571" s="24" t="s">
        <v>9</v>
      </c>
      <c r="G3571" s="24" t="s">
        <v>8</v>
      </c>
      <c r="H3571" s="24" t="s">
        <v>53</v>
      </c>
      <c r="I3571" s="27">
        <v>468.71</v>
      </c>
    </row>
    <row r="3572" spans="2:9" ht="16">
      <c r="B3572" s="24" t="s">
        <v>961</v>
      </c>
      <c r="C3572" s="24" t="s">
        <v>6</v>
      </c>
      <c r="D3572" s="24" t="s">
        <v>1988</v>
      </c>
      <c r="E3572" s="24" t="s">
        <v>8</v>
      </c>
      <c r="F3572" s="24" t="s">
        <v>9</v>
      </c>
      <c r="G3572" s="24" t="s">
        <v>8</v>
      </c>
      <c r="H3572" s="24" t="s">
        <v>53</v>
      </c>
      <c r="I3572" s="27">
        <v>1981.71</v>
      </c>
    </row>
    <row r="3573" spans="2:9" ht="16">
      <c r="B3573" s="24" t="s">
        <v>961</v>
      </c>
      <c r="C3573" s="24" t="s">
        <v>6</v>
      </c>
      <c r="D3573" s="24" t="s">
        <v>2145</v>
      </c>
      <c r="E3573" s="24" t="s">
        <v>8</v>
      </c>
      <c r="F3573" s="24" t="s">
        <v>9</v>
      </c>
      <c r="G3573" s="24" t="s">
        <v>8</v>
      </c>
      <c r="H3573" s="24" t="s">
        <v>53</v>
      </c>
      <c r="I3573" s="27">
        <v>1376.12</v>
      </c>
    </row>
    <row r="3574" spans="2:9" ht="16">
      <c r="B3574" s="24" t="s">
        <v>961</v>
      </c>
      <c r="C3574" s="24" t="s">
        <v>6</v>
      </c>
      <c r="D3574" s="24" t="s">
        <v>1686</v>
      </c>
      <c r="E3574" s="24" t="s">
        <v>8</v>
      </c>
      <c r="F3574" s="24" t="s">
        <v>9</v>
      </c>
      <c r="G3574" s="24" t="s">
        <v>8</v>
      </c>
      <c r="H3574" s="24" t="s">
        <v>53</v>
      </c>
      <c r="I3574" s="27">
        <v>148.0</v>
      </c>
    </row>
    <row r="3575" spans="2:9" ht="16">
      <c r="B3575" s="24" t="s">
        <v>961</v>
      </c>
      <c r="C3575" s="24" t="s">
        <v>6</v>
      </c>
      <c r="D3575" s="24" t="s">
        <v>2159</v>
      </c>
      <c r="E3575" s="24" t="s">
        <v>8</v>
      </c>
      <c r="F3575" s="24" t="s">
        <v>9</v>
      </c>
      <c r="G3575" s="24" t="s">
        <v>8</v>
      </c>
      <c r="H3575" s="24" t="s">
        <v>8</v>
      </c>
      <c r="I3575" s="27">
        <v>1960.7</v>
      </c>
    </row>
    <row r="3576" spans="1:9" ht="16">
      <c r="A3576" s="35" t="s">
        <v>67</v>
      </c>
      <c r="I3576" s="28">
        <f>I3566+I3567+I3568+I3569+I3570+I3571+I3572+I3573+I3574+I3575</f>
        <v>9561.75</v>
      </c>
    </row>
    <row r="3577" spans="1:9" ht="16">
      <c r="A3577" s="36" t="s">
        <v>2924</v>
      </c>
      <c r="I3577" s="28">
        <f>I3554+I3559+I3565+I3576</f>
        <v>26323.5</v>
      </c>
    </row>
    <row r="3578" spans="1:1" ht="16">
      <c r="A3578" s="33" t="s">
        <v>324</v>
      </c>
    </row>
    <row r="3579" spans="1:1" ht="16">
      <c r="A3579" s="34" t="s">
        <v>2925</v>
      </c>
    </row>
    <row r="3580" spans="2:9" ht="16">
      <c r="B3580" s="24" t="s">
        <v>119</v>
      </c>
      <c r="C3580" s="24" t="s">
        <v>6</v>
      </c>
      <c r="D3580" s="24" t="s">
        <v>1673</v>
      </c>
      <c r="E3580" s="24" t="s">
        <v>8</v>
      </c>
      <c r="F3580" s="24" t="s">
        <v>9</v>
      </c>
      <c r="G3580" s="24" t="s">
        <v>8</v>
      </c>
      <c r="H3580" s="24" t="s">
        <v>2926</v>
      </c>
      <c r="I3580" s="27">
        <v>67.85</v>
      </c>
    </row>
    <row r="3581" spans="1:9" ht="16">
      <c r="A3581" s="35" t="s">
        <v>40</v>
      </c>
      <c r="I3581" s="28">
        <f>I3579+I3580</f>
        <v>67.85</v>
      </c>
    </row>
    <row r="3582" spans="1:1" ht="16">
      <c r="A3582" s="34" t="s">
        <v>2925</v>
      </c>
    </row>
    <row r="3583" spans="2:9" ht="16">
      <c r="B3583" s="24" t="s">
        <v>36</v>
      </c>
      <c r="C3583" s="24" t="s">
        <v>6</v>
      </c>
      <c r="D3583" s="24" t="s">
        <v>2041</v>
      </c>
      <c r="E3583" s="24" t="s">
        <v>8</v>
      </c>
      <c r="F3583" s="24" t="s">
        <v>9</v>
      </c>
      <c r="G3583" s="24" t="s">
        <v>8</v>
      </c>
      <c r="H3583" s="24" t="s">
        <v>2927</v>
      </c>
      <c r="I3583" s="27">
        <v>28.35</v>
      </c>
    </row>
    <row r="3584" spans="1:9" ht="16">
      <c r="A3584" s="35" t="s">
        <v>267</v>
      </c>
      <c r="I3584" s="28">
        <f>I3582+I3583</f>
        <v>28.35</v>
      </c>
    </row>
    <row r="3585" spans="1:1" ht="16">
      <c r="A3585" s="34" t="s">
        <v>2925</v>
      </c>
    </row>
    <row r="3586" spans="2:9" ht="16">
      <c r="B3586" s="24" t="s">
        <v>814</v>
      </c>
      <c r="C3586" s="24" t="s">
        <v>6</v>
      </c>
      <c r="D3586" s="24" t="s">
        <v>2511</v>
      </c>
      <c r="E3586" s="24" t="s">
        <v>8</v>
      </c>
      <c r="F3586" s="24" t="s">
        <v>9</v>
      </c>
      <c r="G3586" s="24" t="s">
        <v>8</v>
      </c>
      <c r="H3586" s="24" t="s">
        <v>2928</v>
      </c>
      <c r="I3586" s="27">
        <v>120.09</v>
      </c>
    </row>
    <row r="3587" spans="1:9" ht="16">
      <c r="A3587" s="35" t="s">
        <v>433</v>
      </c>
      <c r="I3587" s="28">
        <f>I3585+I3586</f>
        <v>120.09</v>
      </c>
    </row>
    <row r="3588" spans="1:1" ht="16">
      <c r="A3588" s="34" t="s">
        <v>2925</v>
      </c>
    </row>
    <row r="3589" spans="2:9" ht="16">
      <c r="B3589" s="24" t="s">
        <v>45</v>
      </c>
      <c r="C3589" s="24" t="s">
        <v>13</v>
      </c>
      <c r="D3589" s="24" t="s">
        <v>1674</v>
      </c>
      <c r="E3589" s="24" t="s">
        <v>8</v>
      </c>
      <c r="F3589" s="24" t="s">
        <v>9</v>
      </c>
      <c r="G3589" s="24" t="s">
        <v>8</v>
      </c>
      <c r="H3589" s="24" t="s">
        <v>8</v>
      </c>
      <c r="I3589" s="27">
        <v>1311.1</v>
      </c>
    </row>
    <row r="3590" spans="1:9" ht="16">
      <c r="A3590" s="35" t="s">
        <v>50</v>
      </c>
      <c r="I3590" s="28">
        <f>I3588+I3589</f>
        <v>1311.1</v>
      </c>
    </row>
    <row r="3591" spans="1:1" ht="16">
      <c r="A3591" s="34" t="s">
        <v>2925</v>
      </c>
    </row>
    <row r="3592" spans="2:9" ht="16">
      <c r="B3592" s="24" t="s">
        <v>961</v>
      </c>
      <c r="C3592" s="24" t="s">
        <v>6</v>
      </c>
      <c r="D3592" s="24" t="s">
        <v>1684</v>
      </c>
      <c r="E3592" s="24" t="s">
        <v>8</v>
      </c>
      <c r="F3592" s="24" t="s">
        <v>9</v>
      </c>
      <c r="G3592" s="24" t="s">
        <v>8</v>
      </c>
      <c r="H3592" s="24" t="s">
        <v>53</v>
      </c>
      <c r="I3592" s="27">
        <v>1189.16</v>
      </c>
    </row>
    <row r="3593" spans="2:9" ht="16">
      <c r="B3593" s="24" t="s">
        <v>961</v>
      </c>
      <c r="C3593" s="24" t="s">
        <v>6</v>
      </c>
      <c r="D3593" s="24" t="s">
        <v>1961</v>
      </c>
      <c r="E3593" s="24" t="s">
        <v>8</v>
      </c>
      <c r="F3593" s="24" t="s">
        <v>9</v>
      </c>
      <c r="G3593" s="24" t="s">
        <v>8</v>
      </c>
      <c r="H3593" s="24" t="s">
        <v>53</v>
      </c>
      <c r="I3593" s="27">
        <v>2460.46</v>
      </c>
    </row>
    <row r="3594" spans="1:9" ht="16">
      <c r="A3594" s="35" t="s">
        <v>67</v>
      </c>
      <c r="I3594" s="28">
        <f>I3591+I3592+I3593</f>
        <v>3649.62</v>
      </c>
    </row>
    <row r="3595" spans="1:9" ht="16">
      <c r="A3595" s="36" t="s">
        <v>2929</v>
      </c>
      <c r="I3595" s="28">
        <f>I3581+I3584+I3587+I3590+I3594</f>
        <v>5177.01</v>
      </c>
    </row>
    <row r="3596" spans="1:1" ht="16">
      <c r="A3596" s="33" t="s">
        <v>324</v>
      </c>
    </row>
    <row r="3597" spans="1:1" ht="16">
      <c r="A3597" s="34" t="s">
        <v>2930</v>
      </c>
    </row>
    <row r="3598" spans="2:9" ht="16">
      <c r="B3598" s="24" t="s">
        <v>119</v>
      </c>
      <c r="C3598" s="24" t="s">
        <v>6</v>
      </c>
      <c r="D3598" s="24" t="s">
        <v>2018</v>
      </c>
      <c r="E3598" s="24" t="s">
        <v>8</v>
      </c>
      <c r="F3598" s="24" t="s">
        <v>9</v>
      </c>
      <c r="G3598" s="24" t="s">
        <v>8</v>
      </c>
      <c r="H3598" s="24" t="s">
        <v>649</v>
      </c>
      <c r="I3598" s="27">
        <v>77.61</v>
      </c>
    </row>
    <row r="3599" spans="1:9" ht="16">
      <c r="A3599" s="35" t="s">
        <v>40</v>
      </c>
      <c r="I3599" s="28">
        <f>I3597+I3598</f>
        <v>77.61</v>
      </c>
    </row>
    <row r="3600" spans="1:1" ht="16">
      <c r="A3600" s="34" t="s">
        <v>2930</v>
      </c>
    </row>
    <row r="3601" spans="2:9" ht="16">
      <c r="B3601" s="24" t="s">
        <v>45</v>
      </c>
      <c r="C3601" s="24" t="s">
        <v>13</v>
      </c>
      <c r="D3601" s="24" t="s">
        <v>1674</v>
      </c>
      <c r="E3601" s="24" t="s">
        <v>8</v>
      </c>
      <c r="F3601" s="24" t="s">
        <v>9</v>
      </c>
      <c r="G3601" s="24" t="s">
        <v>8</v>
      </c>
      <c r="H3601" s="24" t="s">
        <v>8</v>
      </c>
      <c r="I3601" s="27">
        <v>37.11</v>
      </c>
    </row>
    <row r="3602" spans="1:9" ht="16">
      <c r="A3602" s="35" t="s">
        <v>50</v>
      </c>
      <c r="I3602" s="28">
        <f>I3600+I3601</f>
        <v>37.11</v>
      </c>
    </row>
    <row r="3603" spans="1:1" ht="16">
      <c r="A3603" s="34" t="s">
        <v>2930</v>
      </c>
    </row>
    <row r="3604" spans="2:9" ht="16">
      <c r="B3604" s="24" t="s">
        <v>961</v>
      </c>
      <c r="C3604" s="24" t="s">
        <v>6</v>
      </c>
      <c r="D3604" s="24" t="s">
        <v>1661</v>
      </c>
      <c r="E3604" s="24" t="s">
        <v>8</v>
      </c>
      <c r="F3604" s="24" t="s">
        <v>9</v>
      </c>
      <c r="G3604" s="24" t="s">
        <v>8</v>
      </c>
      <c r="H3604" s="24" t="s">
        <v>53</v>
      </c>
      <c r="I3604" s="27">
        <v>78.04</v>
      </c>
    </row>
    <row r="3605" spans="1:9" ht="16">
      <c r="A3605" s="35" t="s">
        <v>67</v>
      </c>
      <c r="I3605" s="28">
        <f>I3603+I3604</f>
        <v>78.04</v>
      </c>
    </row>
    <row r="3606" spans="1:9" ht="16">
      <c r="A3606" s="36" t="s">
        <v>2931</v>
      </c>
      <c r="I3606" s="28">
        <f>I3599+I3602+I3605</f>
        <v>192.76</v>
      </c>
    </row>
    <row r="3607" spans="1:1" ht="16">
      <c r="A3607" s="33" t="s">
        <v>172</v>
      </c>
    </row>
    <row r="3608" spans="1:1" ht="16">
      <c r="A3608" s="34" t="s">
        <v>2932</v>
      </c>
    </row>
    <row r="3609" spans="2:9" ht="16">
      <c r="B3609" s="24" t="s">
        <v>77</v>
      </c>
      <c r="C3609" s="24" t="s">
        <v>13</v>
      </c>
      <c r="D3609" s="24" t="s">
        <v>2053</v>
      </c>
      <c r="E3609" s="24" t="s">
        <v>2933</v>
      </c>
      <c r="F3609" s="24" t="s">
        <v>9</v>
      </c>
      <c r="G3609" s="24" t="s">
        <v>8</v>
      </c>
      <c r="H3609" s="24" t="s">
        <v>1260</v>
      </c>
      <c r="I3609" s="27">
        <v>670.67</v>
      </c>
    </row>
    <row r="3610" spans="1:9" ht="16">
      <c r="A3610" s="35" t="s">
        <v>81</v>
      </c>
      <c r="I3610" s="28">
        <f>I3608+I3609</f>
        <v>670.67</v>
      </c>
    </row>
    <row r="3611" spans="1:1" ht="16">
      <c r="A3611" s="34" t="s">
        <v>2932</v>
      </c>
    </row>
    <row r="3612" spans="2:9" ht="16">
      <c r="B3612" s="24" t="s">
        <v>21</v>
      </c>
      <c r="C3612" s="24" t="s">
        <v>141</v>
      </c>
      <c r="D3612" s="24" t="s">
        <v>1944</v>
      </c>
      <c r="E3612" s="24" t="s">
        <v>8</v>
      </c>
      <c r="F3612" s="24" t="s">
        <v>9</v>
      </c>
      <c r="G3612" s="24" t="s">
        <v>8</v>
      </c>
      <c r="H3612" s="24" t="s">
        <v>2890</v>
      </c>
      <c r="I3612" s="27">
        <v>-990.81</v>
      </c>
    </row>
    <row r="3613" spans="2:9" ht="16">
      <c r="B3613" s="24" t="s">
        <v>21</v>
      </c>
      <c r="C3613" s="24" t="s">
        <v>13</v>
      </c>
      <c r="D3613" s="24" t="s">
        <v>2477</v>
      </c>
      <c r="E3613" s="24" t="s">
        <v>2934</v>
      </c>
      <c r="F3613" s="24" t="s">
        <v>9</v>
      </c>
      <c r="G3613" s="24" t="s">
        <v>8</v>
      </c>
      <c r="H3613" s="24" t="s">
        <v>2935</v>
      </c>
      <c r="I3613" s="27">
        <v>196.87</v>
      </c>
    </row>
    <row r="3614" spans="2:9" ht="16">
      <c r="B3614" s="24" t="s">
        <v>8</v>
      </c>
      <c r="C3614" s="24" t="s">
        <v>6</v>
      </c>
      <c r="D3614" s="24" t="s">
        <v>1991</v>
      </c>
      <c r="E3614" s="24" t="s">
        <v>8</v>
      </c>
      <c r="F3614" s="24" t="s">
        <v>9</v>
      </c>
      <c r="G3614" s="24" t="s">
        <v>8</v>
      </c>
      <c r="H3614" s="24" t="s">
        <v>2936</v>
      </c>
      <c r="I3614" s="27">
        <v>461.74</v>
      </c>
    </row>
    <row r="3615" spans="2:9" ht="16">
      <c r="B3615" s="24" t="s">
        <v>86</v>
      </c>
      <c r="C3615" s="24" t="s">
        <v>13</v>
      </c>
      <c r="D3615" s="24" t="s">
        <v>2439</v>
      </c>
      <c r="E3615" s="24" t="s">
        <v>2937</v>
      </c>
      <c r="F3615" s="24" t="s">
        <v>9</v>
      </c>
      <c r="G3615" s="24" t="s">
        <v>8</v>
      </c>
      <c r="H3615" s="24" t="s">
        <v>1976</v>
      </c>
      <c r="I3615" s="27">
        <v>351.38</v>
      </c>
    </row>
    <row r="3616" spans="2:9" ht="16">
      <c r="B3616" s="24" t="s">
        <v>21</v>
      </c>
      <c r="C3616" s="24" t="s">
        <v>13</v>
      </c>
      <c r="D3616" s="24" t="s">
        <v>1684</v>
      </c>
      <c r="E3616" s="24" t="s">
        <v>2938</v>
      </c>
      <c r="F3616" s="24" t="s">
        <v>9</v>
      </c>
      <c r="G3616" s="24" t="s">
        <v>8</v>
      </c>
      <c r="H3616" s="24" t="s">
        <v>837</v>
      </c>
      <c r="I3616" s="27">
        <v>275.48</v>
      </c>
    </row>
    <row r="3617" spans="2:9" ht="16">
      <c r="B3617" s="24" t="s">
        <v>155</v>
      </c>
      <c r="C3617" s="24" t="s">
        <v>13</v>
      </c>
      <c r="D3617" s="24" t="s">
        <v>2041</v>
      </c>
      <c r="E3617" s="24" t="s">
        <v>2939</v>
      </c>
      <c r="F3617" s="24" t="s">
        <v>9</v>
      </c>
      <c r="G3617" s="24" t="s">
        <v>8</v>
      </c>
      <c r="H3617" s="24" t="s">
        <v>2940</v>
      </c>
      <c r="I3617" s="27">
        <v>40.36</v>
      </c>
    </row>
    <row r="3618" spans="2:9" ht="16">
      <c r="B3618" s="24" t="s">
        <v>21</v>
      </c>
      <c r="C3618" s="24" t="s">
        <v>13</v>
      </c>
      <c r="D3618" s="24" t="s">
        <v>1991</v>
      </c>
      <c r="E3618" s="24" t="s">
        <v>2941</v>
      </c>
      <c r="F3618" s="24" t="s">
        <v>9</v>
      </c>
      <c r="G3618" s="24" t="s">
        <v>8</v>
      </c>
      <c r="H3618" s="24" t="s">
        <v>2942</v>
      </c>
      <c r="I3618" s="27">
        <v>2055.78</v>
      </c>
    </row>
    <row r="3619" spans="2:9" ht="16">
      <c r="B3619" s="24" t="s">
        <v>21</v>
      </c>
      <c r="C3619" s="24" t="s">
        <v>13</v>
      </c>
      <c r="D3619" s="24" t="s">
        <v>2053</v>
      </c>
      <c r="E3619" s="24" t="s">
        <v>2943</v>
      </c>
      <c r="F3619" s="24" t="s">
        <v>9</v>
      </c>
      <c r="G3619" s="24" t="s">
        <v>8</v>
      </c>
      <c r="H3619" s="24" t="s">
        <v>2944</v>
      </c>
      <c r="I3619" s="27">
        <v>5124.14</v>
      </c>
    </row>
    <row r="3620" spans="2:9" ht="16">
      <c r="B3620" s="24" t="s">
        <v>21</v>
      </c>
      <c r="C3620" s="24" t="s">
        <v>13</v>
      </c>
      <c r="D3620" s="24" t="s">
        <v>2053</v>
      </c>
      <c r="E3620" s="24" t="s">
        <v>2945</v>
      </c>
      <c r="F3620" s="24" t="s">
        <v>9</v>
      </c>
      <c r="G3620" s="24" t="s">
        <v>8</v>
      </c>
      <c r="H3620" s="24" t="s">
        <v>2946</v>
      </c>
      <c r="I3620" s="27">
        <v>654.08</v>
      </c>
    </row>
    <row r="3621" spans="2:9" ht="16">
      <c r="B3621" s="24" t="s">
        <v>8</v>
      </c>
      <c r="C3621" s="24" t="s">
        <v>6</v>
      </c>
      <c r="D3621" s="24" t="s">
        <v>1672</v>
      </c>
      <c r="E3621" s="24" t="s">
        <v>8</v>
      </c>
      <c r="F3621" s="24" t="s">
        <v>9</v>
      </c>
      <c r="G3621" s="24" t="s">
        <v>8</v>
      </c>
      <c r="H3621" s="24" t="s">
        <v>2947</v>
      </c>
      <c r="I3621" s="27">
        <v>51.45</v>
      </c>
    </row>
    <row r="3622" spans="2:9" ht="16">
      <c r="B3622" s="24" t="s">
        <v>8</v>
      </c>
      <c r="C3622" s="24" t="s">
        <v>6</v>
      </c>
      <c r="D3622" s="24" t="s">
        <v>1672</v>
      </c>
      <c r="E3622" s="24" t="s">
        <v>8</v>
      </c>
      <c r="F3622" s="24" t="s">
        <v>9</v>
      </c>
      <c r="G3622" s="24" t="s">
        <v>8</v>
      </c>
      <c r="H3622" s="24" t="s">
        <v>2913</v>
      </c>
      <c r="I3622" s="27">
        <v>42.07</v>
      </c>
    </row>
    <row r="3623" spans="2:9" ht="16">
      <c r="B3623" s="24" t="s">
        <v>86</v>
      </c>
      <c r="C3623" s="24" t="s">
        <v>13</v>
      </c>
      <c r="D3623" s="24" t="s">
        <v>2948</v>
      </c>
      <c r="E3623" s="24" t="s">
        <v>2949</v>
      </c>
      <c r="F3623" s="24" t="s">
        <v>9</v>
      </c>
      <c r="G3623" s="24" t="s">
        <v>8</v>
      </c>
      <c r="H3623" s="24" t="s">
        <v>2950</v>
      </c>
      <c r="I3623" s="27">
        <v>342.25</v>
      </c>
    </row>
    <row r="3624" spans="1:9" ht="16">
      <c r="A3624" s="35" t="s">
        <v>40</v>
      </c>
      <c r="I3624" s="28">
        <f>I3611+I3612+I3613+I3614+I3615+I3616+I3617+I3618+I3619+I3620+I3621+I3622+I3623</f>
        <v>8604.79</v>
      </c>
    </row>
    <row r="3625" spans="1:1" ht="16">
      <c r="A3625" s="34" t="s">
        <v>2932</v>
      </c>
    </row>
    <row r="3626" spans="2:9" ht="16">
      <c r="B3626" s="24" t="s">
        <v>961</v>
      </c>
      <c r="C3626" s="24" t="s">
        <v>6</v>
      </c>
      <c r="D3626" s="24" t="s">
        <v>1655</v>
      </c>
      <c r="E3626" s="24" t="s">
        <v>8</v>
      </c>
      <c r="F3626" s="24" t="s">
        <v>9</v>
      </c>
      <c r="G3626" s="24" t="s">
        <v>8</v>
      </c>
      <c r="H3626" s="24" t="s">
        <v>53</v>
      </c>
      <c r="I3626" s="27">
        <v>260.3</v>
      </c>
    </row>
    <row r="3627" spans="1:9" ht="16">
      <c r="A3627" s="35" t="s">
        <v>1656</v>
      </c>
      <c r="I3627" s="28">
        <f>I3625+I3626</f>
        <v>260.3</v>
      </c>
    </row>
    <row r="3628" spans="1:1" ht="16">
      <c r="A3628" s="34" t="s">
        <v>2932</v>
      </c>
    </row>
    <row r="3629" spans="2:9" ht="16">
      <c r="B3629" s="24" t="s">
        <v>82</v>
      </c>
      <c r="C3629" s="24" t="s">
        <v>13</v>
      </c>
      <c r="D3629" s="24" t="s">
        <v>2630</v>
      </c>
      <c r="E3629" s="24" t="s">
        <v>2257</v>
      </c>
      <c r="F3629" s="24" t="s">
        <v>9</v>
      </c>
      <c r="G3629" s="24" t="s">
        <v>8</v>
      </c>
      <c r="H3629" s="24" t="s">
        <v>2951</v>
      </c>
      <c r="I3629" s="27">
        <v>400.0</v>
      </c>
    </row>
    <row r="3630" spans="1:9" ht="16">
      <c r="A3630" s="35" t="s">
        <v>1660</v>
      </c>
      <c r="I3630" s="28">
        <f>I3628+I3629</f>
        <v>400.0</v>
      </c>
    </row>
    <row r="3631" spans="1:1" ht="16">
      <c r="A3631" s="34" t="s">
        <v>2932</v>
      </c>
    </row>
    <row r="3632" spans="2:9" ht="16">
      <c r="B3632" s="24" t="s">
        <v>536</v>
      </c>
      <c r="C3632" s="24" t="s">
        <v>13</v>
      </c>
      <c r="D3632" s="24" t="s">
        <v>2093</v>
      </c>
      <c r="E3632" s="24" t="s">
        <v>2952</v>
      </c>
      <c r="F3632" s="24" t="s">
        <v>9</v>
      </c>
      <c r="G3632" s="24" t="s">
        <v>8</v>
      </c>
      <c r="H3632" s="24" t="s">
        <v>2953</v>
      </c>
      <c r="I3632" s="27">
        <v>18305.22</v>
      </c>
    </row>
    <row r="3633" spans="2:9" ht="16">
      <c r="B3633" s="24" t="s">
        <v>1382</v>
      </c>
      <c r="C3633" s="24" t="s">
        <v>13</v>
      </c>
      <c r="D3633" s="24" t="s">
        <v>2954</v>
      </c>
      <c r="E3633" s="24" t="s">
        <v>2955</v>
      </c>
      <c r="F3633" s="24" t="s">
        <v>9</v>
      </c>
      <c r="G3633" s="24" t="s">
        <v>8</v>
      </c>
      <c r="H3633" s="24" t="s">
        <v>2956</v>
      </c>
      <c r="I3633" s="27">
        <v>8311.5</v>
      </c>
    </row>
    <row r="3634" spans="2:9" ht="16">
      <c r="B3634" s="24" t="s">
        <v>536</v>
      </c>
      <c r="C3634" s="24" t="s">
        <v>13</v>
      </c>
      <c r="D3634" s="24" t="s">
        <v>2104</v>
      </c>
      <c r="E3634" s="24" t="s">
        <v>2957</v>
      </c>
      <c r="F3634" s="24" t="s">
        <v>9</v>
      </c>
      <c r="G3634" s="24" t="s">
        <v>8</v>
      </c>
      <c r="H3634" s="24" t="s">
        <v>2958</v>
      </c>
      <c r="I3634" s="27">
        <v>1133.45</v>
      </c>
    </row>
    <row r="3635" spans="2:9" ht="16">
      <c r="B3635" s="24" t="s">
        <v>536</v>
      </c>
      <c r="C3635" s="24" t="s">
        <v>13</v>
      </c>
      <c r="D3635" s="24" t="s">
        <v>2540</v>
      </c>
      <c r="E3635" s="24" t="s">
        <v>2959</v>
      </c>
      <c r="F3635" s="24" t="s">
        <v>9</v>
      </c>
      <c r="G3635" s="24" t="s">
        <v>8</v>
      </c>
      <c r="H3635" s="24" t="s">
        <v>2960</v>
      </c>
      <c r="I3635" s="27">
        <v>3230.33</v>
      </c>
    </row>
    <row r="3636" spans="2:9" ht="16">
      <c r="B3636" s="24" t="s">
        <v>1382</v>
      </c>
      <c r="C3636" s="24" t="s">
        <v>13</v>
      </c>
      <c r="D3636" s="24" t="s">
        <v>2954</v>
      </c>
      <c r="E3636" s="24" t="s">
        <v>2955</v>
      </c>
      <c r="F3636" s="24" t="s">
        <v>9</v>
      </c>
      <c r="G3636" s="24" t="s">
        <v>8</v>
      </c>
      <c r="H3636" s="24" t="s">
        <v>2961</v>
      </c>
      <c r="I3636" s="27">
        <v>923.5</v>
      </c>
    </row>
    <row r="3637" spans="2:9" ht="16">
      <c r="B3637" s="24" t="s">
        <v>1382</v>
      </c>
      <c r="C3637" s="24" t="s">
        <v>13</v>
      </c>
      <c r="D3637" s="24" t="s">
        <v>2962</v>
      </c>
      <c r="E3637" s="24" t="s">
        <v>2963</v>
      </c>
      <c r="F3637" s="24" t="s">
        <v>9</v>
      </c>
      <c r="G3637" s="24" t="s">
        <v>8</v>
      </c>
      <c r="H3637" s="24" t="s">
        <v>2964</v>
      </c>
      <c r="I3637" s="27">
        <v>255.0</v>
      </c>
    </row>
    <row r="3638" spans="1:9" ht="16">
      <c r="A3638" s="35" t="s">
        <v>164</v>
      </c>
      <c r="I3638" s="28">
        <f>I3631+I3632+I3633+I3634+I3635+I3636+I3637</f>
        <v>32159.0</v>
      </c>
    </row>
    <row r="3639" spans="1:1" ht="16">
      <c r="A3639" s="34" t="s">
        <v>2932</v>
      </c>
    </row>
    <row r="3640" spans="2:9" ht="16">
      <c r="B3640" s="24" t="s">
        <v>45</v>
      </c>
      <c r="C3640" s="24" t="s">
        <v>13</v>
      </c>
      <c r="D3640" s="24" t="s">
        <v>2589</v>
      </c>
      <c r="E3640" s="24" t="s">
        <v>8</v>
      </c>
      <c r="F3640" s="24" t="s">
        <v>9</v>
      </c>
      <c r="G3640" s="24" t="s">
        <v>8</v>
      </c>
      <c r="H3640" s="24" t="s">
        <v>2932</v>
      </c>
      <c r="I3640" s="27">
        <v>132.4</v>
      </c>
    </row>
    <row r="3641" spans="2:9" ht="16">
      <c r="B3641" s="24" t="s">
        <v>45</v>
      </c>
      <c r="C3641" s="24" t="s">
        <v>13</v>
      </c>
      <c r="D3641" s="24" t="s">
        <v>2846</v>
      </c>
      <c r="E3641" s="24" t="s">
        <v>8</v>
      </c>
      <c r="F3641" s="24" t="s">
        <v>9</v>
      </c>
      <c r="G3641" s="24" t="s">
        <v>8</v>
      </c>
      <c r="H3641" s="24" t="s">
        <v>2932</v>
      </c>
      <c r="I3641" s="27">
        <v>103.27</v>
      </c>
    </row>
    <row r="3642" spans="2:9" ht="16">
      <c r="B3642" s="24" t="s">
        <v>8</v>
      </c>
      <c r="C3642" s="24" t="s">
        <v>6</v>
      </c>
      <c r="D3642" s="24" t="s">
        <v>1672</v>
      </c>
      <c r="E3642" s="24" t="s">
        <v>8</v>
      </c>
      <c r="F3642" s="24" t="s">
        <v>9</v>
      </c>
      <c r="G3642" s="24" t="s">
        <v>8</v>
      </c>
      <c r="H3642" s="24" t="s">
        <v>47</v>
      </c>
      <c r="I3642" s="27">
        <v>3770.09</v>
      </c>
    </row>
    <row r="3643" spans="2:9" ht="16">
      <c r="B3643" s="24" t="s">
        <v>45</v>
      </c>
      <c r="C3643" s="24" t="s">
        <v>13</v>
      </c>
      <c r="D3643" s="24" t="s">
        <v>1674</v>
      </c>
      <c r="E3643" s="24" t="s">
        <v>8</v>
      </c>
      <c r="F3643" s="24" t="s">
        <v>9</v>
      </c>
      <c r="G3643" s="24" t="s">
        <v>8</v>
      </c>
      <c r="H3643" s="24" t="s">
        <v>8</v>
      </c>
      <c r="I3643" s="27">
        <v>1187.41</v>
      </c>
    </row>
    <row r="3644" spans="2:9" ht="16">
      <c r="B3644" s="24" t="s">
        <v>45</v>
      </c>
      <c r="C3644" s="24" t="s">
        <v>13</v>
      </c>
      <c r="D3644" s="24" t="s">
        <v>2137</v>
      </c>
      <c r="E3644" s="24" t="s">
        <v>2138</v>
      </c>
      <c r="F3644" s="24" t="s">
        <v>9</v>
      </c>
      <c r="G3644" s="24" t="s">
        <v>8</v>
      </c>
      <c r="H3644" s="24" t="s">
        <v>8</v>
      </c>
      <c r="I3644" s="27">
        <v>4380.21</v>
      </c>
    </row>
    <row r="3645" spans="2:9" ht="16">
      <c r="B3645" s="24" t="s">
        <v>45</v>
      </c>
      <c r="C3645" s="24" t="s">
        <v>13</v>
      </c>
      <c r="D3645" s="24" t="s">
        <v>2135</v>
      </c>
      <c r="E3645" s="24" t="s">
        <v>2136</v>
      </c>
      <c r="F3645" s="24" t="s">
        <v>9</v>
      </c>
      <c r="G3645" s="24" t="s">
        <v>8</v>
      </c>
      <c r="H3645" s="24" t="s">
        <v>8</v>
      </c>
      <c r="I3645" s="27">
        <v>503.12</v>
      </c>
    </row>
    <row r="3646" spans="1:9" ht="16">
      <c r="A3646" s="35" t="s">
        <v>50</v>
      </c>
      <c r="I3646" s="28">
        <f>I3639+I3640+I3641+I3642+I3643+I3644+I3645</f>
        <v>10076.500000000002</v>
      </c>
    </row>
    <row r="3647" spans="1:1" ht="16">
      <c r="A3647" s="34" t="s">
        <v>2932</v>
      </c>
    </row>
    <row r="3648" spans="2:9" ht="16">
      <c r="B3648" s="24" t="s">
        <v>961</v>
      </c>
      <c r="C3648" s="24" t="s">
        <v>6</v>
      </c>
      <c r="D3648" s="24" t="s">
        <v>1773</v>
      </c>
      <c r="E3648" s="24" t="s">
        <v>8</v>
      </c>
      <c r="F3648" s="24" t="s">
        <v>9</v>
      </c>
      <c r="G3648" s="24" t="s">
        <v>8</v>
      </c>
      <c r="H3648" s="24" t="s">
        <v>2965</v>
      </c>
      <c r="I3648" s="27">
        <v>-305.53</v>
      </c>
    </row>
    <row r="3649" spans="2:9" ht="16">
      <c r="B3649" s="24" t="s">
        <v>961</v>
      </c>
      <c r="C3649" s="24" t="s">
        <v>6</v>
      </c>
      <c r="D3649" s="24" t="s">
        <v>1192</v>
      </c>
      <c r="E3649" s="24" t="s">
        <v>8</v>
      </c>
      <c r="F3649" s="24" t="s">
        <v>9</v>
      </c>
      <c r="G3649" s="24" t="s">
        <v>8</v>
      </c>
      <c r="H3649" s="24" t="s">
        <v>2966</v>
      </c>
      <c r="I3649" s="27">
        <v>268.21</v>
      </c>
    </row>
    <row r="3650" spans="2:9" ht="16">
      <c r="B3650" s="24" t="s">
        <v>961</v>
      </c>
      <c r="C3650" s="24" t="s">
        <v>6</v>
      </c>
      <c r="D3650" s="24" t="s">
        <v>2604</v>
      </c>
      <c r="E3650" s="24" t="s">
        <v>8</v>
      </c>
      <c r="F3650" s="24" t="s">
        <v>9</v>
      </c>
      <c r="G3650" s="24" t="s">
        <v>8</v>
      </c>
      <c r="H3650" s="24" t="s">
        <v>2605</v>
      </c>
      <c r="I3650" s="27">
        <v>870.8</v>
      </c>
    </row>
    <row r="3651" spans="2:9" ht="16">
      <c r="B3651" s="24" t="s">
        <v>961</v>
      </c>
      <c r="C3651" s="24" t="s">
        <v>6</v>
      </c>
      <c r="D3651" s="24" t="s">
        <v>2606</v>
      </c>
      <c r="E3651" s="24" t="s">
        <v>8</v>
      </c>
      <c r="F3651" s="24" t="s">
        <v>9</v>
      </c>
      <c r="G3651" s="24" t="s">
        <v>8</v>
      </c>
      <c r="H3651" s="24" t="s">
        <v>2607</v>
      </c>
      <c r="I3651" s="27">
        <v>170.13</v>
      </c>
    </row>
    <row r="3652" spans="2:9" ht="16">
      <c r="B3652" s="24" t="s">
        <v>961</v>
      </c>
      <c r="C3652" s="24" t="s">
        <v>6</v>
      </c>
      <c r="D3652" s="24" t="s">
        <v>2142</v>
      </c>
      <c r="E3652" s="24" t="s">
        <v>8</v>
      </c>
      <c r="F3652" s="24" t="s">
        <v>9</v>
      </c>
      <c r="G3652" s="24" t="s">
        <v>8</v>
      </c>
      <c r="H3652" s="24" t="s">
        <v>2143</v>
      </c>
      <c r="I3652" s="27">
        <v>169.22</v>
      </c>
    </row>
    <row r="3653" spans="2:9" ht="16">
      <c r="B3653" s="24" t="s">
        <v>961</v>
      </c>
      <c r="C3653" s="24" t="s">
        <v>6</v>
      </c>
      <c r="D3653" s="24" t="s">
        <v>2967</v>
      </c>
      <c r="E3653" s="24" t="s">
        <v>8</v>
      </c>
      <c r="F3653" s="24" t="s">
        <v>9</v>
      </c>
      <c r="G3653" s="24" t="s">
        <v>8</v>
      </c>
      <c r="H3653" s="24" t="s">
        <v>2968</v>
      </c>
      <c r="I3653" s="27">
        <v>200.38</v>
      </c>
    </row>
    <row r="3654" spans="2:9" ht="16">
      <c r="B3654" s="24" t="s">
        <v>961</v>
      </c>
      <c r="C3654" s="24" t="s">
        <v>6</v>
      </c>
      <c r="D3654" s="24" t="s">
        <v>1655</v>
      </c>
      <c r="E3654" s="24" t="s">
        <v>8</v>
      </c>
      <c r="F3654" s="24" t="s">
        <v>9</v>
      </c>
      <c r="G3654" s="24" t="s">
        <v>8</v>
      </c>
      <c r="H3654" s="24" t="s">
        <v>53</v>
      </c>
      <c r="I3654" s="27">
        <v>2096.48</v>
      </c>
    </row>
    <row r="3655" spans="2:9" ht="16">
      <c r="B3655" s="24" t="s">
        <v>961</v>
      </c>
      <c r="C3655" s="24" t="s">
        <v>6</v>
      </c>
      <c r="D3655" s="24" t="s">
        <v>1686</v>
      </c>
      <c r="E3655" s="24" t="s">
        <v>8</v>
      </c>
      <c r="F3655" s="24" t="s">
        <v>9</v>
      </c>
      <c r="G3655" s="24" t="s">
        <v>8</v>
      </c>
      <c r="H3655" s="24" t="s">
        <v>53</v>
      </c>
      <c r="I3655" s="27">
        <v>2806.89</v>
      </c>
    </row>
    <row r="3656" spans="2:9" ht="16">
      <c r="B3656" s="24" t="s">
        <v>961</v>
      </c>
      <c r="C3656" s="24" t="s">
        <v>6</v>
      </c>
      <c r="D3656" s="24" t="s">
        <v>1988</v>
      </c>
      <c r="E3656" s="24" t="s">
        <v>8</v>
      </c>
      <c r="F3656" s="24" t="s">
        <v>9</v>
      </c>
      <c r="G3656" s="24" t="s">
        <v>8</v>
      </c>
      <c r="H3656" s="24" t="s">
        <v>53</v>
      </c>
      <c r="I3656" s="27">
        <v>3149.44</v>
      </c>
    </row>
    <row r="3657" spans="2:9" ht="16">
      <c r="B3657" s="24" t="s">
        <v>961</v>
      </c>
      <c r="C3657" s="24" t="s">
        <v>6</v>
      </c>
      <c r="D3657" s="24" t="s">
        <v>2053</v>
      </c>
      <c r="E3657" s="24" t="s">
        <v>8</v>
      </c>
      <c r="F3657" s="24" t="s">
        <v>9</v>
      </c>
      <c r="G3657" s="24" t="s">
        <v>8</v>
      </c>
      <c r="H3657" s="24" t="s">
        <v>53</v>
      </c>
      <c r="I3657" s="27">
        <v>2841.34</v>
      </c>
    </row>
    <row r="3658" spans="2:9" ht="16">
      <c r="B3658" s="24" t="s">
        <v>961</v>
      </c>
      <c r="C3658" s="24" t="s">
        <v>6</v>
      </c>
      <c r="D3658" s="24" t="s">
        <v>2145</v>
      </c>
      <c r="E3658" s="24" t="s">
        <v>8</v>
      </c>
      <c r="F3658" s="24" t="s">
        <v>9</v>
      </c>
      <c r="G3658" s="24" t="s">
        <v>8</v>
      </c>
      <c r="H3658" s="24" t="s">
        <v>53</v>
      </c>
      <c r="I3658" s="27">
        <v>3523.27</v>
      </c>
    </row>
    <row r="3659" spans="2:9" ht="16">
      <c r="B3659" s="24" t="s">
        <v>961</v>
      </c>
      <c r="C3659" s="24" t="s">
        <v>6</v>
      </c>
      <c r="D3659" s="24" t="s">
        <v>1773</v>
      </c>
      <c r="E3659" s="24" t="s">
        <v>8</v>
      </c>
      <c r="F3659" s="24" t="s">
        <v>9</v>
      </c>
      <c r="G3659" s="24" t="s">
        <v>8</v>
      </c>
      <c r="H3659" s="24" t="s">
        <v>53</v>
      </c>
      <c r="I3659" s="27">
        <v>2399.42</v>
      </c>
    </row>
    <row r="3660" spans="2:9" ht="16">
      <c r="B3660" s="24" t="s">
        <v>961</v>
      </c>
      <c r="C3660" s="24" t="s">
        <v>6</v>
      </c>
      <c r="D3660" s="24" t="s">
        <v>2144</v>
      </c>
      <c r="E3660" s="24" t="s">
        <v>8</v>
      </c>
      <c r="F3660" s="24" t="s">
        <v>9</v>
      </c>
      <c r="G3660" s="24" t="s">
        <v>8</v>
      </c>
      <c r="H3660" s="24" t="s">
        <v>53</v>
      </c>
      <c r="I3660" s="27">
        <v>566.38</v>
      </c>
    </row>
    <row r="3661" spans="2:9" ht="16">
      <c r="B3661" s="24" t="s">
        <v>8</v>
      </c>
      <c r="C3661" s="24" t="s">
        <v>150</v>
      </c>
      <c r="D3661" s="24" t="s">
        <v>2147</v>
      </c>
      <c r="E3661" s="24" t="s">
        <v>2969</v>
      </c>
      <c r="F3661" s="24" t="s">
        <v>9</v>
      </c>
      <c r="G3661" s="24" t="s">
        <v>8</v>
      </c>
      <c r="H3661" s="24" t="s">
        <v>2970</v>
      </c>
      <c r="I3661" s="27">
        <v>305.53</v>
      </c>
    </row>
    <row r="3662" spans="2:9" ht="16">
      <c r="B3662" s="24" t="s">
        <v>961</v>
      </c>
      <c r="C3662" s="24" t="s">
        <v>6</v>
      </c>
      <c r="D3662" s="24" t="s">
        <v>2159</v>
      </c>
      <c r="E3662" s="24" t="s">
        <v>8</v>
      </c>
      <c r="F3662" s="24" t="s">
        <v>9</v>
      </c>
      <c r="G3662" s="24" t="s">
        <v>8</v>
      </c>
      <c r="H3662" s="24" t="s">
        <v>8</v>
      </c>
      <c r="I3662" s="27">
        <v>769.68</v>
      </c>
    </row>
    <row r="3663" spans="1:9" ht="16">
      <c r="A3663" s="35" t="s">
        <v>67</v>
      </c>
      <c r="I3663" s="28">
        <f>I3647+I3648+I3649+I3650+I3651+I3652+I3653+I3654+I3655+I3656+I3657+I3658+I3659+I3660+I3661+I3662</f>
        <v>19831.640000000003</v>
      </c>
    </row>
    <row r="3664" spans="1:9" ht="16">
      <c r="A3664" s="36" t="s">
        <v>2971</v>
      </c>
      <c r="I3664" s="28">
        <f>I3610+I3624+I3627+I3630+I3638+I3646+I3663</f>
        <v>72002.90000000001</v>
      </c>
    </row>
    <row r="3665" spans="1:1" ht="16">
      <c r="A3665" s="33" t="s">
        <v>324</v>
      </c>
    </row>
    <row r="3666" spans="1:1" ht="16">
      <c r="A3666" s="34" t="s">
        <v>2972</v>
      </c>
    </row>
    <row r="3667" spans="2:9" ht="16">
      <c r="B3667" s="24" t="s">
        <v>8</v>
      </c>
      <c r="C3667" s="24" t="s">
        <v>6</v>
      </c>
      <c r="D3667" s="24" t="s">
        <v>1995</v>
      </c>
      <c r="E3667" s="24" t="s">
        <v>8</v>
      </c>
      <c r="F3667" s="24" t="s">
        <v>9</v>
      </c>
      <c r="G3667" s="24" t="s">
        <v>8</v>
      </c>
      <c r="H3667" s="24" t="s">
        <v>2973</v>
      </c>
      <c r="I3667" s="27">
        <v>25.46</v>
      </c>
    </row>
    <row r="3668" spans="1:9" ht="16">
      <c r="A3668" s="35" t="s">
        <v>40</v>
      </c>
      <c r="I3668" s="28">
        <f>I3666+I3667</f>
        <v>25.46</v>
      </c>
    </row>
    <row r="3669" spans="1:1" ht="16">
      <c r="A3669" s="34" t="s">
        <v>2972</v>
      </c>
    </row>
    <row r="3670" spans="2:9" ht="16">
      <c r="B3670" s="24" t="s">
        <v>45</v>
      </c>
      <c r="C3670" s="24" t="s">
        <v>13</v>
      </c>
      <c r="D3670" s="24" t="s">
        <v>1674</v>
      </c>
      <c r="E3670" s="24" t="s">
        <v>8</v>
      </c>
      <c r="F3670" s="24" t="s">
        <v>9</v>
      </c>
      <c r="G3670" s="24" t="s">
        <v>8</v>
      </c>
      <c r="H3670" s="24" t="s">
        <v>8</v>
      </c>
      <c r="I3670" s="27">
        <v>395.8</v>
      </c>
    </row>
    <row r="3671" spans="1:9" ht="16">
      <c r="A3671" s="35" t="s">
        <v>50</v>
      </c>
      <c r="I3671" s="28">
        <f>I3669+I3670</f>
        <v>395.8</v>
      </c>
    </row>
    <row r="3672" spans="1:1" ht="16">
      <c r="A3672" s="34" t="s">
        <v>2972</v>
      </c>
    </row>
    <row r="3673" spans="2:9" ht="16">
      <c r="B3673" s="24" t="s">
        <v>961</v>
      </c>
      <c r="C3673" s="24" t="s">
        <v>6</v>
      </c>
      <c r="D3673" s="24" t="s">
        <v>1686</v>
      </c>
      <c r="E3673" s="24" t="s">
        <v>8</v>
      </c>
      <c r="F3673" s="24" t="s">
        <v>9</v>
      </c>
      <c r="G3673" s="24" t="s">
        <v>8</v>
      </c>
      <c r="H3673" s="24" t="s">
        <v>53</v>
      </c>
      <c r="I3673" s="27">
        <v>834.68</v>
      </c>
    </row>
    <row r="3674" spans="1:9" ht="16">
      <c r="A3674" s="35" t="s">
        <v>67</v>
      </c>
      <c r="I3674" s="28">
        <f>I3672+I3673</f>
        <v>834.68</v>
      </c>
    </row>
    <row r="3675" spans="1:9" ht="16">
      <c r="A3675" s="36" t="s">
        <v>2974</v>
      </c>
      <c r="I3675" s="28">
        <f>I3668+I3671+I3674</f>
        <v>1255.94</v>
      </c>
    </row>
    <row r="3676" spans="1:1" ht="16">
      <c r="A3676" s="33" t="s">
        <v>324</v>
      </c>
    </row>
    <row r="3677" spans="1:1" ht="16">
      <c r="A3677" s="34" t="s">
        <v>2975</v>
      </c>
    </row>
    <row r="3678" spans="2:9" ht="16">
      <c r="B3678" s="24" t="s">
        <v>36</v>
      </c>
      <c r="C3678" s="24" t="s">
        <v>6</v>
      </c>
      <c r="D3678" s="24" t="s">
        <v>2801</v>
      </c>
      <c r="E3678" s="24" t="s">
        <v>8</v>
      </c>
      <c r="F3678" s="24" t="s">
        <v>9</v>
      </c>
      <c r="G3678" s="24" t="s">
        <v>8</v>
      </c>
      <c r="H3678" s="24" t="s">
        <v>2976</v>
      </c>
      <c r="I3678" s="27">
        <v>35.42</v>
      </c>
    </row>
    <row r="3679" spans="1:9" ht="16">
      <c r="A3679" s="35" t="s">
        <v>40</v>
      </c>
      <c r="I3679" s="28">
        <f>I3677+I3678</f>
        <v>35.42</v>
      </c>
    </row>
    <row r="3680" spans="1:1" ht="16">
      <c r="A3680" s="34" t="s">
        <v>2975</v>
      </c>
    </row>
    <row r="3681" spans="2:9" ht="16">
      <c r="B3681" s="24" t="s">
        <v>961</v>
      </c>
      <c r="C3681" s="24" t="s">
        <v>6</v>
      </c>
      <c r="D3681" s="24" t="s">
        <v>1655</v>
      </c>
      <c r="E3681" s="24" t="s">
        <v>8</v>
      </c>
      <c r="F3681" s="24" t="s">
        <v>9</v>
      </c>
      <c r="G3681" s="24" t="s">
        <v>8</v>
      </c>
      <c r="H3681" s="24" t="s">
        <v>53</v>
      </c>
      <c r="I3681" s="27">
        <v>10.53</v>
      </c>
    </row>
    <row r="3682" spans="1:9" ht="16">
      <c r="A3682" s="35" t="s">
        <v>1656</v>
      </c>
      <c r="I3682" s="28">
        <f>I3680+I3681</f>
        <v>10.53</v>
      </c>
    </row>
    <row r="3683" spans="1:1" ht="16">
      <c r="A3683" s="34" t="s">
        <v>2975</v>
      </c>
    </row>
    <row r="3684" spans="2:9" ht="16">
      <c r="B3684" s="24" t="s">
        <v>45</v>
      </c>
      <c r="C3684" s="24" t="s">
        <v>13</v>
      </c>
      <c r="D3684" s="24" t="s">
        <v>2137</v>
      </c>
      <c r="E3684" s="24" t="s">
        <v>2138</v>
      </c>
      <c r="F3684" s="24" t="s">
        <v>9</v>
      </c>
      <c r="G3684" s="24" t="s">
        <v>8</v>
      </c>
      <c r="H3684" s="24" t="s">
        <v>8</v>
      </c>
      <c r="I3684" s="27">
        <v>86.83</v>
      </c>
    </row>
    <row r="3685" spans="1:9" ht="16">
      <c r="A3685" s="35" t="s">
        <v>50</v>
      </c>
      <c r="I3685" s="28">
        <f>I3683+I3684</f>
        <v>86.83</v>
      </c>
    </row>
    <row r="3686" spans="1:1" ht="16">
      <c r="A3686" s="34" t="s">
        <v>2975</v>
      </c>
    </row>
    <row r="3687" spans="2:9" ht="16">
      <c r="B3687" s="24" t="s">
        <v>961</v>
      </c>
      <c r="C3687" s="24" t="s">
        <v>6</v>
      </c>
      <c r="D3687" s="24" t="s">
        <v>1655</v>
      </c>
      <c r="E3687" s="24" t="s">
        <v>8</v>
      </c>
      <c r="F3687" s="24" t="s">
        <v>9</v>
      </c>
      <c r="G3687" s="24" t="s">
        <v>8</v>
      </c>
      <c r="H3687" s="24" t="s">
        <v>53</v>
      </c>
      <c r="I3687" s="27">
        <v>137.49</v>
      </c>
    </row>
    <row r="3688" spans="1:9" ht="16">
      <c r="A3688" s="35" t="s">
        <v>67</v>
      </c>
      <c r="I3688" s="28">
        <f>I3686+I3687</f>
        <v>137.49</v>
      </c>
    </row>
    <row r="3689" spans="1:9" ht="16">
      <c r="A3689" s="36" t="s">
        <v>2977</v>
      </c>
      <c r="I3689" s="28">
        <f>I3679+I3682+I3685+I3688</f>
        <v>270.27</v>
      </c>
    </row>
    <row r="3690" spans="1:1" ht="16">
      <c r="A3690" s="33" t="s">
        <v>324</v>
      </c>
    </row>
    <row r="3691" spans="1:1" ht="16">
      <c r="A3691" s="34" t="s">
        <v>2978</v>
      </c>
    </row>
    <row r="3692" spans="2:9" ht="16">
      <c r="B3692" s="24" t="s">
        <v>2130</v>
      </c>
      <c r="C3692" s="24" t="s">
        <v>6</v>
      </c>
      <c r="D3692" s="24" t="s">
        <v>2147</v>
      </c>
      <c r="E3692" s="24" t="s">
        <v>8</v>
      </c>
      <c r="F3692" s="24" t="s">
        <v>9</v>
      </c>
      <c r="G3692" s="24" t="s">
        <v>8</v>
      </c>
      <c r="H3692" s="24" t="s">
        <v>2979</v>
      </c>
      <c r="I3692" s="27">
        <v>753.81</v>
      </c>
    </row>
    <row r="3693" spans="2:9" ht="16">
      <c r="B3693" s="24" t="s">
        <v>119</v>
      </c>
      <c r="C3693" s="24" t="s">
        <v>6</v>
      </c>
      <c r="D3693" s="24" t="s">
        <v>2980</v>
      </c>
      <c r="E3693" s="24" t="s">
        <v>8</v>
      </c>
      <c r="F3693" s="24" t="s">
        <v>9</v>
      </c>
      <c r="G3693" s="24" t="s">
        <v>8</v>
      </c>
      <c r="H3693" s="24" t="s">
        <v>2981</v>
      </c>
      <c r="I3693" s="27">
        <v>50.33</v>
      </c>
    </row>
    <row r="3694" spans="2:9" ht="16">
      <c r="B3694" s="24" t="s">
        <v>8</v>
      </c>
      <c r="C3694" s="24" t="s">
        <v>6</v>
      </c>
      <c r="D3694" s="24" t="s">
        <v>2159</v>
      </c>
      <c r="E3694" s="24" t="s">
        <v>8</v>
      </c>
      <c r="F3694" s="24" t="s">
        <v>9</v>
      </c>
      <c r="G3694" s="24" t="s">
        <v>8</v>
      </c>
      <c r="H3694" s="24" t="s">
        <v>2982</v>
      </c>
      <c r="I3694" s="27">
        <v>603.74</v>
      </c>
    </row>
    <row r="3695" spans="2:9" ht="16">
      <c r="B3695" s="24" t="s">
        <v>8</v>
      </c>
      <c r="C3695" s="24" t="s">
        <v>6</v>
      </c>
      <c r="D3695" s="24" t="s">
        <v>2159</v>
      </c>
      <c r="E3695" s="24" t="s">
        <v>8</v>
      </c>
      <c r="F3695" s="24" t="s">
        <v>9</v>
      </c>
      <c r="G3695" s="24" t="s">
        <v>8</v>
      </c>
      <c r="H3695" s="24" t="s">
        <v>2983</v>
      </c>
      <c r="I3695" s="27">
        <v>75.18</v>
      </c>
    </row>
    <row r="3696" spans="2:9" ht="16">
      <c r="B3696" s="24" t="s">
        <v>239</v>
      </c>
      <c r="C3696" s="24" t="s">
        <v>6</v>
      </c>
      <c r="D3696" s="24" t="s">
        <v>2159</v>
      </c>
      <c r="E3696" s="24" t="s">
        <v>8</v>
      </c>
      <c r="F3696" s="24" t="s">
        <v>9</v>
      </c>
      <c r="G3696" s="24" t="s">
        <v>8</v>
      </c>
      <c r="H3696" s="24" t="s">
        <v>2984</v>
      </c>
      <c r="I3696" s="27">
        <v>512.67</v>
      </c>
    </row>
    <row r="3697" spans="2:9" ht="16">
      <c r="B3697" s="24" t="s">
        <v>119</v>
      </c>
      <c r="C3697" s="24" t="s">
        <v>6</v>
      </c>
      <c r="D3697" s="24" t="s">
        <v>2560</v>
      </c>
      <c r="E3697" s="24" t="s">
        <v>8</v>
      </c>
      <c r="F3697" s="24" t="s">
        <v>9</v>
      </c>
      <c r="G3697" s="24" t="s">
        <v>8</v>
      </c>
      <c r="H3697" s="24" t="s">
        <v>524</v>
      </c>
      <c r="I3697" s="27">
        <v>464.9</v>
      </c>
    </row>
    <row r="3698" spans="2:9" ht="16">
      <c r="B3698" s="24" t="s">
        <v>119</v>
      </c>
      <c r="C3698" s="24" t="s">
        <v>6</v>
      </c>
      <c r="D3698" s="24" t="s">
        <v>1988</v>
      </c>
      <c r="E3698" s="24" t="s">
        <v>8</v>
      </c>
      <c r="F3698" s="24" t="s">
        <v>9</v>
      </c>
      <c r="G3698" s="24" t="s">
        <v>8</v>
      </c>
      <c r="H3698" s="24" t="s">
        <v>2985</v>
      </c>
      <c r="I3698" s="27">
        <v>1156.99</v>
      </c>
    </row>
    <row r="3699" spans="2:9" ht="16">
      <c r="B3699" s="24" t="s">
        <v>21</v>
      </c>
      <c r="C3699" s="24" t="s">
        <v>13</v>
      </c>
      <c r="D3699" s="24" t="s">
        <v>2053</v>
      </c>
      <c r="E3699" s="24" t="s">
        <v>2986</v>
      </c>
      <c r="F3699" s="24" t="s">
        <v>9</v>
      </c>
      <c r="G3699" s="24" t="s">
        <v>8</v>
      </c>
      <c r="H3699" s="24" t="s">
        <v>8</v>
      </c>
      <c r="I3699" s="27">
        <v>51.7</v>
      </c>
    </row>
    <row r="3700" spans="2:9" ht="16">
      <c r="B3700" s="24" t="s">
        <v>36</v>
      </c>
      <c r="C3700" s="24" t="s">
        <v>6</v>
      </c>
      <c r="D3700" s="24" t="s">
        <v>1674</v>
      </c>
      <c r="E3700" s="24" t="s">
        <v>8</v>
      </c>
      <c r="F3700" s="24" t="s">
        <v>9</v>
      </c>
      <c r="G3700" s="24" t="s">
        <v>8</v>
      </c>
      <c r="H3700" s="24" t="s">
        <v>8</v>
      </c>
      <c r="I3700" s="27">
        <v>259.63</v>
      </c>
    </row>
    <row r="3701" spans="1:9" ht="16">
      <c r="A3701" s="35" t="s">
        <v>40</v>
      </c>
      <c r="I3701" s="28">
        <f>I3691+I3692+I3693+I3694+I3695+I3696+I3697+I3698+I3699+I3700</f>
        <v>3928.95</v>
      </c>
    </row>
    <row r="3702" spans="1:1" ht="16">
      <c r="A3702" s="34" t="s">
        <v>2978</v>
      </c>
    </row>
    <row r="3703" spans="2:9" ht="16">
      <c r="B3703" s="24" t="s">
        <v>589</v>
      </c>
      <c r="C3703" s="24" t="s">
        <v>6</v>
      </c>
      <c r="D3703" s="24" t="s">
        <v>2668</v>
      </c>
      <c r="E3703" s="24" t="s">
        <v>8</v>
      </c>
      <c r="F3703" s="24" t="s">
        <v>42</v>
      </c>
      <c r="G3703" s="24" t="s">
        <v>8</v>
      </c>
      <c r="H3703" s="24" t="s">
        <v>2987</v>
      </c>
      <c r="I3703" s="27">
        <v>130.2</v>
      </c>
    </row>
    <row r="3704" spans="2:9" ht="16">
      <c r="B3704" s="24" t="s">
        <v>589</v>
      </c>
      <c r="C3704" s="24" t="s">
        <v>6</v>
      </c>
      <c r="D3704" s="24" t="s">
        <v>2668</v>
      </c>
      <c r="E3704" s="24" t="s">
        <v>8</v>
      </c>
      <c r="F3704" s="24" t="s">
        <v>42</v>
      </c>
      <c r="G3704" s="24" t="s">
        <v>8</v>
      </c>
      <c r="H3704" s="24" t="s">
        <v>2987</v>
      </c>
      <c r="I3704" s="27">
        <v>-130.2</v>
      </c>
    </row>
    <row r="3705" spans="1:9" ht="16">
      <c r="A3705" s="35" t="s">
        <v>666</v>
      </c>
      <c r="I3705" s="28">
        <f>I3702+I3703+I3704</f>
        <v>0.0</v>
      </c>
    </row>
    <row r="3706" spans="1:1" ht="16">
      <c r="A3706" s="34" t="s">
        <v>2978</v>
      </c>
    </row>
    <row r="3707" spans="2:9" ht="16">
      <c r="B3707" s="24" t="s">
        <v>961</v>
      </c>
      <c r="C3707" s="24" t="s">
        <v>6</v>
      </c>
      <c r="D3707" s="24" t="s">
        <v>1655</v>
      </c>
      <c r="E3707" s="24" t="s">
        <v>8</v>
      </c>
      <c r="F3707" s="24" t="s">
        <v>9</v>
      </c>
      <c r="G3707" s="24" t="s">
        <v>8</v>
      </c>
      <c r="H3707" s="24" t="s">
        <v>53</v>
      </c>
      <c r="I3707" s="27">
        <v>51.47</v>
      </c>
    </row>
    <row r="3708" spans="1:9" ht="16">
      <c r="A3708" s="35" t="s">
        <v>1656</v>
      </c>
      <c r="I3708" s="28">
        <f>I3706+I3707</f>
        <v>51.47</v>
      </c>
    </row>
    <row r="3709" spans="1:1" ht="16">
      <c r="A3709" s="34" t="s">
        <v>2978</v>
      </c>
    </row>
    <row r="3710" spans="2:9" ht="16">
      <c r="B3710" s="24" t="s">
        <v>36</v>
      </c>
      <c r="C3710" s="24" t="s">
        <v>6</v>
      </c>
      <c r="D3710" s="24" t="s">
        <v>2107</v>
      </c>
      <c r="E3710" s="24" t="s">
        <v>8</v>
      </c>
      <c r="F3710" s="24" t="s">
        <v>9</v>
      </c>
      <c r="G3710" s="24" t="s">
        <v>8</v>
      </c>
      <c r="H3710" s="24" t="s">
        <v>2988</v>
      </c>
      <c r="I3710" s="27">
        <v>188.64</v>
      </c>
    </row>
    <row r="3711" spans="1:9" ht="16">
      <c r="A3711" s="35" t="s">
        <v>267</v>
      </c>
      <c r="I3711" s="28">
        <f>I3709+I3710</f>
        <v>188.64</v>
      </c>
    </row>
    <row r="3712" spans="1:1" ht="16">
      <c r="A3712" s="34" t="s">
        <v>2978</v>
      </c>
    </row>
    <row r="3713" spans="2:9" ht="16">
      <c r="B3713" s="24" t="s">
        <v>2130</v>
      </c>
      <c r="C3713" s="24" t="s">
        <v>6</v>
      </c>
      <c r="D3713" s="24" t="s">
        <v>2477</v>
      </c>
      <c r="E3713" s="24" t="s">
        <v>8</v>
      </c>
      <c r="F3713" s="24" t="s">
        <v>9</v>
      </c>
      <c r="G3713" s="24" t="s">
        <v>8</v>
      </c>
      <c r="H3713" s="24" t="s">
        <v>2045</v>
      </c>
      <c r="I3713" s="27">
        <v>355.8</v>
      </c>
    </row>
    <row r="3714" spans="2:9" ht="16">
      <c r="B3714" s="24" t="s">
        <v>2130</v>
      </c>
      <c r="C3714" s="24" t="s">
        <v>6</v>
      </c>
      <c r="D3714" s="24" t="s">
        <v>2145</v>
      </c>
      <c r="E3714" s="24" t="s">
        <v>8</v>
      </c>
      <c r="F3714" s="24" t="s">
        <v>9</v>
      </c>
      <c r="G3714" s="24" t="s">
        <v>8</v>
      </c>
      <c r="H3714" s="24" t="s">
        <v>2045</v>
      </c>
      <c r="I3714" s="27">
        <v>507.99</v>
      </c>
    </row>
    <row r="3715" spans="1:9" ht="16">
      <c r="A3715" s="35" t="s">
        <v>433</v>
      </c>
      <c r="I3715" s="28">
        <f>I3712+I3713+I3714</f>
        <v>863.79</v>
      </c>
    </row>
    <row r="3716" spans="1:1" ht="16">
      <c r="A3716" s="34" t="s">
        <v>2978</v>
      </c>
    </row>
    <row r="3717" spans="2:9" ht="16">
      <c r="B3717" s="24" t="s">
        <v>8</v>
      </c>
      <c r="C3717" s="24" t="s">
        <v>6</v>
      </c>
      <c r="D3717" s="24" t="s">
        <v>1672</v>
      </c>
      <c r="E3717" s="24" t="s">
        <v>8</v>
      </c>
      <c r="F3717" s="24" t="s">
        <v>9</v>
      </c>
      <c r="G3717" s="24" t="s">
        <v>8</v>
      </c>
      <c r="H3717" s="24" t="s">
        <v>47</v>
      </c>
      <c r="I3717" s="27">
        <v>4725.18</v>
      </c>
    </row>
    <row r="3718" spans="2:9" ht="16">
      <c r="B3718" s="24" t="s">
        <v>45</v>
      </c>
      <c r="C3718" s="24" t="s">
        <v>13</v>
      </c>
      <c r="D3718" s="24" t="s">
        <v>2137</v>
      </c>
      <c r="E3718" s="24" t="s">
        <v>2138</v>
      </c>
      <c r="F3718" s="24" t="s">
        <v>9</v>
      </c>
      <c r="G3718" s="24" t="s">
        <v>8</v>
      </c>
      <c r="H3718" s="24" t="s">
        <v>8</v>
      </c>
      <c r="I3718" s="27">
        <v>1738.74</v>
      </c>
    </row>
    <row r="3719" spans="2:9" ht="16">
      <c r="B3719" s="24" t="s">
        <v>45</v>
      </c>
      <c r="C3719" s="24" t="s">
        <v>13</v>
      </c>
      <c r="D3719" s="24" t="s">
        <v>2135</v>
      </c>
      <c r="E3719" s="24" t="s">
        <v>2136</v>
      </c>
      <c r="F3719" s="24" t="s">
        <v>9</v>
      </c>
      <c r="G3719" s="24" t="s">
        <v>8</v>
      </c>
      <c r="H3719" s="24" t="s">
        <v>8</v>
      </c>
      <c r="I3719" s="27">
        <v>52.96</v>
      </c>
    </row>
    <row r="3720" spans="1:9" ht="16">
      <c r="A3720" s="35" t="s">
        <v>50</v>
      </c>
      <c r="I3720" s="28">
        <f>I3716+I3717+I3718+I3719</f>
        <v>6516.88</v>
      </c>
    </row>
    <row r="3721" spans="1:1" ht="16">
      <c r="A3721" s="34" t="s">
        <v>2978</v>
      </c>
    </row>
    <row r="3722" spans="2:9" ht="16">
      <c r="B3722" s="24" t="s">
        <v>961</v>
      </c>
      <c r="C3722" s="24" t="s">
        <v>6</v>
      </c>
      <c r="D3722" s="24" t="s">
        <v>2142</v>
      </c>
      <c r="E3722" s="24" t="s">
        <v>8</v>
      </c>
      <c r="F3722" s="24" t="s">
        <v>9</v>
      </c>
      <c r="G3722" s="24" t="s">
        <v>8</v>
      </c>
      <c r="H3722" s="24" t="s">
        <v>2143</v>
      </c>
      <c r="I3722" s="27">
        <v>104.19</v>
      </c>
    </row>
    <row r="3723" spans="2:9" ht="16">
      <c r="B3723" s="24" t="s">
        <v>961</v>
      </c>
      <c r="C3723" s="24" t="s">
        <v>6</v>
      </c>
      <c r="D3723" s="24" t="s">
        <v>2144</v>
      </c>
      <c r="E3723" s="24" t="s">
        <v>8</v>
      </c>
      <c r="F3723" s="24" t="s">
        <v>9</v>
      </c>
      <c r="G3723" s="24" t="s">
        <v>8</v>
      </c>
      <c r="H3723" s="24" t="s">
        <v>53</v>
      </c>
      <c r="I3723" s="27">
        <v>2759.81</v>
      </c>
    </row>
    <row r="3724" spans="2:9" ht="16">
      <c r="B3724" s="24" t="s">
        <v>961</v>
      </c>
      <c r="C3724" s="24" t="s">
        <v>6</v>
      </c>
      <c r="D3724" s="24" t="s">
        <v>1655</v>
      </c>
      <c r="E3724" s="24" t="s">
        <v>8</v>
      </c>
      <c r="F3724" s="24" t="s">
        <v>9</v>
      </c>
      <c r="G3724" s="24" t="s">
        <v>8</v>
      </c>
      <c r="H3724" s="24" t="s">
        <v>53</v>
      </c>
      <c r="I3724" s="27">
        <v>641.6</v>
      </c>
    </row>
    <row r="3725" spans="2:9" ht="16">
      <c r="B3725" s="24" t="s">
        <v>961</v>
      </c>
      <c r="C3725" s="24" t="s">
        <v>6</v>
      </c>
      <c r="D3725" s="24" t="s">
        <v>1773</v>
      </c>
      <c r="E3725" s="24" t="s">
        <v>8</v>
      </c>
      <c r="F3725" s="24" t="s">
        <v>9</v>
      </c>
      <c r="G3725" s="24" t="s">
        <v>8</v>
      </c>
      <c r="H3725" s="24" t="s">
        <v>53</v>
      </c>
      <c r="I3725" s="27">
        <v>1938.76</v>
      </c>
    </row>
    <row r="3726" spans="2:9" ht="16">
      <c r="B3726" s="24" t="s">
        <v>961</v>
      </c>
      <c r="C3726" s="24" t="s">
        <v>6</v>
      </c>
      <c r="D3726" s="24" t="s">
        <v>1988</v>
      </c>
      <c r="E3726" s="24" t="s">
        <v>8</v>
      </c>
      <c r="F3726" s="24" t="s">
        <v>9</v>
      </c>
      <c r="G3726" s="24" t="s">
        <v>8</v>
      </c>
      <c r="H3726" s="24" t="s">
        <v>53</v>
      </c>
      <c r="I3726" s="27">
        <v>3085.99</v>
      </c>
    </row>
    <row r="3727" spans="2:9" ht="16">
      <c r="B3727" s="24" t="s">
        <v>961</v>
      </c>
      <c r="C3727" s="24" t="s">
        <v>6</v>
      </c>
      <c r="D3727" s="24" t="s">
        <v>2145</v>
      </c>
      <c r="E3727" s="24" t="s">
        <v>8</v>
      </c>
      <c r="F3727" s="24" t="s">
        <v>9</v>
      </c>
      <c r="G3727" s="24" t="s">
        <v>8</v>
      </c>
      <c r="H3727" s="24" t="s">
        <v>53</v>
      </c>
      <c r="I3727" s="27">
        <v>2503.72</v>
      </c>
    </row>
    <row r="3728" spans="2:9" ht="16">
      <c r="B3728" s="24" t="s">
        <v>961</v>
      </c>
      <c r="C3728" s="24" t="s">
        <v>6</v>
      </c>
      <c r="D3728" s="24" t="s">
        <v>2159</v>
      </c>
      <c r="E3728" s="24" t="s">
        <v>8</v>
      </c>
      <c r="F3728" s="24" t="s">
        <v>9</v>
      </c>
      <c r="G3728" s="24" t="s">
        <v>8</v>
      </c>
      <c r="H3728" s="24" t="s">
        <v>8</v>
      </c>
      <c r="I3728" s="27">
        <v>1724.67</v>
      </c>
    </row>
    <row r="3729" spans="1:9" ht="16">
      <c r="A3729" s="35" t="s">
        <v>67</v>
      </c>
      <c r="I3729" s="28">
        <f>I3721+I3722+I3723+I3724+I3725+I3726+I3727+I3728</f>
        <v>12758.739999999998</v>
      </c>
    </row>
    <row r="3730" spans="1:9" ht="16">
      <c r="A3730" s="36" t="s">
        <v>2989</v>
      </c>
      <c r="I3730" s="28">
        <f>I3701+I3705+I3708+I3711+I3715+I3720+I3729</f>
        <v>24308.469999999998</v>
      </c>
    </row>
    <row r="3731" spans="1:1" ht="16">
      <c r="A3731" s="33" t="s">
        <v>324</v>
      </c>
    </row>
    <row r="3732" spans="1:1" ht="16">
      <c r="A3732" s="34" t="s">
        <v>2990</v>
      </c>
    </row>
    <row r="3733" spans="2:9" ht="16">
      <c r="B3733" s="24" t="s">
        <v>2991</v>
      </c>
      <c r="C3733" s="24" t="s">
        <v>6</v>
      </c>
      <c r="D3733" s="24" t="s">
        <v>2088</v>
      </c>
      <c r="E3733" s="24" t="s">
        <v>8</v>
      </c>
      <c r="F3733" s="24" t="s">
        <v>9</v>
      </c>
      <c r="G3733" s="24" t="s">
        <v>8</v>
      </c>
      <c r="H3733" s="24" t="s">
        <v>2992</v>
      </c>
      <c r="I3733" s="27">
        <v>1688.8</v>
      </c>
    </row>
    <row r="3734" spans="2:9" ht="16">
      <c r="B3734" s="24" t="s">
        <v>316</v>
      </c>
      <c r="C3734" s="24" t="s">
        <v>6</v>
      </c>
      <c r="D3734" s="24" t="s">
        <v>2099</v>
      </c>
      <c r="E3734" s="24" t="s">
        <v>8</v>
      </c>
      <c r="F3734" s="24" t="s">
        <v>9</v>
      </c>
      <c r="G3734" s="24" t="s">
        <v>8</v>
      </c>
      <c r="H3734" s="24" t="s">
        <v>2993</v>
      </c>
      <c r="I3734" s="27">
        <v>149.57</v>
      </c>
    </row>
    <row r="3735" spans="2:9" ht="16">
      <c r="B3735" s="24" t="s">
        <v>127</v>
      </c>
      <c r="C3735" s="24" t="s">
        <v>6</v>
      </c>
      <c r="D3735" s="24" t="s">
        <v>2994</v>
      </c>
      <c r="E3735" s="24" t="s">
        <v>8</v>
      </c>
      <c r="F3735" s="24" t="s">
        <v>9</v>
      </c>
      <c r="G3735" s="24" t="s">
        <v>8</v>
      </c>
      <c r="H3735" s="24" t="s">
        <v>2995</v>
      </c>
      <c r="I3735" s="27">
        <v>18.58</v>
      </c>
    </row>
    <row r="3736" spans="2:9" ht="16">
      <c r="B3736" s="24" t="s">
        <v>127</v>
      </c>
      <c r="C3736" s="24" t="s">
        <v>6</v>
      </c>
      <c r="D3736" s="24" t="s">
        <v>2562</v>
      </c>
      <c r="E3736" s="24" t="s">
        <v>8</v>
      </c>
      <c r="F3736" s="24" t="s">
        <v>9</v>
      </c>
      <c r="G3736" s="24" t="s">
        <v>8</v>
      </c>
      <c r="H3736" s="24" t="s">
        <v>2996</v>
      </c>
      <c r="I3736" s="27">
        <v>32.65</v>
      </c>
    </row>
    <row r="3737" spans="2:9" ht="16">
      <c r="B3737" s="24" t="s">
        <v>127</v>
      </c>
      <c r="C3737" s="24" t="s">
        <v>6</v>
      </c>
      <c r="D3737" s="24" t="s">
        <v>2755</v>
      </c>
      <c r="E3737" s="24" t="s">
        <v>8</v>
      </c>
      <c r="F3737" s="24" t="s">
        <v>9</v>
      </c>
      <c r="G3737" s="24" t="s">
        <v>8</v>
      </c>
      <c r="H3737" s="24" t="s">
        <v>2997</v>
      </c>
      <c r="I3737" s="27">
        <v>39.2</v>
      </c>
    </row>
    <row r="3738" spans="2:9" ht="16">
      <c r="B3738" s="24" t="s">
        <v>2998</v>
      </c>
      <c r="C3738" s="24" t="s">
        <v>6</v>
      </c>
      <c r="D3738" s="24" t="s">
        <v>2847</v>
      </c>
      <c r="E3738" s="24" t="s">
        <v>8</v>
      </c>
      <c r="F3738" s="24" t="s">
        <v>9</v>
      </c>
      <c r="G3738" s="24" t="s">
        <v>8</v>
      </c>
      <c r="H3738" s="24" t="s">
        <v>2999</v>
      </c>
      <c r="I3738" s="27">
        <v>3339.03</v>
      </c>
    </row>
    <row r="3739" spans="2:9" ht="16">
      <c r="B3739" s="24" t="s">
        <v>8</v>
      </c>
      <c r="C3739" s="24" t="s">
        <v>6</v>
      </c>
      <c r="D3739" s="24" t="s">
        <v>3000</v>
      </c>
      <c r="E3739" s="24" t="s">
        <v>8</v>
      </c>
      <c r="F3739" s="24" t="s">
        <v>9</v>
      </c>
      <c r="G3739" s="24" t="s">
        <v>8</v>
      </c>
      <c r="H3739" s="24" t="s">
        <v>3001</v>
      </c>
      <c r="I3739" s="27">
        <v>383.36</v>
      </c>
    </row>
    <row r="3740" spans="2:9" ht="16">
      <c r="B3740" s="24" t="s">
        <v>316</v>
      </c>
      <c r="C3740" s="24" t="s">
        <v>6</v>
      </c>
      <c r="D3740" s="24" t="s">
        <v>2468</v>
      </c>
      <c r="E3740" s="24" t="s">
        <v>8</v>
      </c>
      <c r="F3740" s="24" t="s">
        <v>9</v>
      </c>
      <c r="G3740" s="24" t="s">
        <v>8</v>
      </c>
      <c r="H3740" s="24" t="s">
        <v>3002</v>
      </c>
      <c r="I3740" s="27">
        <v>45.1</v>
      </c>
    </row>
    <row r="3741" spans="2:9" ht="16">
      <c r="B3741" s="24" t="s">
        <v>316</v>
      </c>
      <c r="C3741" s="24" t="s">
        <v>6</v>
      </c>
      <c r="D3741" s="24" t="s">
        <v>2540</v>
      </c>
      <c r="E3741" s="24" t="s">
        <v>8</v>
      </c>
      <c r="F3741" s="24" t="s">
        <v>9</v>
      </c>
      <c r="G3741" s="24" t="s">
        <v>8</v>
      </c>
      <c r="H3741" s="24" t="s">
        <v>3003</v>
      </c>
      <c r="I3741" s="27">
        <v>343.49</v>
      </c>
    </row>
    <row r="3742" spans="2:9" ht="16">
      <c r="B3742" s="24" t="s">
        <v>2998</v>
      </c>
      <c r="C3742" s="24" t="s">
        <v>6</v>
      </c>
      <c r="D3742" s="24" t="s">
        <v>2846</v>
      </c>
      <c r="E3742" s="24" t="s">
        <v>8</v>
      </c>
      <c r="F3742" s="24" t="s">
        <v>9</v>
      </c>
      <c r="G3742" s="24" t="s">
        <v>8</v>
      </c>
      <c r="H3742" s="24" t="s">
        <v>3004</v>
      </c>
      <c r="I3742" s="27">
        <v>927.51</v>
      </c>
    </row>
    <row r="3743" spans="2:9" ht="16">
      <c r="B3743" s="24" t="s">
        <v>2998</v>
      </c>
      <c r="C3743" s="24" t="s">
        <v>6</v>
      </c>
      <c r="D3743" s="24" t="s">
        <v>2496</v>
      </c>
      <c r="E3743" s="24" t="s">
        <v>8</v>
      </c>
      <c r="F3743" s="24" t="s">
        <v>9</v>
      </c>
      <c r="G3743" s="24" t="s">
        <v>8</v>
      </c>
      <c r="H3743" s="24" t="s">
        <v>3005</v>
      </c>
      <c r="I3743" s="27">
        <v>6223.77</v>
      </c>
    </row>
    <row r="3744" spans="2:9" ht="16">
      <c r="B3744" s="24" t="s">
        <v>8</v>
      </c>
      <c r="C3744" s="24" t="s">
        <v>6</v>
      </c>
      <c r="D3744" s="24" t="s">
        <v>2604</v>
      </c>
      <c r="E3744" s="24" t="s">
        <v>8</v>
      </c>
      <c r="F3744" s="24" t="s">
        <v>9</v>
      </c>
      <c r="G3744" s="24" t="s">
        <v>8</v>
      </c>
      <c r="H3744" s="24" t="s">
        <v>1112</v>
      </c>
      <c r="I3744" s="27">
        <v>10.49</v>
      </c>
    </row>
    <row r="3745" spans="2:9" ht="16">
      <c r="B3745" s="24" t="s">
        <v>127</v>
      </c>
      <c r="C3745" s="24" t="s">
        <v>6</v>
      </c>
      <c r="D3745" s="24" t="s">
        <v>2954</v>
      </c>
      <c r="E3745" s="24" t="s">
        <v>8</v>
      </c>
      <c r="F3745" s="24" t="s">
        <v>9</v>
      </c>
      <c r="G3745" s="24" t="s">
        <v>8</v>
      </c>
      <c r="H3745" s="24" t="s">
        <v>8</v>
      </c>
      <c r="I3745" s="27">
        <v>20.08</v>
      </c>
    </row>
    <row r="3746" spans="1:9" ht="16">
      <c r="A3746" s="35" t="s">
        <v>40</v>
      </c>
      <c r="I3746" s="28">
        <f>I3732+I3733+I3734+I3735+I3736+I3737+I3738+I3739+I3740+I3741+I3742+I3743+I3744+I3745</f>
        <v>13221.630000000001</v>
      </c>
    </row>
    <row r="3747" spans="1:1" ht="16">
      <c r="A3747" s="34" t="s">
        <v>2990</v>
      </c>
    </row>
    <row r="3748" spans="2:9" ht="16">
      <c r="B3748" s="24" t="s">
        <v>589</v>
      </c>
      <c r="C3748" s="24" t="s">
        <v>6</v>
      </c>
      <c r="D3748" s="24" t="s">
        <v>2608</v>
      </c>
      <c r="E3748" s="24" t="s">
        <v>3006</v>
      </c>
      <c r="F3748" s="24" t="s">
        <v>9</v>
      </c>
      <c r="G3748" s="24" t="s">
        <v>8</v>
      </c>
      <c r="H3748" s="24" t="s">
        <v>3007</v>
      </c>
      <c r="I3748" s="27">
        <v>86.38</v>
      </c>
    </row>
    <row r="3749" spans="2:9" ht="16">
      <c r="B3749" s="24" t="s">
        <v>2130</v>
      </c>
      <c r="C3749" s="24" t="s">
        <v>6</v>
      </c>
      <c r="D3749" s="24" t="s">
        <v>2604</v>
      </c>
      <c r="E3749" s="24" t="s">
        <v>8</v>
      </c>
      <c r="F3749" s="24" t="s">
        <v>9</v>
      </c>
      <c r="G3749" s="24" t="s">
        <v>8</v>
      </c>
      <c r="H3749" s="24" t="s">
        <v>2045</v>
      </c>
      <c r="I3749" s="27">
        <v>46.96</v>
      </c>
    </row>
    <row r="3750" spans="1:9" ht="16">
      <c r="A3750" s="35" t="s">
        <v>267</v>
      </c>
      <c r="I3750" s="28">
        <f>I3747+I3748+I3749</f>
        <v>133.34</v>
      </c>
    </row>
    <row r="3751" spans="1:1" ht="16">
      <c r="A3751" s="34" t="s">
        <v>2990</v>
      </c>
    </row>
    <row r="3752" spans="2:9" ht="16">
      <c r="B3752" s="24" t="s">
        <v>1382</v>
      </c>
      <c r="C3752" s="24" t="s">
        <v>13</v>
      </c>
      <c r="D3752" s="24" t="s">
        <v>3008</v>
      </c>
      <c r="E3752" s="24" t="s">
        <v>3009</v>
      </c>
      <c r="F3752" s="24" t="s">
        <v>9</v>
      </c>
      <c r="G3752" s="24" t="s">
        <v>8</v>
      </c>
      <c r="H3752" s="24" t="s">
        <v>3010</v>
      </c>
      <c r="I3752" s="27">
        <v>822.0</v>
      </c>
    </row>
    <row r="3753" spans="2:9" ht="16">
      <c r="B3753" s="24" t="s">
        <v>1382</v>
      </c>
      <c r="C3753" s="24" t="s">
        <v>13</v>
      </c>
      <c r="D3753" s="24" t="s">
        <v>2542</v>
      </c>
      <c r="E3753" s="24" t="s">
        <v>3011</v>
      </c>
      <c r="F3753" s="24" t="s">
        <v>9</v>
      </c>
      <c r="G3753" s="24" t="s">
        <v>8</v>
      </c>
      <c r="H3753" s="24" t="s">
        <v>3012</v>
      </c>
      <c r="I3753" s="27">
        <v>1419.0</v>
      </c>
    </row>
    <row r="3754" spans="1:9" ht="16">
      <c r="A3754" s="35" t="s">
        <v>164</v>
      </c>
      <c r="I3754" s="28">
        <f>I3751+I3752+I3753</f>
        <v>2241.0</v>
      </c>
    </row>
    <row r="3755" spans="1:1" ht="16">
      <c r="A3755" s="34" t="s">
        <v>2990</v>
      </c>
    </row>
    <row r="3756" spans="2:9" ht="16">
      <c r="B3756" s="24" t="s">
        <v>2130</v>
      </c>
      <c r="C3756" s="24" t="s">
        <v>6</v>
      </c>
      <c r="D3756" s="24" t="s">
        <v>2542</v>
      </c>
      <c r="E3756" s="24" t="s">
        <v>8</v>
      </c>
      <c r="F3756" s="24" t="s">
        <v>9</v>
      </c>
      <c r="G3756" s="24" t="s">
        <v>8</v>
      </c>
      <c r="H3756" s="24" t="s">
        <v>577</v>
      </c>
      <c r="I3756" s="27">
        <v>178.36</v>
      </c>
    </row>
    <row r="3757" spans="1:9" ht="16">
      <c r="A3757" s="35" t="s">
        <v>433</v>
      </c>
      <c r="I3757" s="28">
        <f>I3755+I3756</f>
        <v>178.36</v>
      </c>
    </row>
    <row r="3758" spans="1:1" ht="16">
      <c r="A3758" s="34" t="s">
        <v>2990</v>
      </c>
    </row>
    <row r="3759" spans="2:9" ht="16">
      <c r="B3759" s="24" t="s">
        <v>45</v>
      </c>
      <c r="C3759" s="24" t="s">
        <v>13</v>
      </c>
      <c r="D3759" s="24" t="s">
        <v>2589</v>
      </c>
      <c r="E3759" s="24" t="s">
        <v>8</v>
      </c>
      <c r="F3759" s="24" t="s">
        <v>9</v>
      </c>
      <c r="G3759" s="24" t="s">
        <v>8</v>
      </c>
      <c r="H3759" s="24" t="s">
        <v>2990</v>
      </c>
      <c r="I3759" s="27">
        <v>79.44</v>
      </c>
    </row>
    <row r="3760" spans="2:9" ht="16">
      <c r="B3760" s="24" t="s">
        <v>45</v>
      </c>
      <c r="C3760" s="24" t="s">
        <v>13</v>
      </c>
      <c r="D3760" s="24" t="s">
        <v>2135</v>
      </c>
      <c r="E3760" s="24" t="s">
        <v>2136</v>
      </c>
      <c r="F3760" s="24" t="s">
        <v>9</v>
      </c>
      <c r="G3760" s="24" t="s">
        <v>8</v>
      </c>
      <c r="H3760" s="24" t="s">
        <v>8</v>
      </c>
      <c r="I3760" s="27">
        <v>2277.3</v>
      </c>
    </row>
    <row r="3761" spans="1:9" ht="16">
      <c r="A3761" s="35" t="s">
        <v>50</v>
      </c>
      <c r="I3761" s="28">
        <f>I3758+I3759+I3760</f>
        <v>2356.7400000000002</v>
      </c>
    </row>
    <row r="3762" spans="1:1" ht="16">
      <c r="A3762" s="34" t="s">
        <v>2990</v>
      </c>
    </row>
    <row r="3763" spans="2:9" ht="16">
      <c r="B3763" s="24" t="s">
        <v>961</v>
      </c>
      <c r="C3763" s="24" t="s">
        <v>6</v>
      </c>
      <c r="D3763" s="24" t="s">
        <v>2716</v>
      </c>
      <c r="E3763" s="24" t="s">
        <v>8</v>
      </c>
      <c r="F3763" s="24" t="s">
        <v>9</v>
      </c>
      <c r="G3763" s="24" t="s">
        <v>8</v>
      </c>
      <c r="H3763" s="24" t="s">
        <v>2856</v>
      </c>
      <c r="I3763" s="27">
        <v>3196.54</v>
      </c>
    </row>
    <row r="3764" spans="2:9" ht="16">
      <c r="B3764" s="24" t="s">
        <v>961</v>
      </c>
      <c r="C3764" s="24" t="s">
        <v>6</v>
      </c>
      <c r="D3764" s="24" t="s">
        <v>2922</v>
      </c>
      <c r="E3764" s="24" t="s">
        <v>8</v>
      </c>
      <c r="F3764" s="24" t="s">
        <v>9</v>
      </c>
      <c r="G3764" s="24" t="s">
        <v>8</v>
      </c>
      <c r="H3764" s="24" t="s">
        <v>2923</v>
      </c>
      <c r="I3764" s="27">
        <v>88.17</v>
      </c>
    </row>
    <row r="3765" spans="2:9" ht="16">
      <c r="B3765" s="24" t="s">
        <v>961</v>
      </c>
      <c r="C3765" s="24" t="s">
        <v>6</v>
      </c>
      <c r="D3765" s="24" t="s">
        <v>2140</v>
      </c>
      <c r="E3765" s="24" t="s">
        <v>8</v>
      </c>
      <c r="F3765" s="24" t="s">
        <v>9</v>
      </c>
      <c r="G3765" s="24" t="s">
        <v>8</v>
      </c>
      <c r="H3765" s="24" t="s">
        <v>2141</v>
      </c>
      <c r="I3765" s="27">
        <v>156.29</v>
      </c>
    </row>
    <row r="3766" spans="2:9" ht="16">
      <c r="B3766" s="24" t="s">
        <v>961</v>
      </c>
      <c r="C3766" s="24" t="s">
        <v>6</v>
      </c>
      <c r="D3766" s="24" t="s">
        <v>2538</v>
      </c>
      <c r="E3766" s="24" t="s">
        <v>8</v>
      </c>
      <c r="F3766" s="24" t="s">
        <v>9</v>
      </c>
      <c r="G3766" s="24" t="s">
        <v>8</v>
      </c>
      <c r="H3766" s="24" t="s">
        <v>2603</v>
      </c>
      <c r="I3766" s="27">
        <v>422.34</v>
      </c>
    </row>
    <row r="3767" spans="2:9" ht="16">
      <c r="B3767" s="24" t="s">
        <v>961</v>
      </c>
      <c r="C3767" s="24" t="s">
        <v>6</v>
      </c>
      <c r="D3767" s="24" t="s">
        <v>2604</v>
      </c>
      <c r="E3767" s="24" t="s">
        <v>8</v>
      </c>
      <c r="F3767" s="24" t="s">
        <v>9</v>
      </c>
      <c r="G3767" s="24" t="s">
        <v>8</v>
      </c>
      <c r="H3767" s="24" t="s">
        <v>2605</v>
      </c>
      <c r="I3767" s="27">
        <v>403.03</v>
      </c>
    </row>
    <row r="3768" spans="2:9" ht="16">
      <c r="B3768" s="24" t="s">
        <v>961</v>
      </c>
      <c r="C3768" s="24" t="s">
        <v>6</v>
      </c>
      <c r="D3768" s="24" t="s">
        <v>2606</v>
      </c>
      <c r="E3768" s="24" t="s">
        <v>8</v>
      </c>
      <c r="F3768" s="24" t="s">
        <v>9</v>
      </c>
      <c r="G3768" s="24" t="s">
        <v>8</v>
      </c>
      <c r="H3768" s="24" t="s">
        <v>2607</v>
      </c>
      <c r="I3768" s="27">
        <v>365.1</v>
      </c>
    </row>
    <row r="3769" spans="2:9" ht="16">
      <c r="B3769" s="24" t="s">
        <v>961</v>
      </c>
      <c r="C3769" s="24" t="s">
        <v>6</v>
      </c>
      <c r="D3769" s="24" t="s">
        <v>2861</v>
      </c>
      <c r="E3769" s="24" t="s">
        <v>8</v>
      </c>
      <c r="F3769" s="24" t="s">
        <v>9</v>
      </c>
      <c r="G3769" s="24" t="s">
        <v>8</v>
      </c>
      <c r="H3769" s="24" t="s">
        <v>2862</v>
      </c>
      <c r="I3769" s="27">
        <v>148.0</v>
      </c>
    </row>
    <row r="3770" spans="2:9" ht="16">
      <c r="B3770" s="24" t="s">
        <v>961</v>
      </c>
      <c r="C3770" s="24" t="s">
        <v>6</v>
      </c>
      <c r="D3770" s="24" t="s">
        <v>2608</v>
      </c>
      <c r="E3770" s="24" t="s">
        <v>8</v>
      </c>
      <c r="F3770" s="24" t="s">
        <v>9</v>
      </c>
      <c r="G3770" s="24" t="s">
        <v>8</v>
      </c>
      <c r="H3770" s="24" t="s">
        <v>2609</v>
      </c>
      <c r="I3770" s="27">
        <v>854.36</v>
      </c>
    </row>
    <row r="3771" spans="2:9" ht="16">
      <c r="B3771" s="24" t="s">
        <v>961</v>
      </c>
      <c r="C3771" s="24" t="s">
        <v>6</v>
      </c>
      <c r="D3771" s="24" t="s">
        <v>1813</v>
      </c>
      <c r="E3771" s="24" t="s">
        <v>8</v>
      </c>
      <c r="F3771" s="24" t="s">
        <v>9</v>
      </c>
      <c r="G3771" s="24" t="s">
        <v>8</v>
      </c>
      <c r="H3771" s="24" t="s">
        <v>1814</v>
      </c>
      <c r="I3771" s="27">
        <v>212.06</v>
      </c>
    </row>
    <row r="3772" spans="2:9" ht="16">
      <c r="B3772" s="24" t="s">
        <v>961</v>
      </c>
      <c r="C3772" s="24" t="s">
        <v>6</v>
      </c>
      <c r="D3772" s="24" t="s">
        <v>2142</v>
      </c>
      <c r="E3772" s="24" t="s">
        <v>8</v>
      </c>
      <c r="F3772" s="24" t="s">
        <v>9</v>
      </c>
      <c r="G3772" s="24" t="s">
        <v>8</v>
      </c>
      <c r="H3772" s="24" t="s">
        <v>2143</v>
      </c>
      <c r="I3772" s="27">
        <v>752.79</v>
      </c>
    </row>
    <row r="3773" spans="1:9" ht="16">
      <c r="A3773" s="35" t="s">
        <v>67</v>
      </c>
      <c r="I3773" s="28">
        <f>I3762+I3763+I3764+I3765+I3766+I3767+I3768+I3769+I3770+I3771+I3772</f>
        <v>6598.68</v>
      </c>
    </row>
    <row r="3774" spans="1:9" ht="16">
      <c r="A3774" s="36" t="s">
        <v>3013</v>
      </c>
      <c r="I3774" s="28">
        <f>I3746+I3750+I3754+I3757+I3761+I3773</f>
        <v>24729.750000000004</v>
      </c>
    </row>
    <row r="3775" spans="1:1" ht="16">
      <c r="A3775" s="33" t="s">
        <v>324</v>
      </c>
    </row>
    <row r="3776" spans="1:1" ht="16">
      <c r="A3776" s="34" t="s">
        <v>3014</v>
      </c>
    </row>
    <row r="3777" spans="2:9" ht="16">
      <c r="B3777" s="24" t="s">
        <v>119</v>
      </c>
      <c r="C3777" s="24" t="s">
        <v>6</v>
      </c>
      <c r="D3777" s="24" t="s">
        <v>2088</v>
      </c>
      <c r="E3777" s="24" t="s">
        <v>8</v>
      </c>
      <c r="F3777" s="24" t="s">
        <v>9</v>
      </c>
      <c r="G3777" s="24" t="s">
        <v>8</v>
      </c>
      <c r="H3777" s="24" t="s">
        <v>524</v>
      </c>
      <c r="I3777" s="27">
        <v>88.54</v>
      </c>
    </row>
    <row r="3778" spans="2:9" ht="16">
      <c r="B3778" s="24" t="s">
        <v>127</v>
      </c>
      <c r="C3778" s="24" t="s">
        <v>6</v>
      </c>
      <c r="D3778" s="24" t="s">
        <v>2088</v>
      </c>
      <c r="E3778" s="24" t="s">
        <v>8</v>
      </c>
      <c r="F3778" s="24" t="s">
        <v>9</v>
      </c>
      <c r="G3778" s="24" t="s">
        <v>8</v>
      </c>
      <c r="H3778" s="24" t="s">
        <v>3015</v>
      </c>
      <c r="I3778" s="27">
        <v>54.28</v>
      </c>
    </row>
    <row r="3779" spans="1:9" ht="16">
      <c r="A3779" s="35" t="s">
        <v>40</v>
      </c>
      <c r="I3779" s="28">
        <f>I3776+I3777+I3778</f>
        <v>142.82</v>
      </c>
    </row>
    <row r="3780" spans="1:1" ht="16">
      <c r="A3780" s="34" t="s">
        <v>3014</v>
      </c>
    </row>
    <row r="3781" spans="2:9" ht="16">
      <c r="B3781" s="24" t="s">
        <v>45</v>
      </c>
      <c r="C3781" s="24" t="s">
        <v>13</v>
      </c>
      <c r="D3781" s="24" t="s">
        <v>2137</v>
      </c>
      <c r="E3781" s="24" t="s">
        <v>2138</v>
      </c>
      <c r="F3781" s="24" t="s">
        <v>9</v>
      </c>
      <c r="G3781" s="24" t="s">
        <v>8</v>
      </c>
      <c r="H3781" s="24" t="s">
        <v>8</v>
      </c>
      <c r="I3781" s="27">
        <v>321.56</v>
      </c>
    </row>
    <row r="3782" spans="1:9" ht="16">
      <c r="A3782" s="35" t="s">
        <v>50</v>
      </c>
      <c r="I3782" s="28">
        <f>I3780+I3781</f>
        <v>321.56</v>
      </c>
    </row>
    <row r="3783" spans="1:1" ht="16">
      <c r="A3783" s="34" t="s">
        <v>3014</v>
      </c>
    </row>
    <row r="3784" spans="2:9" ht="16">
      <c r="B3784" s="24" t="s">
        <v>961</v>
      </c>
      <c r="C3784" s="24" t="s">
        <v>6</v>
      </c>
      <c r="D3784" s="24" t="s">
        <v>1773</v>
      </c>
      <c r="E3784" s="24" t="s">
        <v>8</v>
      </c>
      <c r="F3784" s="24" t="s">
        <v>9</v>
      </c>
      <c r="G3784" s="24" t="s">
        <v>8</v>
      </c>
      <c r="H3784" s="24" t="s">
        <v>53</v>
      </c>
      <c r="I3784" s="27">
        <v>643.97</v>
      </c>
    </row>
    <row r="3785" spans="1:9" ht="16">
      <c r="A3785" s="35" t="s">
        <v>67</v>
      </c>
      <c r="I3785" s="28">
        <f>I3783+I3784</f>
        <v>643.97</v>
      </c>
    </row>
    <row r="3786" spans="1:9" ht="16">
      <c r="A3786" s="36" t="s">
        <v>3016</v>
      </c>
      <c r="I3786" s="28">
        <f>I3779+I3782+I3785</f>
        <v>1108.35</v>
      </c>
    </row>
    <row r="3787" spans="1:1" ht="16">
      <c r="A3787" s="33" t="s">
        <v>324</v>
      </c>
    </row>
    <row r="3788" spans="1:1" ht="16">
      <c r="A3788" s="34" t="s">
        <v>3017</v>
      </c>
    </row>
    <row r="3789" spans="2:9" ht="16">
      <c r="B3789" s="24" t="s">
        <v>119</v>
      </c>
      <c r="C3789" s="24" t="s">
        <v>6</v>
      </c>
      <c r="D3789" s="24" t="s">
        <v>2147</v>
      </c>
      <c r="E3789" s="24" t="s">
        <v>8</v>
      </c>
      <c r="F3789" s="24" t="s">
        <v>9</v>
      </c>
      <c r="G3789" s="24" t="s">
        <v>8</v>
      </c>
      <c r="H3789" s="24" t="s">
        <v>3018</v>
      </c>
      <c r="I3789" s="27">
        <v>114.57</v>
      </c>
    </row>
    <row r="3790" spans="1:9" ht="16">
      <c r="A3790" s="35" t="s">
        <v>40</v>
      </c>
      <c r="I3790" s="28">
        <f>I3788+I3789</f>
        <v>114.57</v>
      </c>
    </row>
    <row r="3791" spans="1:1" ht="16">
      <c r="A3791" s="34" t="s">
        <v>3017</v>
      </c>
    </row>
    <row r="3792" spans="2:9" ht="16">
      <c r="B3792" s="24" t="s">
        <v>45</v>
      </c>
      <c r="C3792" s="24" t="s">
        <v>13</v>
      </c>
      <c r="D3792" s="24" t="s">
        <v>2135</v>
      </c>
      <c r="E3792" s="24" t="s">
        <v>2136</v>
      </c>
      <c r="F3792" s="24" t="s">
        <v>9</v>
      </c>
      <c r="G3792" s="24" t="s">
        <v>8</v>
      </c>
      <c r="H3792" s="24" t="s">
        <v>8</v>
      </c>
      <c r="I3792" s="27">
        <v>79.44</v>
      </c>
    </row>
    <row r="3793" spans="2:9" ht="16">
      <c r="B3793" s="24" t="s">
        <v>45</v>
      </c>
      <c r="C3793" s="24" t="s">
        <v>13</v>
      </c>
      <c r="D3793" s="24" t="s">
        <v>2137</v>
      </c>
      <c r="E3793" s="24" t="s">
        <v>2138</v>
      </c>
      <c r="F3793" s="24" t="s">
        <v>9</v>
      </c>
      <c r="G3793" s="24" t="s">
        <v>8</v>
      </c>
      <c r="H3793" s="24" t="s">
        <v>8</v>
      </c>
      <c r="I3793" s="27">
        <v>231.54</v>
      </c>
    </row>
    <row r="3794" spans="1:9" ht="16">
      <c r="A3794" s="35" t="s">
        <v>50</v>
      </c>
      <c r="I3794" s="28">
        <f>I3791+I3792+I3793</f>
        <v>310.98</v>
      </c>
    </row>
    <row r="3795" spans="1:1" ht="16">
      <c r="A3795" s="34" t="s">
        <v>3017</v>
      </c>
    </row>
    <row r="3796" spans="2:9" ht="16">
      <c r="B3796" s="24" t="s">
        <v>961</v>
      </c>
      <c r="C3796" s="24" t="s">
        <v>6</v>
      </c>
      <c r="D3796" s="24" t="s">
        <v>2142</v>
      </c>
      <c r="E3796" s="24" t="s">
        <v>8</v>
      </c>
      <c r="F3796" s="24" t="s">
        <v>9</v>
      </c>
      <c r="G3796" s="24" t="s">
        <v>8</v>
      </c>
      <c r="H3796" s="24" t="s">
        <v>2143</v>
      </c>
      <c r="I3796" s="27">
        <v>157.85</v>
      </c>
    </row>
    <row r="3797" spans="2:9" ht="16">
      <c r="B3797" s="24" t="s">
        <v>961</v>
      </c>
      <c r="C3797" s="24" t="s">
        <v>6</v>
      </c>
      <c r="D3797" s="24" t="s">
        <v>2159</v>
      </c>
      <c r="E3797" s="24" t="s">
        <v>8</v>
      </c>
      <c r="F3797" s="24" t="s">
        <v>9</v>
      </c>
      <c r="G3797" s="24" t="s">
        <v>8</v>
      </c>
      <c r="H3797" s="24" t="s">
        <v>8</v>
      </c>
      <c r="I3797" s="27">
        <v>405.46</v>
      </c>
    </row>
    <row r="3798" spans="1:9" ht="16">
      <c r="A3798" s="35" t="s">
        <v>67</v>
      </c>
      <c r="I3798" s="28">
        <f>I3795+I3796+I3797</f>
        <v>563.31</v>
      </c>
    </row>
    <row r="3799" spans="1:9" ht="16">
      <c r="A3799" s="36" t="s">
        <v>3019</v>
      </c>
      <c r="I3799" s="28">
        <f>I3790+I3794+I3798</f>
        <v>988.8599999999999</v>
      </c>
    </row>
    <row r="3800" spans="1:1" ht="16">
      <c r="A3800" s="33" t="s">
        <v>324</v>
      </c>
    </row>
    <row r="3801" spans="1:1" ht="16">
      <c r="A3801" s="34" t="s">
        <v>3020</v>
      </c>
    </row>
    <row r="3802" spans="2:9" ht="16">
      <c r="B3802" s="24" t="s">
        <v>1441</v>
      </c>
      <c r="C3802" s="24" t="s">
        <v>13</v>
      </c>
      <c r="D3802" s="24" t="s">
        <v>1687</v>
      </c>
      <c r="E3802" s="24" t="s">
        <v>3021</v>
      </c>
      <c r="F3802" s="24" t="s">
        <v>9</v>
      </c>
      <c r="G3802" s="24" t="s">
        <v>8</v>
      </c>
      <c r="H3802" s="24" t="s">
        <v>3022</v>
      </c>
      <c r="I3802" s="27">
        <v>5931.0</v>
      </c>
    </row>
    <row r="3803" spans="2:9" ht="16">
      <c r="B3803" s="24" t="s">
        <v>8</v>
      </c>
      <c r="C3803" s="24" t="s">
        <v>6</v>
      </c>
      <c r="D3803" s="24" t="s">
        <v>2468</v>
      </c>
      <c r="E3803" s="24" t="s">
        <v>23</v>
      </c>
      <c r="F3803" s="24" t="s">
        <v>9</v>
      </c>
      <c r="G3803" s="24" t="s">
        <v>8</v>
      </c>
      <c r="H3803" s="24" t="s">
        <v>3023</v>
      </c>
      <c r="I3803" s="27">
        <v>40.87</v>
      </c>
    </row>
    <row r="3804" spans="1:9" ht="16">
      <c r="A3804" s="35" t="s">
        <v>40</v>
      </c>
      <c r="I3804" s="28">
        <f>I3801+I3802+I3803</f>
        <v>5971.87</v>
      </c>
    </row>
    <row r="3805" spans="1:1" ht="16">
      <c r="A3805" s="34" t="s">
        <v>3020</v>
      </c>
    </row>
    <row r="3806" spans="2:9" ht="16">
      <c r="B3806" s="24" t="s">
        <v>8</v>
      </c>
      <c r="C3806" s="24" t="s">
        <v>6</v>
      </c>
      <c r="D3806" s="24" t="s">
        <v>1672</v>
      </c>
      <c r="E3806" s="24" t="s">
        <v>8</v>
      </c>
      <c r="F3806" s="24" t="s">
        <v>9</v>
      </c>
      <c r="G3806" s="24" t="s">
        <v>8</v>
      </c>
      <c r="H3806" s="24" t="s">
        <v>47</v>
      </c>
      <c r="I3806" s="27">
        <v>552.95</v>
      </c>
    </row>
    <row r="3807" spans="2:9" ht="16">
      <c r="B3807" s="24" t="s">
        <v>45</v>
      </c>
      <c r="C3807" s="24" t="s">
        <v>13</v>
      </c>
      <c r="D3807" s="24" t="s">
        <v>2135</v>
      </c>
      <c r="E3807" s="24" t="s">
        <v>2136</v>
      </c>
      <c r="F3807" s="24" t="s">
        <v>9</v>
      </c>
      <c r="G3807" s="24" t="s">
        <v>8</v>
      </c>
      <c r="H3807" s="24" t="s">
        <v>8</v>
      </c>
      <c r="I3807" s="27">
        <v>79.44</v>
      </c>
    </row>
    <row r="3808" spans="1:9" ht="16">
      <c r="A3808" s="35" t="s">
        <v>50</v>
      </c>
      <c r="I3808" s="28">
        <f>I3805+I3806+I3807</f>
        <v>632.3900000000001</v>
      </c>
    </row>
    <row r="3809" spans="1:1" ht="16">
      <c r="A3809" s="34" t="s">
        <v>3020</v>
      </c>
    </row>
    <row r="3810" spans="2:9" ht="16">
      <c r="B3810" s="24" t="s">
        <v>8</v>
      </c>
      <c r="C3810" s="24" t="s">
        <v>150</v>
      </c>
      <c r="D3810" s="24" t="s">
        <v>2468</v>
      </c>
      <c r="E3810" s="24" t="s">
        <v>3024</v>
      </c>
      <c r="F3810" s="24" t="s">
        <v>9</v>
      </c>
      <c r="G3810" s="24" t="s">
        <v>8</v>
      </c>
      <c r="H3810" s="24" t="s">
        <v>2598</v>
      </c>
      <c r="I3810" s="27">
        <v>244.4</v>
      </c>
    </row>
    <row r="3811" spans="2:9" ht="16">
      <c r="B3811" s="24" t="s">
        <v>961</v>
      </c>
      <c r="C3811" s="24" t="s">
        <v>6</v>
      </c>
      <c r="D3811" s="24" t="s">
        <v>2716</v>
      </c>
      <c r="E3811" s="24" t="s">
        <v>8</v>
      </c>
      <c r="F3811" s="24" t="s">
        <v>9</v>
      </c>
      <c r="G3811" s="24" t="s">
        <v>8</v>
      </c>
      <c r="H3811" s="24" t="s">
        <v>2856</v>
      </c>
      <c r="I3811" s="27">
        <v>170.13</v>
      </c>
    </row>
    <row r="3812" spans="2:9" ht="16">
      <c r="B3812" s="24" t="s">
        <v>961</v>
      </c>
      <c r="C3812" s="24" t="s">
        <v>6</v>
      </c>
      <c r="D3812" s="24" t="s">
        <v>2606</v>
      </c>
      <c r="E3812" s="24" t="s">
        <v>8</v>
      </c>
      <c r="F3812" s="24" t="s">
        <v>9</v>
      </c>
      <c r="G3812" s="24" t="s">
        <v>8</v>
      </c>
      <c r="H3812" s="24" t="s">
        <v>2607</v>
      </c>
      <c r="I3812" s="27">
        <v>793.91</v>
      </c>
    </row>
    <row r="3813" spans="2:9" ht="16">
      <c r="B3813" s="24" t="s">
        <v>961</v>
      </c>
      <c r="C3813" s="24" t="s">
        <v>6</v>
      </c>
      <c r="D3813" s="24" t="s">
        <v>1687</v>
      </c>
      <c r="E3813" s="24" t="s">
        <v>8</v>
      </c>
      <c r="F3813" s="24" t="s">
        <v>9</v>
      </c>
      <c r="G3813" s="24" t="s">
        <v>8</v>
      </c>
      <c r="H3813" s="24" t="s">
        <v>53</v>
      </c>
      <c r="I3813" s="27">
        <v>296.0</v>
      </c>
    </row>
    <row r="3814" spans="2:9" ht="16">
      <c r="B3814" s="24" t="s">
        <v>961</v>
      </c>
      <c r="C3814" s="24" t="s">
        <v>6</v>
      </c>
      <c r="D3814" s="24" t="s">
        <v>1687</v>
      </c>
      <c r="E3814" s="24" t="s">
        <v>8</v>
      </c>
      <c r="F3814" s="24" t="s">
        <v>9</v>
      </c>
      <c r="G3814" s="24" t="s">
        <v>8</v>
      </c>
      <c r="H3814" s="24" t="s">
        <v>3025</v>
      </c>
      <c r="I3814" s="27">
        <v>-244.4</v>
      </c>
    </row>
    <row r="3815" spans="1:9" ht="16">
      <c r="A3815" s="35" t="s">
        <v>67</v>
      </c>
      <c r="I3815" s="28">
        <f>I3809+I3810+I3811+I3812+I3813+I3814</f>
        <v>1260.04</v>
      </c>
    </row>
    <row r="3816" spans="1:9" ht="16">
      <c r="A3816" s="36" t="s">
        <v>3026</v>
      </c>
      <c r="I3816" s="28">
        <f>I3804+I3808+I3815</f>
        <v>7864.3</v>
      </c>
    </row>
    <row r="3817" spans="1:1" ht="16">
      <c r="A3817" s="33" t="s">
        <v>324</v>
      </c>
    </row>
    <row r="3818" spans="1:1" ht="16">
      <c r="A3818" s="34" t="s">
        <v>3027</v>
      </c>
    </row>
    <row r="3819" spans="2:9" ht="16">
      <c r="B3819" s="24" t="s">
        <v>1451</v>
      </c>
      <c r="C3819" s="24" t="s">
        <v>6</v>
      </c>
      <c r="D3819" s="24" t="s">
        <v>1669</v>
      </c>
      <c r="E3819" s="24" t="s">
        <v>8</v>
      </c>
      <c r="F3819" s="24" t="s">
        <v>9</v>
      </c>
      <c r="G3819" s="24" t="s">
        <v>8</v>
      </c>
      <c r="H3819" s="24" t="s">
        <v>3028</v>
      </c>
      <c r="I3819" s="27">
        <v>36.83</v>
      </c>
    </row>
    <row r="3820" spans="2:9" ht="16">
      <c r="B3820" s="24" t="s">
        <v>2310</v>
      </c>
      <c r="C3820" s="24" t="s">
        <v>13</v>
      </c>
      <c r="D3820" s="24" t="s">
        <v>2654</v>
      </c>
      <c r="E3820" s="24" t="s">
        <v>3029</v>
      </c>
      <c r="F3820" s="24" t="s">
        <v>9</v>
      </c>
      <c r="G3820" s="24" t="s">
        <v>8</v>
      </c>
      <c r="H3820" s="24" t="s">
        <v>3030</v>
      </c>
      <c r="I3820" s="27">
        <v>12.75</v>
      </c>
    </row>
    <row r="3821" spans="2:9" ht="16">
      <c r="B3821" s="24" t="s">
        <v>119</v>
      </c>
      <c r="C3821" s="24" t="s">
        <v>6</v>
      </c>
      <c r="D3821" s="24" t="s">
        <v>2137</v>
      </c>
      <c r="E3821" s="24" t="s">
        <v>8</v>
      </c>
      <c r="F3821" s="24" t="s">
        <v>9</v>
      </c>
      <c r="G3821" s="24" t="s">
        <v>8</v>
      </c>
      <c r="H3821" s="24" t="s">
        <v>3031</v>
      </c>
      <c r="I3821" s="27">
        <v>72.16</v>
      </c>
    </row>
    <row r="3822" spans="1:9" ht="16">
      <c r="A3822" s="35" t="s">
        <v>40</v>
      </c>
      <c r="I3822" s="28">
        <f>I3818+I3819+I3820+I3821</f>
        <v>121.74</v>
      </c>
    </row>
    <row r="3823" spans="1:1" ht="16">
      <c r="A3823" s="34" t="s">
        <v>3027</v>
      </c>
    </row>
    <row r="3824" spans="2:9" ht="16">
      <c r="B3824" s="24" t="s">
        <v>8</v>
      </c>
      <c r="C3824" s="24" t="s">
        <v>6</v>
      </c>
      <c r="D3824" s="24" t="s">
        <v>1672</v>
      </c>
      <c r="E3824" s="24" t="s">
        <v>8</v>
      </c>
      <c r="F3824" s="24" t="s">
        <v>9</v>
      </c>
      <c r="G3824" s="24" t="s">
        <v>8</v>
      </c>
      <c r="H3824" s="24" t="s">
        <v>47</v>
      </c>
      <c r="I3824" s="27">
        <v>653.48</v>
      </c>
    </row>
    <row r="3825" spans="1:9" ht="16">
      <c r="A3825" s="35" t="s">
        <v>50</v>
      </c>
      <c r="I3825" s="28">
        <f>I3823+I3824</f>
        <v>653.48</v>
      </c>
    </row>
    <row r="3826" spans="1:1" ht="16">
      <c r="A3826" s="34" t="s">
        <v>3027</v>
      </c>
    </row>
    <row r="3827" spans="2:9" ht="16">
      <c r="B3827" s="24" t="s">
        <v>961</v>
      </c>
      <c r="C3827" s="24" t="s">
        <v>6</v>
      </c>
      <c r="D3827" s="24" t="s">
        <v>2145</v>
      </c>
      <c r="E3827" s="24" t="s">
        <v>8</v>
      </c>
      <c r="F3827" s="24" t="s">
        <v>9</v>
      </c>
      <c r="G3827" s="24" t="s">
        <v>8</v>
      </c>
      <c r="H3827" s="24" t="s">
        <v>53</v>
      </c>
      <c r="I3827" s="27">
        <v>939.72</v>
      </c>
    </row>
    <row r="3828" spans="2:9" ht="16">
      <c r="B3828" s="24" t="s">
        <v>961</v>
      </c>
      <c r="C3828" s="24" t="s">
        <v>6</v>
      </c>
      <c r="D3828" s="24" t="s">
        <v>1988</v>
      </c>
      <c r="E3828" s="24" t="s">
        <v>8</v>
      </c>
      <c r="F3828" s="24" t="s">
        <v>9</v>
      </c>
      <c r="G3828" s="24" t="s">
        <v>8</v>
      </c>
      <c r="H3828" s="24" t="s">
        <v>53</v>
      </c>
      <c r="I3828" s="27">
        <v>579.84</v>
      </c>
    </row>
    <row r="3829" spans="1:9" ht="16">
      <c r="A3829" s="35" t="s">
        <v>67</v>
      </c>
      <c r="I3829" s="28">
        <f>I3826+I3827+I3828</f>
        <v>1519.56</v>
      </c>
    </row>
    <row r="3830" spans="1:9" ht="16">
      <c r="A3830" s="36" t="s">
        <v>3032</v>
      </c>
      <c r="I3830" s="28">
        <f>I3822+I3825+I3829</f>
        <v>2294.7799999999997</v>
      </c>
    </row>
    <row r="3831" spans="1:1" ht="16">
      <c r="A3831" s="33" t="s">
        <v>324</v>
      </c>
    </row>
    <row r="3832" spans="1:1" ht="16">
      <c r="A3832" s="34" t="s">
        <v>3033</v>
      </c>
    </row>
    <row r="3833" spans="2:9" ht="16">
      <c r="B3833" s="24" t="s">
        <v>8</v>
      </c>
      <c r="C3833" s="24" t="s">
        <v>6</v>
      </c>
      <c r="D3833" s="24" t="s">
        <v>2062</v>
      </c>
      <c r="E3833" s="24" t="s">
        <v>8</v>
      </c>
      <c r="F3833" s="24" t="s">
        <v>9</v>
      </c>
      <c r="G3833" s="24" t="s">
        <v>8</v>
      </c>
      <c r="H3833" s="24" t="s">
        <v>3034</v>
      </c>
      <c r="I3833" s="27">
        <v>11.97</v>
      </c>
    </row>
    <row r="3834" spans="2:9" ht="16">
      <c r="B3834" s="24" t="s">
        <v>127</v>
      </c>
      <c r="C3834" s="24" t="s">
        <v>6</v>
      </c>
      <c r="D3834" s="24" t="s">
        <v>2062</v>
      </c>
      <c r="E3834" s="24" t="s">
        <v>8</v>
      </c>
      <c r="F3834" s="24" t="s">
        <v>9</v>
      </c>
      <c r="G3834" s="24" t="s">
        <v>8</v>
      </c>
      <c r="H3834" s="24" t="s">
        <v>3035</v>
      </c>
      <c r="I3834" s="27">
        <v>17.58</v>
      </c>
    </row>
    <row r="3835" spans="2:9" ht="16">
      <c r="B3835" s="24" t="s">
        <v>36</v>
      </c>
      <c r="C3835" s="24" t="s">
        <v>6</v>
      </c>
      <c r="D3835" s="24" t="s">
        <v>2062</v>
      </c>
      <c r="E3835" s="24" t="s">
        <v>8</v>
      </c>
      <c r="F3835" s="24" t="s">
        <v>9</v>
      </c>
      <c r="G3835" s="24" t="s">
        <v>8</v>
      </c>
      <c r="H3835" s="24" t="s">
        <v>3036</v>
      </c>
      <c r="I3835" s="27">
        <v>32.65</v>
      </c>
    </row>
    <row r="3836" spans="1:9" ht="16">
      <c r="A3836" s="35" t="s">
        <v>40</v>
      </c>
      <c r="I3836" s="28">
        <f>I3832+I3833+I3834+I3835</f>
        <v>62.199999999999996</v>
      </c>
    </row>
    <row r="3837" spans="1:1" ht="16">
      <c r="A3837" s="34" t="s">
        <v>3033</v>
      </c>
    </row>
    <row r="3838" spans="2:9" ht="16">
      <c r="B3838" s="24" t="s">
        <v>8</v>
      </c>
      <c r="C3838" s="24" t="s">
        <v>6</v>
      </c>
      <c r="D3838" s="24" t="s">
        <v>1672</v>
      </c>
      <c r="E3838" s="24" t="s">
        <v>8</v>
      </c>
      <c r="F3838" s="24" t="s">
        <v>9</v>
      </c>
      <c r="G3838" s="24" t="s">
        <v>8</v>
      </c>
      <c r="H3838" s="24" t="s">
        <v>47</v>
      </c>
      <c r="I3838" s="27">
        <v>502.68</v>
      </c>
    </row>
    <row r="3839" spans="1:9" ht="16">
      <c r="A3839" s="35" t="s">
        <v>50</v>
      </c>
      <c r="I3839" s="28">
        <f>I3837+I3838</f>
        <v>502.68</v>
      </c>
    </row>
    <row r="3840" spans="1:1" ht="16">
      <c r="A3840" s="34" t="s">
        <v>3033</v>
      </c>
    </row>
    <row r="3841" spans="2:9" ht="16">
      <c r="B3841" s="24" t="s">
        <v>961</v>
      </c>
      <c r="C3841" s="24" t="s">
        <v>6</v>
      </c>
      <c r="D3841" s="24" t="s">
        <v>2145</v>
      </c>
      <c r="E3841" s="24" t="s">
        <v>8</v>
      </c>
      <c r="F3841" s="24" t="s">
        <v>9</v>
      </c>
      <c r="G3841" s="24" t="s">
        <v>8</v>
      </c>
      <c r="H3841" s="24" t="s">
        <v>53</v>
      </c>
      <c r="I3841" s="27">
        <v>1016.86</v>
      </c>
    </row>
    <row r="3842" spans="1:9" ht="16">
      <c r="A3842" s="35" t="s">
        <v>67</v>
      </c>
      <c r="I3842" s="28">
        <f>I3840+I3841</f>
        <v>1016.86</v>
      </c>
    </row>
    <row r="3843" spans="1:9" ht="16">
      <c r="A3843" s="36" t="s">
        <v>3037</v>
      </c>
      <c r="I3843" s="28">
        <f>I3836+I3839+I3842</f>
        <v>1581.74</v>
      </c>
    </row>
    <row r="3844" spans="1:1" ht="16">
      <c r="A3844" s="33" t="s">
        <v>383</v>
      </c>
    </row>
    <row r="3845" spans="1:1" ht="16">
      <c r="A3845" s="34" t="s">
        <v>3038</v>
      </c>
    </row>
    <row r="3846" spans="2:9" ht="16">
      <c r="B3846" s="24" t="s">
        <v>8</v>
      </c>
      <c r="C3846" s="24" t="s">
        <v>6</v>
      </c>
      <c r="D3846" s="24" t="s">
        <v>1672</v>
      </c>
      <c r="E3846" s="24" t="s">
        <v>8</v>
      </c>
      <c r="F3846" s="24" t="s">
        <v>9</v>
      </c>
      <c r="G3846" s="24" t="s">
        <v>8</v>
      </c>
      <c r="H3846" s="24" t="s">
        <v>47</v>
      </c>
      <c r="I3846" s="27">
        <v>125.67</v>
      </c>
    </row>
    <row r="3847" spans="2:9" ht="16">
      <c r="B3847" s="24" t="s">
        <v>45</v>
      </c>
      <c r="C3847" s="24" t="s">
        <v>13</v>
      </c>
      <c r="D3847" s="24" t="s">
        <v>2135</v>
      </c>
      <c r="E3847" s="24" t="s">
        <v>2136</v>
      </c>
      <c r="F3847" s="24" t="s">
        <v>9</v>
      </c>
      <c r="G3847" s="24" t="s">
        <v>8</v>
      </c>
      <c r="H3847" s="24" t="s">
        <v>8</v>
      </c>
      <c r="I3847" s="27">
        <v>105.92</v>
      </c>
    </row>
    <row r="3848" spans="1:9" ht="16">
      <c r="A3848" s="35" t="s">
        <v>50</v>
      </c>
      <c r="I3848" s="28">
        <f>I3845+I3846+I3847</f>
        <v>231.59</v>
      </c>
    </row>
    <row r="3849" spans="1:1" ht="16">
      <c r="A3849" s="34" t="s">
        <v>3038</v>
      </c>
    </row>
    <row r="3850" spans="2:9" ht="16">
      <c r="B3850" s="24" t="s">
        <v>961</v>
      </c>
      <c r="C3850" s="24" t="s">
        <v>6</v>
      </c>
      <c r="D3850" s="24" t="s">
        <v>2140</v>
      </c>
      <c r="E3850" s="24" t="s">
        <v>8</v>
      </c>
      <c r="F3850" s="24" t="s">
        <v>9</v>
      </c>
      <c r="G3850" s="24" t="s">
        <v>8</v>
      </c>
      <c r="H3850" s="24" t="s">
        <v>2141</v>
      </c>
      <c r="I3850" s="27">
        <v>208.43</v>
      </c>
    </row>
    <row r="3851" spans="2:9" ht="16">
      <c r="B3851" s="24" t="s">
        <v>961</v>
      </c>
      <c r="C3851" s="24" t="s">
        <v>6</v>
      </c>
      <c r="D3851" s="24" t="s">
        <v>2145</v>
      </c>
      <c r="E3851" s="24" t="s">
        <v>8</v>
      </c>
      <c r="F3851" s="24" t="s">
        <v>9</v>
      </c>
      <c r="G3851" s="24" t="s">
        <v>8</v>
      </c>
      <c r="H3851" s="24" t="s">
        <v>53</v>
      </c>
      <c r="I3851" s="27">
        <v>246.68</v>
      </c>
    </row>
    <row r="3852" spans="1:9" ht="16">
      <c r="A3852" s="35" t="s">
        <v>67</v>
      </c>
      <c r="I3852" s="28">
        <f>I3849+I3850+I3851</f>
        <v>455.11</v>
      </c>
    </row>
    <row r="3853" spans="1:9" ht="16">
      <c r="A3853" s="36" t="s">
        <v>3039</v>
      </c>
      <c r="I3853" s="28">
        <f>I3848+I3852</f>
        <v>686.7</v>
      </c>
    </row>
    <row r="3854" spans="1:1" ht="16">
      <c r="A3854" s="33" t="s">
        <v>172</v>
      </c>
    </row>
    <row r="3855" spans="1:1" ht="16">
      <c r="A3855" s="34" t="s">
        <v>3040</v>
      </c>
    </row>
    <row r="3856" spans="2:9" ht="16">
      <c r="B3856" s="24" t="s">
        <v>77</v>
      </c>
      <c r="C3856" s="24" t="s">
        <v>13</v>
      </c>
      <c r="D3856" s="24" t="s">
        <v>3041</v>
      </c>
      <c r="E3856" s="24" t="s">
        <v>3042</v>
      </c>
      <c r="F3856" s="24" t="s">
        <v>9</v>
      </c>
      <c r="G3856" s="24" t="s">
        <v>8</v>
      </c>
      <c r="H3856" s="24" t="s">
        <v>3043</v>
      </c>
      <c r="I3856" s="27">
        <v>787.85</v>
      </c>
    </row>
    <row r="3857" spans="2:9" ht="16">
      <c r="B3857" s="24" t="s">
        <v>77</v>
      </c>
      <c r="C3857" s="24" t="s">
        <v>13</v>
      </c>
      <c r="D3857" s="24" t="s">
        <v>2810</v>
      </c>
      <c r="E3857" s="24" t="s">
        <v>3044</v>
      </c>
      <c r="F3857" s="24" t="s">
        <v>9</v>
      </c>
      <c r="G3857" s="24" t="s">
        <v>8</v>
      </c>
      <c r="H3857" s="24" t="s">
        <v>3045</v>
      </c>
      <c r="I3857" s="27">
        <v>527.85</v>
      </c>
    </row>
    <row r="3858" spans="2:9" ht="16">
      <c r="B3858" s="24" t="s">
        <v>77</v>
      </c>
      <c r="C3858" s="24" t="s">
        <v>13</v>
      </c>
      <c r="D3858" s="24" t="s">
        <v>3046</v>
      </c>
      <c r="E3858" s="24" t="s">
        <v>3047</v>
      </c>
      <c r="F3858" s="24" t="s">
        <v>9</v>
      </c>
      <c r="G3858" s="24" t="s">
        <v>8</v>
      </c>
      <c r="H3858" s="24" t="s">
        <v>3048</v>
      </c>
      <c r="I3858" s="27">
        <v>425.0</v>
      </c>
    </row>
    <row r="3859" spans="2:9" ht="16">
      <c r="B3859" s="24" t="s">
        <v>77</v>
      </c>
      <c r="C3859" s="24" t="s">
        <v>13</v>
      </c>
      <c r="D3859" s="24" t="s">
        <v>3049</v>
      </c>
      <c r="E3859" s="24" t="s">
        <v>3050</v>
      </c>
      <c r="F3859" s="24" t="s">
        <v>9</v>
      </c>
      <c r="G3859" s="24" t="s">
        <v>8</v>
      </c>
      <c r="H3859" s="24" t="s">
        <v>3051</v>
      </c>
      <c r="I3859" s="27">
        <v>441.67</v>
      </c>
    </row>
    <row r="3860" spans="2:9" ht="16">
      <c r="B3860" s="24" t="s">
        <v>77</v>
      </c>
      <c r="C3860" s="24" t="s">
        <v>13</v>
      </c>
      <c r="D3860" s="24" t="s">
        <v>3052</v>
      </c>
      <c r="E3860" s="24" t="s">
        <v>3053</v>
      </c>
      <c r="F3860" s="24" t="s">
        <v>9</v>
      </c>
      <c r="G3860" s="24" t="s">
        <v>8</v>
      </c>
      <c r="H3860" s="24" t="s">
        <v>3054</v>
      </c>
      <c r="I3860" s="27">
        <v>410.0</v>
      </c>
    </row>
    <row r="3861" spans="2:9" ht="16">
      <c r="B3861" s="24" t="s">
        <v>77</v>
      </c>
      <c r="C3861" s="24" t="s">
        <v>13</v>
      </c>
      <c r="D3861" s="24" t="s">
        <v>3046</v>
      </c>
      <c r="E3861" s="24" t="s">
        <v>3047</v>
      </c>
      <c r="F3861" s="24" t="s">
        <v>9</v>
      </c>
      <c r="G3861" s="24" t="s">
        <v>8</v>
      </c>
      <c r="H3861" s="24" t="s">
        <v>3055</v>
      </c>
      <c r="I3861" s="27">
        <v>130.0</v>
      </c>
    </row>
    <row r="3862" spans="2:9" ht="16">
      <c r="B3862" s="24" t="s">
        <v>77</v>
      </c>
      <c r="C3862" s="24" t="s">
        <v>13</v>
      </c>
      <c r="D3862" s="24" t="s">
        <v>3056</v>
      </c>
      <c r="E3862" s="24" t="s">
        <v>3057</v>
      </c>
      <c r="F3862" s="24" t="s">
        <v>9</v>
      </c>
      <c r="G3862" s="24" t="s">
        <v>8</v>
      </c>
      <c r="H3862" s="24" t="s">
        <v>3058</v>
      </c>
      <c r="I3862" s="27">
        <v>691.67</v>
      </c>
    </row>
    <row r="3863" spans="2:9" ht="16">
      <c r="B3863" s="24" t="s">
        <v>77</v>
      </c>
      <c r="C3863" s="24" t="s">
        <v>13</v>
      </c>
      <c r="D3863" s="24" t="s">
        <v>3046</v>
      </c>
      <c r="E3863" s="24" t="s">
        <v>3047</v>
      </c>
      <c r="F3863" s="24" t="s">
        <v>9</v>
      </c>
      <c r="G3863" s="24" t="s">
        <v>8</v>
      </c>
      <c r="H3863" s="24" t="s">
        <v>3059</v>
      </c>
      <c r="I3863" s="27">
        <v>130.0</v>
      </c>
    </row>
    <row r="3864" spans="2:9" ht="16">
      <c r="B3864" s="24" t="s">
        <v>77</v>
      </c>
      <c r="C3864" s="24" t="s">
        <v>13</v>
      </c>
      <c r="D3864" s="24" t="s">
        <v>3052</v>
      </c>
      <c r="E3864" s="24" t="s">
        <v>3053</v>
      </c>
      <c r="F3864" s="24" t="s">
        <v>9</v>
      </c>
      <c r="G3864" s="24" t="s">
        <v>8</v>
      </c>
      <c r="H3864" s="24" t="s">
        <v>3060</v>
      </c>
      <c r="I3864" s="27">
        <v>31.67</v>
      </c>
    </row>
    <row r="3865" spans="2:9" ht="16">
      <c r="B3865" s="24" t="s">
        <v>77</v>
      </c>
      <c r="C3865" s="24" t="s">
        <v>13</v>
      </c>
      <c r="D3865" s="24" t="s">
        <v>3046</v>
      </c>
      <c r="E3865" s="24" t="s">
        <v>3047</v>
      </c>
      <c r="F3865" s="24" t="s">
        <v>9</v>
      </c>
      <c r="G3865" s="24" t="s">
        <v>8</v>
      </c>
      <c r="H3865" s="24" t="s">
        <v>3060</v>
      </c>
      <c r="I3865" s="27">
        <v>32.83</v>
      </c>
    </row>
    <row r="3866" spans="1:9" ht="16">
      <c r="A3866" s="35" t="s">
        <v>81</v>
      </c>
      <c r="I3866" s="28">
        <f>I3855+I3856+I3857+I3858+I3859+I3860+I3861+I3862+I3863+I3864+I3865</f>
        <v>3608.54</v>
      </c>
    </row>
    <row r="3867" spans="1:1" ht="16">
      <c r="A3867" s="34" t="s">
        <v>3040</v>
      </c>
    </row>
    <row r="3868" spans="2:9" ht="16">
      <c r="B3868" s="24" t="s">
        <v>8</v>
      </c>
      <c r="C3868" s="24" t="s">
        <v>6</v>
      </c>
      <c r="D3868" s="24" t="s">
        <v>3061</v>
      </c>
      <c r="E3868" s="24" t="s">
        <v>8</v>
      </c>
      <c r="F3868" s="24" t="s">
        <v>9</v>
      </c>
      <c r="G3868" s="24" t="s">
        <v>8</v>
      </c>
      <c r="H3868" s="24" t="s">
        <v>3062</v>
      </c>
      <c r="I3868" s="27">
        <v>49.88</v>
      </c>
    </row>
    <row r="3869" spans="2:9" ht="16">
      <c r="B3869" s="24" t="s">
        <v>21</v>
      </c>
      <c r="C3869" s="24" t="s">
        <v>13</v>
      </c>
      <c r="D3869" s="24" t="s">
        <v>2919</v>
      </c>
      <c r="E3869" s="24" t="s">
        <v>3063</v>
      </c>
      <c r="F3869" s="24" t="s">
        <v>9</v>
      </c>
      <c r="G3869" s="24" t="s">
        <v>8</v>
      </c>
      <c r="H3869" s="24" t="s">
        <v>3064</v>
      </c>
      <c r="I3869" s="27">
        <v>310.8</v>
      </c>
    </row>
    <row r="3870" spans="2:9" ht="16">
      <c r="B3870" s="24" t="s">
        <v>589</v>
      </c>
      <c r="C3870" s="24" t="s">
        <v>6</v>
      </c>
      <c r="D3870" s="24" t="s">
        <v>2967</v>
      </c>
      <c r="E3870" s="24" t="s">
        <v>3065</v>
      </c>
      <c r="F3870" s="24" t="s">
        <v>9</v>
      </c>
      <c r="G3870" s="24" t="s">
        <v>8</v>
      </c>
      <c r="H3870" s="24" t="s">
        <v>3066</v>
      </c>
      <c r="I3870" s="27">
        <v>39.26</v>
      </c>
    </row>
    <row r="3871" spans="2:9" ht="16">
      <c r="B3871" s="24" t="s">
        <v>589</v>
      </c>
      <c r="C3871" s="24" t="s">
        <v>6</v>
      </c>
      <c r="D3871" s="24" t="s">
        <v>2967</v>
      </c>
      <c r="E3871" s="24" t="s">
        <v>3065</v>
      </c>
      <c r="F3871" s="24" t="s">
        <v>9</v>
      </c>
      <c r="G3871" s="24" t="s">
        <v>8</v>
      </c>
      <c r="H3871" s="24" t="s">
        <v>3067</v>
      </c>
      <c r="I3871" s="27">
        <v>41.44</v>
      </c>
    </row>
    <row r="3872" spans="2:9" ht="16">
      <c r="B3872" s="24" t="s">
        <v>21</v>
      </c>
      <c r="C3872" s="24" t="s">
        <v>13</v>
      </c>
      <c r="D3872" s="24" t="s">
        <v>2135</v>
      </c>
      <c r="E3872" s="24" t="s">
        <v>3068</v>
      </c>
      <c r="F3872" s="24" t="s">
        <v>9</v>
      </c>
      <c r="G3872" s="24" t="s">
        <v>8</v>
      </c>
      <c r="H3872" s="24" t="s">
        <v>3069</v>
      </c>
      <c r="I3872" s="27">
        <v>2496.44</v>
      </c>
    </row>
    <row r="3873" spans="2:9" ht="16">
      <c r="B3873" s="24" t="s">
        <v>1451</v>
      </c>
      <c r="C3873" s="24" t="s">
        <v>6</v>
      </c>
      <c r="D3873" s="24" t="s">
        <v>2623</v>
      </c>
      <c r="E3873" s="24" t="s">
        <v>8</v>
      </c>
      <c r="F3873" s="24" t="s">
        <v>9</v>
      </c>
      <c r="G3873" s="24" t="s">
        <v>8</v>
      </c>
      <c r="H3873" s="24" t="s">
        <v>3070</v>
      </c>
      <c r="I3873" s="27">
        <v>28.65</v>
      </c>
    </row>
    <row r="3874" spans="2:9" ht="16">
      <c r="B3874" s="24" t="s">
        <v>21</v>
      </c>
      <c r="C3874" s="24" t="s">
        <v>13</v>
      </c>
      <c r="D3874" s="24" t="s">
        <v>2547</v>
      </c>
      <c r="E3874" s="24" t="s">
        <v>3071</v>
      </c>
      <c r="F3874" s="24" t="s">
        <v>9</v>
      </c>
      <c r="G3874" s="24" t="s">
        <v>8</v>
      </c>
      <c r="H3874" s="24" t="s">
        <v>3072</v>
      </c>
      <c r="I3874" s="27">
        <v>4041.19</v>
      </c>
    </row>
    <row r="3875" spans="2:9" ht="16">
      <c r="B3875" s="24" t="s">
        <v>459</v>
      </c>
      <c r="C3875" s="24" t="s">
        <v>13</v>
      </c>
      <c r="D3875" s="24" t="s">
        <v>2847</v>
      </c>
      <c r="E3875" s="24" t="s">
        <v>3073</v>
      </c>
      <c r="F3875" s="24" t="s">
        <v>9</v>
      </c>
      <c r="G3875" s="24" t="s">
        <v>8</v>
      </c>
      <c r="H3875" s="24" t="s">
        <v>3074</v>
      </c>
      <c r="I3875" s="27">
        <v>741.03</v>
      </c>
    </row>
    <row r="3876" spans="2:9" ht="16">
      <c r="B3876" s="24" t="s">
        <v>21</v>
      </c>
      <c r="C3876" s="24" t="s">
        <v>13</v>
      </c>
      <c r="D3876" s="24" t="s">
        <v>2608</v>
      </c>
      <c r="E3876" s="24" t="s">
        <v>3075</v>
      </c>
      <c r="F3876" s="24" t="s">
        <v>9</v>
      </c>
      <c r="G3876" s="24" t="s">
        <v>8</v>
      </c>
      <c r="H3876" s="24" t="s">
        <v>3076</v>
      </c>
      <c r="I3876" s="27">
        <v>7273.58</v>
      </c>
    </row>
    <row r="3877" spans="2:9" ht="16">
      <c r="B3877" s="24" t="s">
        <v>21</v>
      </c>
      <c r="C3877" s="24" t="s">
        <v>13</v>
      </c>
      <c r="D3877" s="24" t="s">
        <v>2608</v>
      </c>
      <c r="E3877" s="24" t="s">
        <v>3077</v>
      </c>
      <c r="F3877" s="24" t="s">
        <v>9</v>
      </c>
      <c r="G3877" s="24" t="s">
        <v>8</v>
      </c>
      <c r="H3877" s="24" t="s">
        <v>3078</v>
      </c>
      <c r="I3877" s="27">
        <v>4087.38</v>
      </c>
    </row>
    <row r="3878" spans="2:9" ht="16">
      <c r="B3878" s="24" t="s">
        <v>36</v>
      </c>
      <c r="C3878" s="24" t="s">
        <v>6</v>
      </c>
      <c r="D3878" s="24" t="s">
        <v>3079</v>
      </c>
      <c r="E3878" s="24" t="s">
        <v>8</v>
      </c>
      <c r="F3878" s="24" t="s">
        <v>9</v>
      </c>
      <c r="G3878" s="24" t="s">
        <v>8</v>
      </c>
      <c r="H3878" s="24" t="s">
        <v>1964</v>
      </c>
      <c r="I3878" s="27">
        <v>31.13</v>
      </c>
    </row>
    <row r="3879" spans="2:9" ht="16">
      <c r="B3879" s="24" t="s">
        <v>36</v>
      </c>
      <c r="C3879" s="24" t="s">
        <v>6</v>
      </c>
      <c r="D3879" s="24" t="s">
        <v>3008</v>
      </c>
      <c r="E3879" s="24" t="s">
        <v>8</v>
      </c>
      <c r="F3879" s="24" t="s">
        <v>9</v>
      </c>
      <c r="G3879" s="24" t="s">
        <v>8</v>
      </c>
      <c r="H3879" s="24" t="s">
        <v>3080</v>
      </c>
      <c r="I3879" s="27">
        <v>53.64</v>
      </c>
    </row>
    <row r="3880" spans="2:9" ht="16">
      <c r="B3880" s="24" t="s">
        <v>21</v>
      </c>
      <c r="C3880" s="24" t="s">
        <v>13</v>
      </c>
      <c r="D3880" s="24" t="s">
        <v>2919</v>
      </c>
      <c r="E3880" s="24" t="s">
        <v>3081</v>
      </c>
      <c r="F3880" s="24" t="s">
        <v>9</v>
      </c>
      <c r="G3880" s="24" t="s">
        <v>8</v>
      </c>
      <c r="H3880" s="24" t="s">
        <v>3082</v>
      </c>
      <c r="I3880" s="27">
        <v>2666.68</v>
      </c>
    </row>
    <row r="3881" spans="2:9" ht="16">
      <c r="B3881" s="24" t="s">
        <v>589</v>
      </c>
      <c r="C3881" s="24" t="s">
        <v>6</v>
      </c>
      <c r="D3881" s="24" t="s">
        <v>3083</v>
      </c>
      <c r="E3881" s="24" t="s">
        <v>3065</v>
      </c>
      <c r="F3881" s="24" t="s">
        <v>9</v>
      </c>
      <c r="G3881" s="24" t="s">
        <v>8</v>
      </c>
      <c r="H3881" s="24" t="s">
        <v>3084</v>
      </c>
      <c r="I3881" s="27">
        <v>25.09</v>
      </c>
    </row>
    <row r="3882" spans="2:9" ht="16">
      <c r="B3882" s="24" t="s">
        <v>21</v>
      </c>
      <c r="C3882" s="24" t="s">
        <v>13</v>
      </c>
      <c r="D3882" s="24" t="s">
        <v>2725</v>
      </c>
      <c r="E3882" s="24" t="s">
        <v>3085</v>
      </c>
      <c r="F3882" s="24" t="s">
        <v>9</v>
      </c>
      <c r="G3882" s="24" t="s">
        <v>8</v>
      </c>
      <c r="H3882" s="24" t="s">
        <v>3086</v>
      </c>
      <c r="I3882" s="27">
        <v>2055.96</v>
      </c>
    </row>
    <row r="3883" spans="2:9" ht="16">
      <c r="B3883" s="24" t="s">
        <v>21</v>
      </c>
      <c r="C3883" s="24" t="s">
        <v>13</v>
      </c>
      <c r="D3883" s="24" t="s">
        <v>3083</v>
      </c>
      <c r="E3883" s="24" t="s">
        <v>3087</v>
      </c>
      <c r="F3883" s="24" t="s">
        <v>9</v>
      </c>
      <c r="G3883" s="24" t="s">
        <v>8</v>
      </c>
      <c r="H3883" s="24" t="s">
        <v>3088</v>
      </c>
      <c r="I3883" s="27">
        <v>5642.52</v>
      </c>
    </row>
    <row r="3884" spans="2:9" ht="16">
      <c r="B3884" s="24" t="s">
        <v>459</v>
      </c>
      <c r="C3884" s="24" t="s">
        <v>13</v>
      </c>
      <c r="D3884" s="24" t="s">
        <v>3089</v>
      </c>
      <c r="E3884" s="24" t="s">
        <v>3090</v>
      </c>
      <c r="F3884" s="24" t="s">
        <v>9</v>
      </c>
      <c r="G3884" s="24" t="s">
        <v>8</v>
      </c>
      <c r="H3884" s="24" t="s">
        <v>3091</v>
      </c>
      <c r="I3884" s="27">
        <v>1917.96</v>
      </c>
    </row>
    <row r="3885" spans="2:9" ht="16">
      <c r="B3885" s="24" t="s">
        <v>186</v>
      </c>
      <c r="C3885" s="24" t="s">
        <v>13</v>
      </c>
      <c r="D3885" s="24" t="s">
        <v>3092</v>
      </c>
      <c r="E3885" s="24" t="s">
        <v>3093</v>
      </c>
      <c r="F3885" s="24" t="s">
        <v>9</v>
      </c>
      <c r="G3885" s="24" t="s">
        <v>8</v>
      </c>
      <c r="H3885" s="24" t="s">
        <v>3094</v>
      </c>
      <c r="I3885" s="27">
        <v>1735.39</v>
      </c>
    </row>
    <row r="3886" spans="2:9" ht="16">
      <c r="B3886" s="24" t="s">
        <v>8</v>
      </c>
      <c r="C3886" s="24" t="s">
        <v>6</v>
      </c>
      <c r="D3886" s="24" t="s">
        <v>3095</v>
      </c>
      <c r="E3886" s="24" t="s">
        <v>8</v>
      </c>
      <c r="F3886" s="24" t="s">
        <v>9</v>
      </c>
      <c r="G3886" s="24" t="s">
        <v>8</v>
      </c>
      <c r="H3886" s="24" t="s">
        <v>3096</v>
      </c>
      <c r="I3886" s="27">
        <v>174.3</v>
      </c>
    </row>
    <row r="3887" spans="2:9" ht="16">
      <c r="B3887" s="24" t="s">
        <v>8</v>
      </c>
      <c r="C3887" s="24" t="s">
        <v>6</v>
      </c>
      <c r="D3887" s="24" t="s">
        <v>3097</v>
      </c>
      <c r="E3887" s="24" t="s">
        <v>8</v>
      </c>
      <c r="F3887" s="24" t="s">
        <v>9</v>
      </c>
      <c r="G3887" s="24" t="s">
        <v>8</v>
      </c>
      <c r="H3887" s="24" t="s">
        <v>3098</v>
      </c>
      <c r="I3887" s="27">
        <v>32.55</v>
      </c>
    </row>
    <row r="3888" spans="2:9" ht="16">
      <c r="B3888" s="24" t="s">
        <v>488</v>
      </c>
      <c r="C3888" s="24" t="s">
        <v>6</v>
      </c>
      <c r="D3888" s="24" t="s">
        <v>2725</v>
      </c>
      <c r="E3888" s="24" t="s">
        <v>8</v>
      </c>
      <c r="F3888" s="24" t="s">
        <v>9</v>
      </c>
      <c r="G3888" s="24" t="s">
        <v>8</v>
      </c>
      <c r="H3888" s="24" t="s">
        <v>3099</v>
      </c>
      <c r="I3888" s="27">
        <v>422.7</v>
      </c>
    </row>
    <row r="3889" spans="2:9" ht="16">
      <c r="B3889" s="24" t="s">
        <v>17</v>
      </c>
      <c r="C3889" s="24" t="s">
        <v>6</v>
      </c>
      <c r="D3889" s="24" t="s">
        <v>2601</v>
      </c>
      <c r="E3889" s="24" t="s">
        <v>8</v>
      </c>
      <c r="F3889" s="24" t="s">
        <v>9</v>
      </c>
      <c r="G3889" s="24" t="s">
        <v>8</v>
      </c>
      <c r="H3889" s="24" t="s">
        <v>3100</v>
      </c>
      <c r="I3889" s="27">
        <v>62.21</v>
      </c>
    </row>
    <row r="3890" spans="2:9" ht="16">
      <c r="B3890" s="24" t="s">
        <v>17</v>
      </c>
      <c r="C3890" s="24" t="s">
        <v>6</v>
      </c>
      <c r="D3890" s="24" t="s">
        <v>3101</v>
      </c>
      <c r="E3890" s="24" t="s">
        <v>8</v>
      </c>
      <c r="F3890" s="24" t="s">
        <v>9</v>
      </c>
      <c r="G3890" s="24" t="s">
        <v>8</v>
      </c>
      <c r="H3890" s="24" t="s">
        <v>3102</v>
      </c>
      <c r="I3890" s="27">
        <v>503.62</v>
      </c>
    </row>
    <row r="3891" spans="2:9" ht="16">
      <c r="B3891" s="24" t="s">
        <v>36</v>
      </c>
      <c r="C3891" s="24" t="s">
        <v>6</v>
      </c>
      <c r="D3891" s="24" t="s">
        <v>3056</v>
      </c>
      <c r="E3891" s="24" t="s">
        <v>8</v>
      </c>
      <c r="F3891" s="24" t="s">
        <v>9</v>
      </c>
      <c r="G3891" s="24" t="s">
        <v>8</v>
      </c>
      <c r="H3891" s="24" t="s">
        <v>3103</v>
      </c>
      <c r="I3891" s="27">
        <v>44.35</v>
      </c>
    </row>
    <row r="3892" spans="2:9" ht="16">
      <c r="B3892" s="24" t="s">
        <v>17</v>
      </c>
      <c r="C3892" s="24" t="s">
        <v>6</v>
      </c>
      <c r="D3892" s="24" t="s">
        <v>2589</v>
      </c>
      <c r="E3892" s="24" t="s">
        <v>8</v>
      </c>
      <c r="F3892" s="24" t="s">
        <v>9</v>
      </c>
      <c r="G3892" s="24" t="s">
        <v>8</v>
      </c>
      <c r="H3892" s="24" t="s">
        <v>3104</v>
      </c>
      <c r="I3892" s="27">
        <v>103.91</v>
      </c>
    </row>
    <row r="3893" spans="2:9" ht="16">
      <c r="B3893" s="24" t="s">
        <v>36</v>
      </c>
      <c r="C3893" s="24" t="s">
        <v>6</v>
      </c>
      <c r="D3893" s="24" t="s">
        <v>2967</v>
      </c>
      <c r="E3893" s="24" t="s">
        <v>8</v>
      </c>
      <c r="F3893" s="24" t="s">
        <v>9</v>
      </c>
      <c r="G3893" s="24" t="s">
        <v>8</v>
      </c>
      <c r="H3893" s="24" t="s">
        <v>3105</v>
      </c>
      <c r="I3893" s="27">
        <v>140.4</v>
      </c>
    </row>
    <row r="3894" spans="2:9" ht="16">
      <c r="B3894" s="24" t="s">
        <v>21</v>
      </c>
      <c r="C3894" s="24" t="s">
        <v>13</v>
      </c>
      <c r="D3894" s="24" t="s">
        <v>2919</v>
      </c>
      <c r="E3894" s="24" t="s">
        <v>3063</v>
      </c>
      <c r="F3894" s="24" t="s">
        <v>9</v>
      </c>
      <c r="G3894" s="24" t="s">
        <v>8</v>
      </c>
      <c r="H3894" s="24" t="s">
        <v>3106</v>
      </c>
      <c r="I3894" s="27">
        <v>31.0</v>
      </c>
    </row>
    <row r="3895" spans="2:9" ht="16">
      <c r="B3895" s="24" t="s">
        <v>21</v>
      </c>
      <c r="C3895" s="24" t="s">
        <v>13</v>
      </c>
      <c r="D3895" s="24" t="s">
        <v>1657</v>
      </c>
      <c r="E3895" s="24" t="s">
        <v>3107</v>
      </c>
      <c r="F3895" s="24" t="s">
        <v>9</v>
      </c>
      <c r="G3895" s="24" t="s">
        <v>8</v>
      </c>
      <c r="H3895" s="24" t="s">
        <v>3108</v>
      </c>
      <c r="I3895" s="27">
        <v>6459.25</v>
      </c>
    </row>
    <row r="3896" spans="2:9" ht="16">
      <c r="B3896" s="24" t="s">
        <v>21</v>
      </c>
      <c r="C3896" s="24" t="s">
        <v>13</v>
      </c>
      <c r="D3896" s="24" t="s">
        <v>2797</v>
      </c>
      <c r="E3896" s="24" t="s">
        <v>3109</v>
      </c>
      <c r="F3896" s="24" t="s">
        <v>9</v>
      </c>
      <c r="G3896" s="24" t="s">
        <v>8</v>
      </c>
      <c r="H3896" s="24" t="s">
        <v>3110</v>
      </c>
      <c r="I3896" s="27">
        <v>3056.16</v>
      </c>
    </row>
    <row r="3897" spans="2:9" ht="16">
      <c r="B3897" s="24" t="s">
        <v>21</v>
      </c>
      <c r="C3897" s="24" t="s">
        <v>13</v>
      </c>
      <c r="D3897" s="24" t="s">
        <v>3111</v>
      </c>
      <c r="E3897" s="24" t="s">
        <v>3112</v>
      </c>
      <c r="F3897" s="24" t="s">
        <v>9</v>
      </c>
      <c r="G3897" s="24" t="s">
        <v>8</v>
      </c>
      <c r="H3897" s="24" t="s">
        <v>3113</v>
      </c>
      <c r="I3897" s="27">
        <v>1939.14</v>
      </c>
    </row>
    <row r="3898" spans="2:9" ht="16">
      <c r="B3898" s="24" t="s">
        <v>21</v>
      </c>
      <c r="C3898" s="24" t="s">
        <v>13</v>
      </c>
      <c r="D3898" s="24" t="s">
        <v>2589</v>
      </c>
      <c r="E3898" s="24" t="s">
        <v>3114</v>
      </c>
      <c r="F3898" s="24" t="s">
        <v>9</v>
      </c>
      <c r="G3898" s="24" t="s">
        <v>8</v>
      </c>
      <c r="H3898" s="24" t="s">
        <v>3115</v>
      </c>
      <c r="I3898" s="27">
        <v>19511.07</v>
      </c>
    </row>
    <row r="3899" spans="2:9" ht="16">
      <c r="B3899" s="24" t="s">
        <v>21</v>
      </c>
      <c r="C3899" s="24" t="s">
        <v>13</v>
      </c>
      <c r="D3899" s="24" t="s">
        <v>3116</v>
      </c>
      <c r="E3899" s="24" t="s">
        <v>3117</v>
      </c>
      <c r="F3899" s="24" t="s">
        <v>9</v>
      </c>
      <c r="G3899" s="24" t="s">
        <v>8</v>
      </c>
      <c r="H3899" s="24" t="s">
        <v>3118</v>
      </c>
      <c r="I3899" s="27">
        <v>948.71</v>
      </c>
    </row>
    <row r="3900" spans="2:9" ht="16">
      <c r="B3900" s="24" t="s">
        <v>589</v>
      </c>
      <c r="C3900" s="24" t="s">
        <v>6</v>
      </c>
      <c r="D3900" s="24" t="s">
        <v>3083</v>
      </c>
      <c r="E3900" s="24" t="s">
        <v>3065</v>
      </c>
      <c r="F3900" s="24" t="s">
        <v>9</v>
      </c>
      <c r="G3900" s="24" t="s">
        <v>8</v>
      </c>
      <c r="H3900" s="24" t="s">
        <v>3119</v>
      </c>
      <c r="I3900" s="27">
        <v>20.72</v>
      </c>
    </row>
    <row r="3901" spans="2:9" ht="16">
      <c r="B3901" s="24" t="s">
        <v>2130</v>
      </c>
      <c r="C3901" s="24" t="s">
        <v>6</v>
      </c>
      <c r="D3901" s="24" t="s">
        <v>3120</v>
      </c>
      <c r="E3901" s="24" t="s">
        <v>8</v>
      </c>
      <c r="F3901" s="24" t="s">
        <v>9</v>
      </c>
      <c r="G3901" s="24" t="s">
        <v>8</v>
      </c>
      <c r="H3901" s="24" t="s">
        <v>1749</v>
      </c>
      <c r="I3901" s="27">
        <v>50.13</v>
      </c>
    </row>
    <row r="3902" spans="2:9" ht="16">
      <c r="B3902" s="24" t="s">
        <v>8</v>
      </c>
      <c r="C3902" s="24" t="s">
        <v>6</v>
      </c>
      <c r="D3902" s="24" t="s">
        <v>2601</v>
      </c>
      <c r="E3902" s="24" t="s">
        <v>8</v>
      </c>
      <c r="F3902" s="24" t="s">
        <v>9</v>
      </c>
      <c r="G3902" s="24" t="s">
        <v>8</v>
      </c>
      <c r="H3902" s="24" t="s">
        <v>2913</v>
      </c>
      <c r="I3902" s="27">
        <v>34.76</v>
      </c>
    </row>
    <row r="3903" spans="2:9" ht="16">
      <c r="B3903" s="24" t="s">
        <v>8</v>
      </c>
      <c r="C3903" s="24" t="s">
        <v>6</v>
      </c>
      <c r="D3903" s="24" t="s">
        <v>3121</v>
      </c>
      <c r="E3903" s="24" t="s">
        <v>8</v>
      </c>
      <c r="F3903" s="24" t="s">
        <v>9</v>
      </c>
      <c r="G3903" s="24" t="s">
        <v>8</v>
      </c>
      <c r="H3903" s="24" t="s">
        <v>2913</v>
      </c>
      <c r="I3903" s="27">
        <v>45.9</v>
      </c>
    </row>
    <row r="3904" spans="2:9" ht="16">
      <c r="B3904" s="24" t="s">
        <v>589</v>
      </c>
      <c r="C3904" s="24" t="s">
        <v>6</v>
      </c>
      <c r="D3904" s="24" t="s">
        <v>3083</v>
      </c>
      <c r="E3904" s="24" t="s">
        <v>3065</v>
      </c>
      <c r="F3904" s="24" t="s">
        <v>9</v>
      </c>
      <c r="G3904" s="24" t="s">
        <v>8</v>
      </c>
      <c r="H3904" s="24" t="s">
        <v>3122</v>
      </c>
      <c r="I3904" s="27">
        <v>54.01</v>
      </c>
    </row>
    <row r="3905" spans="1:9" ht="16">
      <c r="A3905" s="35" t="s">
        <v>40</v>
      </c>
      <c r="I3905" s="28">
        <f>I3867+I3868+I3869+I3870+I3871+I3872+I3873+I3874+I3875+I3876+I3877+I3878+I3879+I3880+I3881+I3882+I3883+I3884+I3885+I3886+I3887+I3888+I3889+I3890+I3891+I3892+I3893+I3894+I3895+I3896+I3897+I3898+I3899+I3900+I3901+I3902+I3903+I3904</f>
        <v>66872.91000000002</v>
      </c>
    </row>
    <row r="3906" spans="1:1" ht="16">
      <c r="A3906" s="34" t="s">
        <v>3040</v>
      </c>
    </row>
    <row r="3907" spans="2:9" ht="16">
      <c r="B3907" s="24" t="s">
        <v>589</v>
      </c>
      <c r="C3907" s="24" t="s">
        <v>6</v>
      </c>
      <c r="D3907" s="24" t="s">
        <v>2967</v>
      </c>
      <c r="E3907" s="24" t="s">
        <v>3065</v>
      </c>
      <c r="F3907" s="24" t="s">
        <v>9</v>
      </c>
      <c r="G3907" s="24" t="s">
        <v>8</v>
      </c>
      <c r="H3907" s="24" t="s">
        <v>3123</v>
      </c>
      <c r="I3907" s="27">
        <v>43.64</v>
      </c>
    </row>
    <row r="3908" spans="2:9" ht="16">
      <c r="B3908" s="24" t="s">
        <v>589</v>
      </c>
      <c r="C3908" s="24" t="s">
        <v>6</v>
      </c>
      <c r="D3908" s="24" t="s">
        <v>2967</v>
      </c>
      <c r="E3908" s="24" t="s">
        <v>3065</v>
      </c>
      <c r="F3908" s="24" t="s">
        <v>9</v>
      </c>
      <c r="G3908" s="24" t="s">
        <v>8</v>
      </c>
      <c r="H3908" s="24" t="s">
        <v>3124</v>
      </c>
      <c r="I3908" s="27">
        <v>40.37</v>
      </c>
    </row>
    <row r="3909" spans="1:9" ht="16">
      <c r="A3909" s="35" t="s">
        <v>267</v>
      </c>
      <c r="I3909" s="28">
        <f>I3906+I3907+I3908</f>
        <v>84.00999999999999</v>
      </c>
    </row>
    <row r="3910" spans="1:1" ht="16">
      <c r="A3910" s="34" t="s">
        <v>3040</v>
      </c>
    </row>
    <row r="3911" spans="2:9" ht="16">
      <c r="B3911" s="24" t="s">
        <v>186</v>
      </c>
      <c r="C3911" s="24" t="s">
        <v>13</v>
      </c>
      <c r="D3911" s="24" t="s">
        <v>2847</v>
      </c>
      <c r="E3911" s="24" t="s">
        <v>3125</v>
      </c>
      <c r="F3911" s="24" t="s">
        <v>9</v>
      </c>
      <c r="G3911" s="24" t="s">
        <v>8</v>
      </c>
      <c r="H3911" s="24" t="s">
        <v>3126</v>
      </c>
      <c r="I3911" s="27">
        <v>3098.91</v>
      </c>
    </row>
    <row r="3912" spans="2:9" ht="16">
      <c r="B3912" s="24" t="s">
        <v>186</v>
      </c>
      <c r="C3912" s="24" t="s">
        <v>13</v>
      </c>
      <c r="D3912" s="24" t="s">
        <v>3127</v>
      </c>
      <c r="E3912" s="24" t="s">
        <v>3128</v>
      </c>
      <c r="F3912" s="24" t="s">
        <v>9</v>
      </c>
      <c r="G3912" s="24" t="s">
        <v>8</v>
      </c>
      <c r="H3912" s="24" t="s">
        <v>3129</v>
      </c>
      <c r="I3912" s="27">
        <v>4121.54</v>
      </c>
    </row>
    <row r="3913" spans="1:9" ht="16">
      <c r="A3913" s="35" t="s">
        <v>433</v>
      </c>
      <c r="I3913" s="28">
        <f>I3910+I3911+I3912</f>
        <v>7220.45</v>
      </c>
    </row>
    <row r="3914" spans="1:1" ht="16">
      <c r="A3914" s="34" t="s">
        <v>3040</v>
      </c>
    </row>
    <row r="3915" spans="2:9" ht="16">
      <c r="B3915" s="24" t="s">
        <v>45</v>
      </c>
      <c r="C3915" s="24" t="s">
        <v>13</v>
      </c>
      <c r="D3915" s="24" t="s">
        <v>2846</v>
      </c>
      <c r="E3915" s="24" t="s">
        <v>8</v>
      </c>
      <c r="F3915" s="24" t="s">
        <v>9</v>
      </c>
      <c r="G3915" s="24" t="s">
        <v>8</v>
      </c>
      <c r="H3915" s="24" t="s">
        <v>3130</v>
      </c>
      <c r="I3915" s="27">
        <v>11495.53</v>
      </c>
    </row>
    <row r="3916" spans="2:9" ht="16">
      <c r="B3916" s="24" t="s">
        <v>45</v>
      </c>
      <c r="C3916" s="24" t="s">
        <v>13</v>
      </c>
      <c r="D3916" s="24" t="s">
        <v>2589</v>
      </c>
      <c r="E3916" s="24" t="s">
        <v>8</v>
      </c>
      <c r="F3916" s="24" t="s">
        <v>9</v>
      </c>
      <c r="G3916" s="24" t="s">
        <v>8</v>
      </c>
      <c r="H3916" s="24" t="s">
        <v>3131</v>
      </c>
      <c r="I3916" s="27">
        <v>6865.36</v>
      </c>
    </row>
    <row r="3917" spans="2:9" ht="16">
      <c r="B3917" s="24" t="s">
        <v>8</v>
      </c>
      <c r="C3917" s="24" t="s">
        <v>6</v>
      </c>
      <c r="D3917" s="24" t="s">
        <v>2847</v>
      </c>
      <c r="E3917" s="24" t="s">
        <v>8</v>
      </c>
      <c r="F3917" s="24" t="s">
        <v>9</v>
      </c>
      <c r="G3917" s="24" t="s">
        <v>8</v>
      </c>
      <c r="H3917" s="24" t="s">
        <v>2848</v>
      </c>
      <c r="I3917" s="27">
        <v>476.64</v>
      </c>
    </row>
    <row r="3918" spans="2:9" ht="16">
      <c r="B3918" s="24" t="s">
        <v>45</v>
      </c>
      <c r="C3918" s="24" t="s">
        <v>13</v>
      </c>
      <c r="D3918" s="24" t="s">
        <v>2135</v>
      </c>
      <c r="E3918" s="24" t="s">
        <v>2136</v>
      </c>
      <c r="F3918" s="24" t="s">
        <v>9</v>
      </c>
      <c r="G3918" s="24" t="s">
        <v>8</v>
      </c>
      <c r="H3918" s="24" t="s">
        <v>8</v>
      </c>
      <c r="I3918" s="27">
        <v>158.88</v>
      </c>
    </row>
    <row r="3919" spans="1:9" ht="16">
      <c r="A3919" s="35" t="s">
        <v>50</v>
      </c>
      <c r="I3919" s="28">
        <f>I3914+I3915+I3916+I3917+I3918</f>
        <v>18996.41</v>
      </c>
    </row>
    <row r="3920" spans="1:1" ht="16">
      <c r="A3920" s="34" t="s">
        <v>3040</v>
      </c>
    </row>
    <row r="3921" spans="2:9" ht="16">
      <c r="B3921" s="24" t="s">
        <v>961</v>
      </c>
      <c r="C3921" s="24" t="s">
        <v>6</v>
      </c>
      <c r="D3921" s="24" t="s">
        <v>1192</v>
      </c>
      <c r="E3921" s="24" t="s">
        <v>8</v>
      </c>
      <c r="F3921" s="24" t="s">
        <v>9</v>
      </c>
      <c r="G3921" s="24" t="s">
        <v>8</v>
      </c>
      <c r="H3921" s="24" t="s">
        <v>2966</v>
      </c>
      <c r="I3921" s="27">
        <v>3927.9</v>
      </c>
    </row>
    <row r="3922" spans="2:9" ht="16">
      <c r="B3922" s="24" t="s">
        <v>961</v>
      </c>
      <c r="C3922" s="24" t="s">
        <v>6</v>
      </c>
      <c r="D3922" s="24" t="s">
        <v>3132</v>
      </c>
      <c r="E3922" s="24" t="s">
        <v>8</v>
      </c>
      <c r="F3922" s="24" t="s">
        <v>9</v>
      </c>
      <c r="G3922" s="24" t="s">
        <v>8</v>
      </c>
      <c r="H3922" s="24" t="s">
        <v>3133</v>
      </c>
      <c r="I3922" s="27">
        <v>3390.79</v>
      </c>
    </row>
    <row r="3923" spans="2:9" ht="16">
      <c r="B3923" s="24" t="s">
        <v>961</v>
      </c>
      <c r="C3923" s="24" t="s">
        <v>6</v>
      </c>
      <c r="D3923" s="24" t="s">
        <v>3120</v>
      </c>
      <c r="E3923" s="24" t="s">
        <v>8</v>
      </c>
      <c r="F3923" s="24" t="s">
        <v>9</v>
      </c>
      <c r="G3923" s="24" t="s">
        <v>8</v>
      </c>
      <c r="H3923" s="24" t="s">
        <v>3134</v>
      </c>
      <c r="I3923" s="27">
        <v>5783.7</v>
      </c>
    </row>
    <row r="3924" spans="2:9" ht="16">
      <c r="B3924" s="24" t="s">
        <v>961</v>
      </c>
      <c r="C3924" s="24" t="s">
        <v>6</v>
      </c>
      <c r="D3924" s="24" t="s">
        <v>2857</v>
      </c>
      <c r="E3924" s="24" t="s">
        <v>8</v>
      </c>
      <c r="F3924" s="24" t="s">
        <v>9</v>
      </c>
      <c r="G3924" s="24" t="s">
        <v>8</v>
      </c>
      <c r="H3924" s="24" t="s">
        <v>2858</v>
      </c>
      <c r="I3924" s="27">
        <v>273.55</v>
      </c>
    </row>
    <row r="3925" spans="2:9" ht="16">
      <c r="B3925" s="24" t="s">
        <v>961</v>
      </c>
      <c r="C3925" s="24" t="s">
        <v>6</v>
      </c>
      <c r="D3925" s="24" t="s">
        <v>2140</v>
      </c>
      <c r="E3925" s="24" t="s">
        <v>8</v>
      </c>
      <c r="F3925" s="24" t="s">
        <v>9</v>
      </c>
      <c r="G3925" s="24" t="s">
        <v>8</v>
      </c>
      <c r="H3925" s="24" t="s">
        <v>2141</v>
      </c>
      <c r="I3925" s="27">
        <v>282.04</v>
      </c>
    </row>
    <row r="3926" spans="2:9" ht="16">
      <c r="B3926" s="24" t="s">
        <v>961</v>
      </c>
      <c r="C3926" s="24" t="s">
        <v>6</v>
      </c>
      <c r="D3926" s="24" t="s">
        <v>2601</v>
      </c>
      <c r="E3926" s="24" t="s">
        <v>8</v>
      </c>
      <c r="F3926" s="24" t="s">
        <v>9</v>
      </c>
      <c r="G3926" s="24" t="s">
        <v>8</v>
      </c>
      <c r="H3926" s="24" t="s">
        <v>2602</v>
      </c>
      <c r="I3926" s="27">
        <v>3267.49</v>
      </c>
    </row>
    <row r="3927" spans="2:9" ht="16">
      <c r="B3927" s="24" t="s">
        <v>961</v>
      </c>
      <c r="C3927" s="24" t="s">
        <v>6</v>
      </c>
      <c r="D3927" s="24" t="s">
        <v>2795</v>
      </c>
      <c r="E3927" s="24" t="s">
        <v>8</v>
      </c>
      <c r="F3927" s="24" t="s">
        <v>9</v>
      </c>
      <c r="G3927" s="24" t="s">
        <v>8</v>
      </c>
      <c r="H3927" s="24" t="s">
        <v>2860</v>
      </c>
      <c r="I3927" s="27">
        <v>108.28</v>
      </c>
    </row>
    <row r="3928" spans="2:9" ht="16">
      <c r="B3928" s="24" t="s">
        <v>961</v>
      </c>
      <c r="C3928" s="24" t="s">
        <v>6</v>
      </c>
      <c r="D3928" s="24" t="s">
        <v>2861</v>
      </c>
      <c r="E3928" s="24" t="s">
        <v>8</v>
      </c>
      <c r="F3928" s="24" t="s">
        <v>9</v>
      </c>
      <c r="G3928" s="24" t="s">
        <v>8</v>
      </c>
      <c r="H3928" s="24" t="s">
        <v>2862</v>
      </c>
      <c r="I3928" s="27">
        <v>7674.08</v>
      </c>
    </row>
    <row r="3929" spans="2:9" ht="16">
      <c r="B3929" s="24" t="s">
        <v>961</v>
      </c>
      <c r="C3929" s="24" t="s">
        <v>6</v>
      </c>
      <c r="D3929" s="24" t="s">
        <v>2608</v>
      </c>
      <c r="E3929" s="24" t="s">
        <v>8</v>
      </c>
      <c r="F3929" s="24" t="s">
        <v>9</v>
      </c>
      <c r="G3929" s="24" t="s">
        <v>8</v>
      </c>
      <c r="H3929" s="24" t="s">
        <v>2609</v>
      </c>
      <c r="I3929" s="27">
        <v>2724.77</v>
      </c>
    </row>
    <row r="3930" spans="2:9" ht="16">
      <c r="B3930" s="24" t="s">
        <v>961</v>
      </c>
      <c r="C3930" s="24" t="s">
        <v>6</v>
      </c>
      <c r="D3930" s="24" t="s">
        <v>1813</v>
      </c>
      <c r="E3930" s="24" t="s">
        <v>8</v>
      </c>
      <c r="F3930" s="24" t="s">
        <v>9</v>
      </c>
      <c r="G3930" s="24" t="s">
        <v>8</v>
      </c>
      <c r="H3930" s="24" t="s">
        <v>1814</v>
      </c>
      <c r="I3930" s="27">
        <v>3903.52</v>
      </c>
    </row>
    <row r="3931" spans="2:9" ht="16">
      <c r="B3931" s="24" t="s">
        <v>961</v>
      </c>
      <c r="C3931" s="24" t="s">
        <v>6</v>
      </c>
      <c r="D3931" s="24" t="s">
        <v>2846</v>
      </c>
      <c r="E3931" s="24" t="s">
        <v>8</v>
      </c>
      <c r="F3931" s="24" t="s">
        <v>9</v>
      </c>
      <c r="G3931" s="24" t="s">
        <v>8</v>
      </c>
      <c r="H3931" s="24" t="s">
        <v>2863</v>
      </c>
      <c r="I3931" s="27">
        <v>3176.14</v>
      </c>
    </row>
    <row r="3932" spans="2:9" ht="16">
      <c r="B3932" s="24" t="s">
        <v>961</v>
      </c>
      <c r="C3932" s="24" t="s">
        <v>6</v>
      </c>
      <c r="D3932" s="24" t="s">
        <v>2142</v>
      </c>
      <c r="E3932" s="24" t="s">
        <v>8</v>
      </c>
      <c r="F3932" s="24" t="s">
        <v>9</v>
      </c>
      <c r="G3932" s="24" t="s">
        <v>8</v>
      </c>
      <c r="H3932" s="24" t="s">
        <v>2143</v>
      </c>
      <c r="I3932" s="27">
        <v>56.41</v>
      </c>
    </row>
    <row r="3933" spans="2:9" ht="16">
      <c r="B3933" s="24" t="s">
        <v>961</v>
      </c>
      <c r="C3933" s="24" t="s">
        <v>6</v>
      </c>
      <c r="D3933" s="24" t="s">
        <v>2967</v>
      </c>
      <c r="E3933" s="24" t="s">
        <v>8</v>
      </c>
      <c r="F3933" s="24" t="s">
        <v>9</v>
      </c>
      <c r="G3933" s="24" t="s">
        <v>8</v>
      </c>
      <c r="H3933" s="24" t="s">
        <v>2968</v>
      </c>
      <c r="I3933" s="27">
        <v>7019.2</v>
      </c>
    </row>
    <row r="3934" spans="2:9" ht="16">
      <c r="B3934" s="24" t="s">
        <v>961</v>
      </c>
      <c r="C3934" s="24" t="s">
        <v>6</v>
      </c>
      <c r="D3934" s="24" t="s">
        <v>2104</v>
      </c>
      <c r="E3934" s="24" t="s">
        <v>8</v>
      </c>
      <c r="F3934" s="24" t="s">
        <v>9</v>
      </c>
      <c r="G3934" s="24" t="s">
        <v>8</v>
      </c>
      <c r="H3934" s="24" t="s">
        <v>2864</v>
      </c>
      <c r="I3934" s="27">
        <v>169.23</v>
      </c>
    </row>
    <row r="3935" spans="1:9" ht="16">
      <c r="A3935" s="35" t="s">
        <v>67</v>
      </c>
      <c r="I3935" s="28">
        <f>I3920+I3921+I3922+I3923+I3924+I3925+I3926+I3927+I3928+I3929+I3930+I3931+I3932+I3933+I3934</f>
        <v>41757.100000000006</v>
      </c>
    </row>
    <row r="3936" spans="1:9" ht="16">
      <c r="A3936" s="36" t="s">
        <v>3135</v>
      </c>
      <c r="I3936" s="28">
        <f>I3866+I3905+I3909+I3913+I3919+I3935</f>
        <v>138539.42</v>
      </c>
    </row>
    <row r="3937" spans="1:1" ht="16">
      <c r="A3937" s="33" t="s">
        <v>324</v>
      </c>
    </row>
    <row r="3938" spans="1:1" ht="16">
      <c r="A3938" s="34" t="s">
        <v>3136</v>
      </c>
    </row>
    <row r="3939" spans="2:9" ht="16">
      <c r="B3939" s="24" t="s">
        <v>8</v>
      </c>
      <c r="C3939" s="24" t="s">
        <v>6</v>
      </c>
      <c r="D3939" s="24" t="s">
        <v>2630</v>
      </c>
      <c r="E3939" s="24" t="s">
        <v>8</v>
      </c>
      <c r="F3939" s="24" t="s">
        <v>9</v>
      </c>
      <c r="G3939" s="24" t="s">
        <v>8</v>
      </c>
      <c r="H3939" s="24" t="s">
        <v>3137</v>
      </c>
      <c r="I3939" s="27">
        <v>659.37</v>
      </c>
    </row>
    <row r="3940" spans="2:9" ht="16">
      <c r="B3940" s="24" t="s">
        <v>119</v>
      </c>
      <c r="C3940" s="24" t="s">
        <v>6</v>
      </c>
      <c r="D3940" s="24" t="s">
        <v>2590</v>
      </c>
      <c r="E3940" s="24" t="s">
        <v>8</v>
      </c>
      <c r="F3940" s="24" t="s">
        <v>9</v>
      </c>
      <c r="G3940" s="24" t="s">
        <v>8</v>
      </c>
      <c r="H3940" s="24" t="s">
        <v>3138</v>
      </c>
      <c r="I3940" s="27">
        <v>346.12</v>
      </c>
    </row>
    <row r="3941" spans="2:9" ht="16">
      <c r="B3941" s="24" t="s">
        <v>811</v>
      </c>
      <c r="C3941" s="24" t="s">
        <v>6</v>
      </c>
      <c r="D3941" s="24" t="s">
        <v>3095</v>
      </c>
      <c r="E3941" s="24" t="s">
        <v>8</v>
      </c>
      <c r="F3941" s="24" t="s">
        <v>9</v>
      </c>
      <c r="G3941" s="24" t="s">
        <v>8</v>
      </c>
      <c r="H3941" s="24" t="s">
        <v>3139</v>
      </c>
      <c r="I3941" s="27">
        <v>54.91</v>
      </c>
    </row>
    <row r="3942" spans="2:9" ht="16">
      <c r="B3942" s="24" t="s">
        <v>119</v>
      </c>
      <c r="C3942" s="24" t="s">
        <v>6</v>
      </c>
      <c r="D3942" s="24" t="s">
        <v>3140</v>
      </c>
      <c r="E3942" s="24" t="s">
        <v>3141</v>
      </c>
      <c r="F3942" s="24" t="s">
        <v>9</v>
      </c>
      <c r="G3942" s="24" t="s">
        <v>8</v>
      </c>
      <c r="H3942" s="24" t="s">
        <v>3142</v>
      </c>
      <c r="I3942" s="27">
        <v>38.38</v>
      </c>
    </row>
    <row r="3943" spans="2:9" ht="16">
      <c r="B3943" s="24" t="s">
        <v>316</v>
      </c>
      <c r="C3943" s="24" t="s">
        <v>6</v>
      </c>
      <c r="D3943" s="24" t="s">
        <v>3140</v>
      </c>
      <c r="E3943" s="24" t="s">
        <v>8</v>
      </c>
      <c r="F3943" s="24" t="s">
        <v>9</v>
      </c>
      <c r="G3943" s="24" t="s">
        <v>8</v>
      </c>
      <c r="H3943" s="24" t="s">
        <v>3143</v>
      </c>
      <c r="I3943" s="27">
        <v>274.04</v>
      </c>
    </row>
    <row r="3944" spans="2:9" ht="16">
      <c r="B3944" s="24" t="s">
        <v>333</v>
      </c>
      <c r="C3944" s="24" t="s">
        <v>6</v>
      </c>
      <c r="D3944" s="24" t="s">
        <v>2919</v>
      </c>
      <c r="E3944" s="24" t="s">
        <v>8</v>
      </c>
      <c r="F3944" s="24" t="s">
        <v>9</v>
      </c>
      <c r="G3944" s="24" t="s">
        <v>8</v>
      </c>
      <c r="H3944" s="24" t="s">
        <v>3144</v>
      </c>
      <c r="I3944" s="27">
        <v>50.99</v>
      </c>
    </row>
    <row r="3945" spans="2:9" ht="16">
      <c r="B3945" s="24" t="s">
        <v>8</v>
      </c>
      <c r="C3945" s="24" t="s">
        <v>6</v>
      </c>
      <c r="D3945" s="24" t="s">
        <v>2857</v>
      </c>
      <c r="E3945" s="24" t="s">
        <v>8</v>
      </c>
      <c r="F3945" s="24" t="s">
        <v>9</v>
      </c>
      <c r="G3945" s="24" t="s">
        <v>8</v>
      </c>
      <c r="H3945" s="24" t="s">
        <v>3145</v>
      </c>
      <c r="I3945" s="27">
        <v>302.41</v>
      </c>
    </row>
    <row r="3946" spans="1:9" ht="16">
      <c r="A3946" s="35" t="s">
        <v>40</v>
      </c>
      <c r="I3946" s="28">
        <f>I3938+I3939+I3940+I3941+I3942+I3943+I3944+I3945</f>
        <v>1726.2200000000003</v>
      </c>
    </row>
    <row r="3947" spans="1:1" ht="16">
      <c r="A3947" s="34" t="s">
        <v>3136</v>
      </c>
    </row>
    <row r="3948" spans="2:9" ht="16">
      <c r="B3948" s="24" t="s">
        <v>2130</v>
      </c>
      <c r="C3948" s="24" t="s">
        <v>6</v>
      </c>
      <c r="D3948" s="24" t="s">
        <v>3140</v>
      </c>
      <c r="E3948" s="24" t="s">
        <v>8</v>
      </c>
      <c r="F3948" s="24" t="s">
        <v>9</v>
      </c>
      <c r="G3948" s="24" t="s">
        <v>8</v>
      </c>
      <c r="H3948" s="24" t="s">
        <v>3146</v>
      </c>
      <c r="I3948" s="27">
        <v>38.38</v>
      </c>
    </row>
    <row r="3949" spans="1:9" ht="16">
      <c r="A3949" s="35" t="s">
        <v>267</v>
      </c>
      <c r="I3949" s="28">
        <f>I3947+I3948</f>
        <v>38.38</v>
      </c>
    </row>
    <row r="3950" spans="1:1" ht="16">
      <c r="A3950" s="34" t="s">
        <v>3136</v>
      </c>
    </row>
    <row r="3951" spans="2:9" ht="16">
      <c r="B3951" s="24" t="s">
        <v>1134</v>
      </c>
      <c r="C3951" s="24" t="s">
        <v>13</v>
      </c>
      <c r="D3951" s="24" t="s">
        <v>3052</v>
      </c>
      <c r="E3951" s="24" t="s">
        <v>3147</v>
      </c>
      <c r="F3951" s="24" t="s">
        <v>9</v>
      </c>
      <c r="G3951" s="24" t="s">
        <v>8</v>
      </c>
      <c r="H3951" s="24" t="s">
        <v>3148</v>
      </c>
      <c r="I3951" s="27">
        <v>320.07</v>
      </c>
    </row>
    <row r="3952" spans="2:9" ht="16">
      <c r="B3952" s="24" t="s">
        <v>1134</v>
      </c>
      <c r="C3952" s="24" t="s">
        <v>3149</v>
      </c>
      <c r="D3952" s="24" t="s">
        <v>3000</v>
      </c>
      <c r="E3952" s="24" t="s">
        <v>3150</v>
      </c>
      <c r="F3952" s="24" t="s">
        <v>9</v>
      </c>
      <c r="G3952" s="24" t="s">
        <v>8</v>
      </c>
      <c r="H3952" s="24" t="s">
        <v>3148</v>
      </c>
      <c r="I3952" s="27">
        <v>-320.07</v>
      </c>
    </row>
    <row r="3953" spans="2:9" ht="16">
      <c r="B3953" s="24" t="s">
        <v>1134</v>
      </c>
      <c r="C3953" s="24" t="s">
        <v>13</v>
      </c>
      <c r="D3953" s="24" t="s">
        <v>3052</v>
      </c>
      <c r="E3953" s="24" t="s">
        <v>3147</v>
      </c>
      <c r="F3953" s="24" t="s">
        <v>9</v>
      </c>
      <c r="G3953" s="24" t="s">
        <v>8</v>
      </c>
      <c r="H3953" s="24" t="s">
        <v>3151</v>
      </c>
      <c r="I3953" s="27">
        <v>29.93</v>
      </c>
    </row>
    <row r="3954" spans="2:9" ht="16">
      <c r="B3954" s="24" t="s">
        <v>1134</v>
      </c>
      <c r="C3954" s="24" t="s">
        <v>3149</v>
      </c>
      <c r="D3954" s="24" t="s">
        <v>3000</v>
      </c>
      <c r="E3954" s="24" t="s">
        <v>3150</v>
      </c>
      <c r="F3954" s="24" t="s">
        <v>9</v>
      </c>
      <c r="G3954" s="24" t="s">
        <v>8</v>
      </c>
      <c r="H3954" s="24" t="s">
        <v>3151</v>
      </c>
      <c r="I3954" s="27">
        <v>-29.93</v>
      </c>
    </row>
    <row r="3955" spans="2:9" ht="16">
      <c r="B3955" s="24" t="s">
        <v>1382</v>
      </c>
      <c r="C3955" s="24" t="s">
        <v>13</v>
      </c>
      <c r="D3955" s="24" t="s">
        <v>2919</v>
      </c>
      <c r="E3955" s="24" t="s">
        <v>3152</v>
      </c>
      <c r="F3955" s="24" t="s">
        <v>9</v>
      </c>
      <c r="G3955" s="24" t="s">
        <v>8</v>
      </c>
      <c r="H3955" s="24" t="s">
        <v>3153</v>
      </c>
      <c r="I3955" s="27">
        <v>1450.0</v>
      </c>
    </row>
    <row r="3956" spans="1:9" ht="16">
      <c r="A3956" s="35" t="s">
        <v>164</v>
      </c>
      <c r="I3956" s="28">
        <f>I3950+I3951+I3952+I3953+I3954+I3955</f>
        <v>1450.0</v>
      </c>
    </row>
    <row r="3957" spans="1:1" ht="16">
      <c r="A3957" s="34" t="s">
        <v>3136</v>
      </c>
    </row>
    <row r="3958" spans="2:9" ht="16">
      <c r="B3958" s="24" t="s">
        <v>8</v>
      </c>
      <c r="C3958" s="24" t="s">
        <v>6</v>
      </c>
      <c r="D3958" s="24" t="s">
        <v>2847</v>
      </c>
      <c r="E3958" s="24" t="s">
        <v>8</v>
      </c>
      <c r="F3958" s="24" t="s">
        <v>9</v>
      </c>
      <c r="G3958" s="24" t="s">
        <v>8</v>
      </c>
      <c r="H3958" s="24" t="s">
        <v>2848</v>
      </c>
      <c r="I3958" s="27">
        <v>397.2</v>
      </c>
    </row>
    <row r="3959" spans="2:9" ht="16">
      <c r="B3959" s="24" t="s">
        <v>45</v>
      </c>
      <c r="C3959" s="24" t="s">
        <v>13</v>
      </c>
      <c r="D3959" s="24" t="s">
        <v>2135</v>
      </c>
      <c r="E3959" s="24" t="s">
        <v>2136</v>
      </c>
      <c r="F3959" s="24" t="s">
        <v>9</v>
      </c>
      <c r="G3959" s="24" t="s">
        <v>8</v>
      </c>
      <c r="H3959" s="24" t="s">
        <v>8</v>
      </c>
      <c r="I3959" s="27">
        <v>556.08</v>
      </c>
    </row>
    <row r="3960" spans="1:9" ht="16">
      <c r="A3960" s="35" t="s">
        <v>50</v>
      </c>
      <c r="I3960" s="28">
        <f>I3957+I3958+I3959</f>
        <v>953.28</v>
      </c>
    </row>
    <row r="3961" spans="1:1" ht="16">
      <c r="A3961" s="34" t="s">
        <v>3136</v>
      </c>
    </row>
    <row r="3962" spans="2:9" ht="16">
      <c r="B3962" s="24" t="s">
        <v>961</v>
      </c>
      <c r="C3962" s="24" t="s">
        <v>6</v>
      </c>
      <c r="D3962" s="24" t="s">
        <v>2857</v>
      </c>
      <c r="E3962" s="24" t="s">
        <v>8</v>
      </c>
      <c r="F3962" s="24" t="s">
        <v>9</v>
      </c>
      <c r="G3962" s="24" t="s">
        <v>8</v>
      </c>
      <c r="H3962" s="24" t="s">
        <v>2858</v>
      </c>
      <c r="I3962" s="27">
        <v>794.6</v>
      </c>
    </row>
    <row r="3963" spans="2:9" ht="16">
      <c r="B3963" s="24" t="s">
        <v>961</v>
      </c>
      <c r="C3963" s="24" t="s">
        <v>6</v>
      </c>
      <c r="D3963" s="24" t="s">
        <v>2140</v>
      </c>
      <c r="E3963" s="24" t="s">
        <v>8</v>
      </c>
      <c r="F3963" s="24" t="s">
        <v>9</v>
      </c>
      <c r="G3963" s="24" t="s">
        <v>8</v>
      </c>
      <c r="H3963" s="24" t="s">
        <v>2141</v>
      </c>
      <c r="I3963" s="27">
        <v>1109.91</v>
      </c>
    </row>
    <row r="3964" spans="2:9" ht="16">
      <c r="B3964" s="24" t="s">
        <v>961</v>
      </c>
      <c r="C3964" s="24" t="s">
        <v>6</v>
      </c>
      <c r="D3964" s="24" t="s">
        <v>2104</v>
      </c>
      <c r="E3964" s="24" t="s">
        <v>8</v>
      </c>
      <c r="F3964" s="24" t="s">
        <v>9</v>
      </c>
      <c r="G3964" s="24" t="s">
        <v>8</v>
      </c>
      <c r="H3964" s="24" t="s">
        <v>2864</v>
      </c>
      <c r="I3964" s="27">
        <v>207.52</v>
      </c>
    </row>
    <row r="3965" spans="1:9" ht="16">
      <c r="A3965" s="35" t="s">
        <v>67</v>
      </c>
      <c r="I3965" s="28">
        <f>I3961+I3962+I3963+I3964</f>
        <v>2112.03</v>
      </c>
    </row>
    <row r="3966" spans="1:9" ht="16">
      <c r="A3966" s="36" t="s">
        <v>3154</v>
      </c>
      <c r="I3966" s="28">
        <f>I3946+I3949+I3956+I3960+I3965</f>
        <v>6279.91</v>
      </c>
    </row>
    <row r="3967" spans="1:1" ht="16">
      <c r="A3967" s="33" t="s">
        <v>172</v>
      </c>
    </row>
    <row r="3968" spans="1:1" ht="16">
      <c r="A3968" s="34" t="s">
        <v>3155</v>
      </c>
    </row>
    <row r="3969" spans="2:9" ht="16">
      <c r="B3969" s="24" t="s">
        <v>957</v>
      </c>
      <c r="C3969" s="24" t="s">
        <v>6</v>
      </c>
      <c r="D3969" s="24" t="s">
        <v>3156</v>
      </c>
      <c r="E3969" s="24" t="s">
        <v>8</v>
      </c>
      <c r="F3969" s="24" t="s">
        <v>9</v>
      </c>
      <c r="G3969" s="24" t="s">
        <v>8</v>
      </c>
      <c r="H3969" s="24" t="s">
        <v>958</v>
      </c>
      <c r="I3969" s="27">
        <v>395.0</v>
      </c>
    </row>
    <row r="3970" spans="2:9" ht="16">
      <c r="B3970" s="24" t="s">
        <v>957</v>
      </c>
      <c r="C3970" s="24" t="s">
        <v>6</v>
      </c>
      <c r="D3970" s="24" t="s">
        <v>3046</v>
      </c>
      <c r="E3970" s="24" t="s">
        <v>8</v>
      </c>
      <c r="F3970" s="24" t="s">
        <v>9</v>
      </c>
      <c r="G3970" s="24" t="s">
        <v>8</v>
      </c>
      <c r="H3970" s="24" t="s">
        <v>958</v>
      </c>
      <c r="I3970" s="27">
        <v>507.7</v>
      </c>
    </row>
    <row r="3971" spans="2:9" ht="16">
      <c r="B3971" s="24" t="s">
        <v>1176</v>
      </c>
      <c r="C3971" s="24" t="s">
        <v>13</v>
      </c>
      <c r="D3971" s="24" t="s">
        <v>3157</v>
      </c>
      <c r="E3971" s="24" t="s">
        <v>3158</v>
      </c>
      <c r="F3971" s="24" t="s">
        <v>9</v>
      </c>
      <c r="G3971" s="24" t="s">
        <v>8</v>
      </c>
      <c r="H3971" s="24" t="s">
        <v>3159</v>
      </c>
      <c r="I3971" s="27">
        <v>600.0</v>
      </c>
    </row>
    <row r="3972" spans="2:9" ht="16">
      <c r="B3972" s="24" t="s">
        <v>1176</v>
      </c>
      <c r="C3972" s="24" t="s">
        <v>6</v>
      </c>
      <c r="D3972" s="24" t="s">
        <v>3095</v>
      </c>
      <c r="E3972" s="24" t="s">
        <v>8</v>
      </c>
      <c r="F3972" s="24" t="s">
        <v>9</v>
      </c>
      <c r="G3972" s="24" t="s">
        <v>8</v>
      </c>
      <c r="H3972" s="24" t="s">
        <v>2624</v>
      </c>
      <c r="I3972" s="27">
        <v>618.56</v>
      </c>
    </row>
    <row r="3973" spans="1:9" ht="16">
      <c r="A3973" s="35" t="s">
        <v>81</v>
      </c>
      <c r="I3973" s="28">
        <f>I3968+I3969+I3970+I3971+I3972</f>
        <v>2121.26</v>
      </c>
    </row>
    <row r="3974" spans="1:1" ht="16">
      <c r="A3974" s="34" t="s">
        <v>3155</v>
      </c>
    </row>
    <row r="3975" spans="2:9" ht="16">
      <c r="B3975" s="24" t="s">
        <v>8</v>
      </c>
      <c r="C3975" s="24" t="s">
        <v>6</v>
      </c>
      <c r="D3975" s="24" t="s">
        <v>2622</v>
      </c>
      <c r="E3975" s="24" t="s">
        <v>8</v>
      </c>
      <c r="F3975" s="24" t="s">
        <v>9</v>
      </c>
      <c r="G3975" s="24" t="s">
        <v>8</v>
      </c>
      <c r="H3975" s="24" t="s">
        <v>3160</v>
      </c>
      <c r="I3975" s="27">
        <v>1569.11</v>
      </c>
    </row>
    <row r="3976" spans="1:9" ht="16">
      <c r="A3976" s="35" t="s">
        <v>2629</v>
      </c>
      <c r="I3976" s="28">
        <f>I3974+I3975</f>
        <v>1569.11</v>
      </c>
    </row>
    <row r="3977" spans="1:1" ht="16">
      <c r="A3977" s="34" t="s">
        <v>3155</v>
      </c>
    </row>
    <row r="3978" spans="2:9" ht="16">
      <c r="B3978" s="24" t="s">
        <v>21</v>
      </c>
      <c r="C3978" s="24" t="s">
        <v>13</v>
      </c>
      <c r="D3978" s="24" t="s">
        <v>2740</v>
      </c>
      <c r="E3978" s="24" t="s">
        <v>3161</v>
      </c>
      <c r="F3978" s="24" t="s">
        <v>9</v>
      </c>
      <c r="G3978" s="24" t="s">
        <v>8</v>
      </c>
      <c r="H3978" s="24" t="s">
        <v>3162</v>
      </c>
      <c r="I3978" s="27">
        <v>1511.65</v>
      </c>
    </row>
    <row r="3979" spans="2:9" ht="16">
      <c r="B3979" s="24" t="s">
        <v>2130</v>
      </c>
      <c r="C3979" s="24" t="s">
        <v>6</v>
      </c>
      <c r="D3979" s="24" t="s">
        <v>3163</v>
      </c>
      <c r="E3979" s="24" t="s">
        <v>8</v>
      </c>
      <c r="F3979" s="24" t="s">
        <v>9</v>
      </c>
      <c r="G3979" s="24" t="s">
        <v>8</v>
      </c>
      <c r="H3979" s="24" t="s">
        <v>3164</v>
      </c>
      <c r="I3979" s="27">
        <v>47.1</v>
      </c>
    </row>
    <row r="3980" spans="2:9" ht="16">
      <c r="B3980" s="24" t="s">
        <v>21</v>
      </c>
      <c r="C3980" s="24" t="s">
        <v>13</v>
      </c>
      <c r="D3980" s="24" t="s">
        <v>3156</v>
      </c>
      <c r="E3980" s="24" t="s">
        <v>3165</v>
      </c>
      <c r="F3980" s="24" t="s">
        <v>9</v>
      </c>
      <c r="G3980" s="24" t="s">
        <v>8</v>
      </c>
      <c r="H3980" s="24" t="s">
        <v>3166</v>
      </c>
      <c r="I3980" s="27">
        <v>809.03</v>
      </c>
    </row>
    <row r="3981" spans="2:9" ht="16">
      <c r="B3981" s="24" t="s">
        <v>186</v>
      </c>
      <c r="C3981" s="24" t="s">
        <v>13</v>
      </c>
      <c r="D3981" s="24" t="s">
        <v>2725</v>
      </c>
      <c r="E3981" s="24" t="s">
        <v>3167</v>
      </c>
      <c r="F3981" s="24" t="s">
        <v>9</v>
      </c>
      <c r="G3981" s="24" t="s">
        <v>8</v>
      </c>
      <c r="H3981" s="24" t="s">
        <v>3168</v>
      </c>
      <c r="I3981" s="27">
        <v>350.0</v>
      </c>
    </row>
    <row r="3982" spans="2:9" ht="16">
      <c r="B3982" s="24" t="s">
        <v>186</v>
      </c>
      <c r="C3982" s="24" t="s">
        <v>13</v>
      </c>
      <c r="D3982" s="24" t="s">
        <v>2589</v>
      </c>
      <c r="E3982" s="24" t="s">
        <v>3169</v>
      </c>
      <c r="F3982" s="24" t="s">
        <v>9</v>
      </c>
      <c r="G3982" s="24" t="s">
        <v>8</v>
      </c>
      <c r="H3982" s="24" t="s">
        <v>3168</v>
      </c>
      <c r="I3982" s="27">
        <v>350.0</v>
      </c>
    </row>
    <row r="3983" spans="2:9" ht="16">
      <c r="B3983" s="24" t="s">
        <v>186</v>
      </c>
      <c r="C3983" s="24" t="s">
        <v>13</v>
      </c>
      <c r="D3983" s="24" t="s">
        <v>2725</v>
      </c>
      <c r="E3983" s="24" t="s">
        <v>3167</v>
      </c>
      <c r="F3983" s="24" t="s">
        <v>9</v>
      </c>
      <c r="G3983" s="24" t="s">
        <v>8</v>
      </c>
      <c r="H3983" s="24" t="s">
        <v>3170</v>
      </c>
      <c r="I3983" s="27">
        <v>31.0</v>
      </c>
    </row>
    <row r="3984" spans="2:9" ht="16">
      <c r="B3984" s="24" t="s">
        <v>186</v>
      </c>
      <c r="C3984" s="24" t="s">
        <v>13</v>
      </c>
      <c r="D3984" s="24" t="s">
        <v>2589</v>
      </c>
      <c r="E3984" s="24" t="s">
        <v>3169</v>
      </c>
      <c r="F3984" s="24" t="s">
        <v>9</v>
      </c>
      <c r="G3984" s="24" t="s">
        <v>8</v>
      </c>
      <c r="H3984" s="24" t="s">
        <v>3170</v>
      </c>
      <c r="I3984" s="27">
        <v>31.0</v>
      </c>
    </row>
    <row r="3985" spans="2:9" ht="16">
      <c r="B3985" s="24" t="s">
        <v>186</v>
      </c>
      <c r="C3985" s="24" t="s">
        <v>13</v>
      </c>
      <c r="D3985" s="24" t="s">
        <v>2725</v>
      </c>
      <c r="E3985" s="24" t="s">
        <v>3167</v>
      </c>
      <c r="F3985" s="24" t="s">
        <v>9</v>
      </c>
      <c r="G3985" s="24" t="s">
        <v>8</v>
      </c>
      <c r="H3985" s="24" t="s">
        <v>3171</v>
      </c>
      <c r="I3985" s="27">
        <v>691.91</v>
      </c>
    </row>
    <row r="3986" spans="2:9" ht="16">
      <c r="B3986" s="24" t="s">
        <v>2130</v>
      </c>
      <c r="C3986" s="24" t="s">
        <v>6</v>
      </c>
      <c r="D3986" s="24" t="s">
        <v>3008</v>
      </c>
      <c r="E3986" s="24" t="s">
        <v>8</v>
      </c>
      <c r="F3986" s="24" t="s">
        <v>9</v>
      </c>
      <c r="G3986" s="24" t="s">
        <v>8</v>
      </c>
      <c r="H3986" s="24" t="s">
        <v>3172</v>
      </c>
      <c r="I3986" s="27">
        <v>447.51</v>
      </c>
    </row>
    <row r="3987" spans="2:9" ht="16">
      <c r="B3987" s="24" t="s">
        <v>2182</v>
      </c>
      <c r="C3987" s="24" t="s">
        <v>13</v>
      </c>
      <c r="D3987" s="24" t="s">
        <v>1940</v>
      </c>
      <c r="E3987" s="24" t="s">
        <v>3173</v>
      </c>
      <c r="F3987" s="24" t="s">
        <v>9</v>
      </c>
      <c r="G3987" s="24" t="s">
        <v>8</v>
      </c>
      <c r="H3987" s="24" t="s">
        <v>3174</v>
      </c>
      <c r="I3987" s="27">
        <v>1860.19</v>
      </c>
    </row>
    <row r="3988" spans="2:9" ht="16">
      <c r="B3988" s="24" t="s">
        <v>2182</v>
      </c>
      <c r="C3988" s="24" t="s">
        <v>13</v>
      </c>
      <c r="D3988" s="24" t="s">
        <v>3175</v>
      </c>
      <c r="E3988" s="24" t="s">
        <v>3176</v>
      </c>
      <c r="F3988" s="24" t="s">
        <v>9</v>
      </c>
      <c r="G3988" s="24" t="s">
        <v>8</v>
      </c>
      <c r="H3988" s="24" t="s">
        <v>3177</v>
      </c>
      <c r="I3988" s="27">
        <v>596.7</v>
      </c>
    </row>
    <row r="3989" spans="2:9" ht="16">
      <c r="B3989" s="24" t="s">
        <v>36</v>
      </c>
      <c r="C3989" s="24" t="s">
        <v>6</v>
      </c>
      <c r="D3989" s="24" t="s">
        <v>3178</v>
      </c>
      <c r="E3989" s="24" t="s">
        <v>8</v>
      </c>
      <c r="F3989" s="24" t="s">
        <v>9</v>
      </c>
      <c r="G3989" s="24" t="s">
        <v>8</v>
      </c>
      <c r="H3989" s="24" t="s">
        <v>3179</v>
      </c>
      <c r="I3989" s="27">
        <v>9454.6</v>
      </c>
    </row>
    <row r="3990" spans="2:9" ht="16">
      <c r="B3990" s="24" t="s">
        <v>493</v>
      </c>
      <c r="C3990" s="24" t="s">
        <v>13</v>
      </c>
      <c r="D3990" s="24" t="s">
        <v>3163</v>
      </c>
      <c r="E3990" s="24" t="s">
        <v>3180</v>
      </c>
      <c r="F3990" s="24" t="s">
        <v>9</v>
      </c>
      <c r="G3990" s="24" t="s">
        <v>8</v>
      </c>
      <c r="H3990" s="24" t="s">
        <v>3181</v>
      </c>
      <c r="I3990" s="27">
        <v>36.75</v>
      </c>
    </row>
    <row r="3991" spans="2:9" ht="16">
      <c r="B3991" s="24" t="s">
        <v>1167</v>
      </c>
      <c r="C3991" s="24" t="s">
        <v>6</v>
      </c>
      <c r="D3991" s="24" t="s">
        <v>3127</v>
      </c>
      <c r="E3991" s="24" t="s">
        <v>8</v>
      </c>
      <c r="F3991" s="24" t="s">
        <v>9</v>
      </c>
      <c r="G3991" s="24" t="s">
        <v>8</v>
      </c>
      <c r="H3991" s="24" t="s">
        <v>3182</v>
      </c>
      <c r="I3991" s="27">
        <v>1577.81</v>
      </c>
    </row>
    <row r="3992" spans="2:9" ht="16">
      <c r="B3992" s="24" t="s">
        <v>2130</v>
      </c>
      <c r="C3992" s="24" t="s">
        <v>6</v>
      </c>
      <c r="D3992" s="24" t="s">
        <v>3163</v>
      </c>
      <c r="E3992" s="24" t="s">
        <v>8</v>
      </c>
      <c r="F3992" s="24" t="s">
        <v>9</v>
      </c>
      <c r="G3992" s="24" t="s">
        <v>8</v>
      </c>
      <c r="H3992" s="24" t="s">
        <v>3183</v>
      </c>
      <c r="I3992" s="27">
        <v>678.41</v>
      </c>
    </row>
    <row r="3993" spans="2:9" ht="16">
      <c r="B3993" s="24" t="s">
        <v>21</v>
      </c>
      <c r="C3993" s="24" t="s">
        <v>13</v>
      </c>
      <c r="D3993" s="24" t="s">
        <v>2740</v>
      </c>
      <c r="E3993" s="24" t="s">
        <v>3184</v>
      </c>
      <c r="F3993" s="24" t="s">
        <v>9</v>
      </c>
      <c r="G3993" s="24" t="s">
        <v>8</v>
      </c>
      <c r="H3993" s="24" t="s">
        <v>3185</v>
      </c>
      <c r="I3993" s="27">
        <v>992.03</v>
      </c>
    </row>
    <row r="3994" spans="2:9" ht="16">
      <c r="B3994" s="24" t="s">
        <v>21</v>
      </c>
      <c r="C3994" s="24" t="s">
        <v>13</v>
      </c>
      <c r="D3994" s="24" t="s">
        <v>2740</v>
      </c>
      <c r="E3994" s="24" t="s">
        <v>3186</v>
      </c>
      <c r="F3994" s="24" t="s">
        <v>9</v>
      </c>
      <c r="G3994" s="24" t="s">
        <v>8</v>
      </c>
      <c r="H3994" s="24" t="s">
        <v>3185</v>
      </c>
      <c r="I3994" s="27">
        <v>472.67</v>
      </c>
    </row>
    <row r="3995" spans="2:9" ht="16">
      <c r="B3995" s="24" t="s">
        <v>21</v>
      </c>
      <c r="C3995" s="24" t="s">
        <v>13</v>
      </c>
      <c r="D3995" s="24" t="s">
        <v>2623</v>
      </c>
      <c r="E3995" s="24" t="s">
        <v>3187</v>
      </c>
      <c r="F3995" s="24" t="s">
        <v>9</v>
      </c>
      <c r="G3995" s="24" t="s">
        <v>8</v>
      </c>
      <c r="H3995" s="24" t="s">
        <v>3188</v>
      </c>
      <c r="I3995" s="27">
        <v>7187.86</v>
      </c>
    </row>
    <row r="3996" spans="2:9" ht="16">
      <c r="B3996" s="24" t="s">
        <v>21</v>
      </c>
      <c r="C3996" s="24" t="s">
        <v>13</v>
      </c>
      <c r="D3996" s="24" t="s">
        <v>2623</v>
      </c>
      <c r="E3996" s="24" t="s">
        <v>3189</v>
      </c>
      <c r="F3996" s="24" t="s">
        <v>9</v>
      </c>
      <c r="G3996" s="24" t="s">
        <v>8</v>
      </c>
      <c r="H3996" s="24" t="s">
        <v>3190</v>
      </c>
      <c r="I3996" s="27">
        <v>3915.27</v>
      </c>
    </row>
    <row r="3997" spans="2:9" ht="16">
      <c r="B3997" s="24" t="s">
        <v>1041</v>
      </c>
      <c r="C3997" s="24" t="s">
        <v>6</v>
      </c>
      <c r="D3997" s="24" t="s">
        <v>2622</v>
      </c>
      <c r="E3997" s="24" t="s">
        <v>8</v>
      </c>
      <c r="F3997" s="24" t="s">
        <v>9</v>
      </c>
      <c r="G3997" s="24" t="s">
        <v>8</v>
      </c>
      <c r="H3997" s="24" t="s">
        <v>3191</v>
      </c>
      <c r="I3997" s="27">
        <v>1006.84</v>
      </c>
    </row>
    <row r="3998" spans="2:9" ht="16">
      <c r="B3998" s="24" t="s">
        <v>8</v>
      </c>
      <c r="C3998" s="24" t="s">
        <v>6</v>
      </c>
      <c r="D3998" s="24" t="s">
        <v>2622</v>
      </c>
      <c r="E3998" s="24" t="s">
        <v>8</v>
      </c>
      <c r="F3998" s="24" t="s">
        <v>9</v>
      </c>
      <c r="G3998" s="24" t="s">
        <v>8</v>
      </c>
      <c r="H3998" s="24" t="s">
        <v>3192</v>
      </c>
      <c r="I3998" s="27">
        <v>105.68</v>
      </c>
    </row>
    <row r="3999" spans="2:9" ht="16">
      <c r="B3999" s="24" t="s">
        <v>8</v>
      </c>
      <c r="C3999" s="24" t="s">
        <v>6</v>
      </c>
      <c r="D3999" s="24" t="s">
        <v>2847</v>
      </c>
      <c r="E3999" s="24" t="s">
        <v>8</v>
      </c>
      <c r="F3999" s="24" t="s">
        <v>9</v>
      </c>
      <c r="G3999" s="24" t="s">
        <v>8</v>
      </c>
      <c r="H3999" s="24" t="s">
        <v>3193</v>
      </c>
      <c r="I3999" s="27">
        <v>229.19</v>
      </c>
    </row>
    <row r="4000" spans="2:9" ht="16">
      <c r="B4000" s="24" t="s">
        <v>8</v>
      </c>
      <c r="C4000" s="24" t="s">
        <v>6</v>
      </c>
      <c r="D4000" s="24" t="s">
        <v>2830</v>
      </c>
      <c r="E4000" s="24" t="s">
        <v>8</v>
      </c>
      <c r="F4000" s="24" t="s">
        <v>9</v>
      </c>
      <c r="G4000" s="24" t="s">
        <v>8</v>
      </c>
      <c r="H4000" s="24" t="s">
        <v>3194</v>
      </c>
      <c r="I4000" s="27">
        <v>29.79</v>
      </c>
    </row>
    <row r="4001" spans="2:9" ht="16">
      <c r="B4001" s="24" t="s">
        <v>1041</v>
      </c>
      <c r="C4001" s="24" t="s">
        <v>6</v>
      </c>
      <c r="D4001" s="24" t="s">
        <v>3195</v>
      </c>
      <c r="E4001" s="24" t="s">
        <v>8</v>
      </c>
      <c r="F4001" s="24" t="s">
        <v>9</v>
      </c>
      <c r="G4001" s="24" t="s">
        <v>8</v>
      </c>
      <c r="H4001" s="24" t="s">
        <v>3196</v>
      </c>
      <c r="I4001" s="27">
        <v>181.5</v>
      </c>
    </row>
    <row r="4002" spans="2:9" ht="16">
      <c r="B4002" s="24" t="s">
        <v>8</v>
      </c>
      <c r="C4002" s="24" t="s">
        <v>6</v>
      </c>
      <c r="D4002" s="24" t="s">
        <v>3195</v>
      </c>
      <c r="E4002" s="24" t="s">
        <v>8</v>
      </c>
      <c r="F4002" s="24" t="s">
        <v>9</v>
      </c>
      <c r="G4002" s="24" t="s">
        <v>8</v>
      </c>
      <c r="H4002" s="24" t="s">
        <v>3197</v>
      </c>
      <c r="I4002" s="27">
        <v>234.64</v>
      </c>
    </row>
    <row r="4003" spans="2:9" ht="16">
      <c r="B4003" s="24" t="s">
        <v>21</v>
      </c>
      <c r="C4003" s="24" t="s">
        <v>13</v>
      </c>
      <c r="D4003" s="24" t="s">
        <v>2125</v>
      </c>
      <c r="E4003" s="24" t="s">
        <v>3198</v>
      </c>
      <c r="F4003" s="24" t="s">
        <v>9</v>
      </c>
      <c r="G4003" s="24" t="s">
        <v>8</v>
      </c>
      <c r="H4003" s="24" t="s">
        <v>3199</v>
      </c>
      <c r="I4003" s="27">
        <v>5554.42</v>
      </c>
    </row>
    <row r="4004" spans="2:9" ht="16">
      <c r="B4004" s="24" t="s">
        <v>127</v>
      </c>
      <c r="C4004" s="24" t="s">
        <v>6</v>
      </c>
      <c r="D4004" s="24" t="s">
        <v>3056</v>
      </c>
      <c r="E4004" s="24" t="s">
        <v>8</v>
      </c>
      <c r="F4004" s="24" t="s">
        <v>9</v>
      </c>
      <c r="G4004" s="24" t="s">
        <v>8</v>
      </c>
      <c r="H4004" s="24" t="s">
        <v>3200</v>
      </c>
      <c r="I4004" s="27">
        <v>7.21</v>
      </c>
    </row>
    <row r="4005" spans="2:9" ht="16">
      <c r="B4005" s="24" t="s">
        <v>8</v>
      </c>
      <c r="C4005" s="24" t="s">
        <v>6</v>
      </c>
      <c r="D4005" s="24" t="s">
        <v>1192</v>
      </c>
      <c r="E4005" s="24" t="s">
        <v>8</v>
      </c>
      <c r="F4005" s="24" t="s">
        <v>9</v>
      </c>
      <c r="G4005" s="24" t="s">
        <v>8</v>
      </c>
      <c r="H4005" s="24" t="s">
        <v>3201</v>
      </c>
      <c r="I4005" s="27">
        <v>110.85</v>
      </c>
    </row>
    <row r="4006" spans="2:9" ht="16">
      <c r="B4006" s="24" t="s">
        <v>127</v>
      </c>
      <c r="C4006" s="24" t="s">
        <v>6</v>
      </c>
      <c r="D4006" s="24" t="s">
        <v>3202</v>
      </c>
      <c r="E4006" s="24" t="s">
        <v>8</v>
      </c>
      <c r="F4006" s="24" t="s">
        <v>9</v>
      </c>
      <c r="G4006" s="24" t="s">
        <v>8</v>
      </c>
      <c r="H4006" s="24" t="s">
        <v>3203</v>
      </c>
      <c r="I4006" s="27">
        <v>38.01</v>
      </c>
    </row>
    <row r="4007" spans="2:9" ht="16">
      <c r="B4007" s="24" t="s">
        <v>2130</v>
      </c>
      <c r="C4007" s="24" t="s">
        <v>6</v>
      </c>
      <c r="D4007" s="24" t="s">
        <v>2608</v>
      </c>
      <c r="E4007" s="24" t="s">
        <v>8</v>
      </c>
      <c r="F4007" s="24" t="s">
        <v>9</v>
      </c>
      <c r="G4007" s="24" t="s">
        <v>8</v>
      </c>
      <c r="H4007" s="24" t="s">
        <v>3204</v>
      </c>
      <c r="I4007" s="27">
        <v>1406.06</v>
      </c>
    </row>
    <row r="4008" spans="2:9" ht="16">
      <c r="B4008" s="24" t="s">
        <v>493</v>
      </c>
      <c r="C4008" s="24" t="s">
        <v>13</v>
      </c>
      <c r="D4008" s="24" t="s">
        <v>3163</v>
      </c>
      <c r="E4008" s="24" t="s">
        <v>3180</v>
      </c>
      <c r="F4008" s="24" t="s">
        <v>9</v>
      </c>
      <c r="G4008" s="24" t="s">
        <v>8</v>
      </c>
      <c r="H4008" s="24" t="s">
        <v>3205</v>
      </c>
      <c r="I4008" s="27">
        <v>128.0</v>
      </c>
    </row>
    <row r="4009" spans="2:9" ht="16">
      <c r="B4009" s="24" t="s">
        <v>493</v>
      </c>
      <c r="C4009" s="24" t="s">
        <v>13</v>
      </c>
      <c r="D4009" s="24" t="s">
        <v>3163</v>
      </c>
      <c r="E4009" s="24" t="s">
        <v>3180</v>
      </c>
      <c r="F4009" s="24" t="s">
        <v>9</v>
      </c>
      <c r="G4009" s="24" t="s">
        <v>8</v>
      </c>
      <c r="H4009" s="24" t="s">
        <v>3206</v>
      </c>
      <c r="I4009" s="27">
        <v>120.75</v>
      </c>
    </row>
    <row r="4010" spans="2:9" ht="16">
      <c r="B4010" s="24" t="s">
        <v>493</v>
      </c>
      <c r="C4010" s="24" t="s">
        <v>13</v>
      </c>
      <c r="D4010" s="24" t="s">
        <v>3163</v>
      </c>
      <c r="E4010" s="24" t="s">
        <v>3180</v>
      </c>
      <c r="F4010" s="24" t="s">
        <v>9</v>
      </c>
      <c r="G4010" s="24" t="s">
        <v>8</v>
      </c>
      <c r="H4010" s="24" t="s">
        <v>3207</v>
      </c>
      <c r="I4010" s="27">
        <v>43.33</v>
      </c>
    </row>
    <row r="4011" spans="2:9" ht="16">
      <c r="B4011" s="24" t="s">
        <v>493</v>
      </c>
      <c r="C4011" s="24" t="s">
        <v>13</v>
      </c>
      <c r="D4011" s="24" t="s">
        <v>3163</v>
      </c>
      <c r="E4011" s="24" t="s">
        <v>3180</v>
      </c>
      <c r="F4011" s="24" t="s">
        <v>9</v>
      </c>
      <c r="G4011" s="24" t="s">
        <v>8</v>
      </c>
      <c r="H4011" s="24" t="s">
        <v>3208</v>
      </c>
      <c r="I4011" s="27">
        <v>76.35</v>
      </c>
    </row>
    <row r="4012" spans="2:9" ht="16">
      <c r="B4012" s="24" t="s">
        <v>21</v>
      </c>
      <c r="C4012" s="24" t="s">
        <v>13</v>
      </c>
      <c r="D4012" s="24" t="s">
        <v>3156</v>
      </c>
      <c r="E4012" s="24" t="s">
        <v>3209</v>
      </c>
      <c r="F4012" s="24" t="s">
        <v>9</v>
      </c>
      <c r="G4012" s="24" t="s">
        <v>8</v>
      </c>
      <c r="H4012" s="24" t="s">
        <v>3210</v>
      </c>
      <c r="I4012" s="27">
        <v>3513.65</v>
      </c>
    </row>
    <row r="4013" spans="2:9" ht="16">
      <c r="B4013" s="24" t="s">
        <v>186</v>
      </c>
      <c r="C4013" s="24" t="s">
        <v>13</v>
      </c>
      <c r="D4013" s="24" t="s">
        <v>2589</v>
      </c>
      <c r="E4013" s="24" t="s">
        <v>3169</v>
      </c>
      <c r="F4013" s="24" t="s">
        <v>9</v>
      </c>
      <c r="G4013" s="24" t="s">
        <v>8</v>
      </c>
      <c r="H4013" s="24" t="s">
        <v>3211</v>
      </c>
      <c r="I4013" s="27">
        <v>113.4</v>
      </c>
    </row>
    <row r="4014" spans="2:9" ht="16">
      <c r="B4014" s="24" t="s">
        <v>186</v>
      </c>
      <c r="C4014" s="24" t="s">
        <v>13</v>
      </c>
      <c r="D4014" s="24" t="s">
        <v>2725</v>
      </c>
      <c r="E4014" s="24" t="s">
        <v>3167</v>
      </c>
      <c r="F4014" s="24" t="s">
        <v>9</v>
      </c>
      <c r="G4014" s="24" t="s">
        <v>8</v>
      </c>
      <c r="H4014" s="24" t="s">
        <v>3212</v>
      </c>
      <c r="I4014" s="27">
        <v>98.89</v>
      </c>
    </row>
    <row r="4015" spans="2:9" ht="16">
      <c r="B4015" s="24" t="s">
        <v>12</v>
      </c>
      <c r="C4015" s="24" t="s">
        <v>13</v>
      </c>
      <c r="D4015" s="24" t="s">
        <v>3000</v>
      </c>
      <c r="E4015" s="24" t="s">
        <v>3213</v>
      </c>
      <c r="F4015" s="24" t="s">
        <v>9</v>
      </c>
      <c r="G4015" s="24" t="s">
        <v>8</v>
      </c>
      <c r="H4015" s="24" t="s">
        <v>3214</v>
      </c>
      <c r="I4015" s="27">
        <v>158.56</v>
      </c>
    </row>
    <row r="4016" spans="2:9" ht="16">
      <c r="B4016" s="24" t="s">
        <v>8</v>
      </c>
      <c r="C4016" s="24" t="s">
        <v>139</v>
      </c>
      <c r="D4016" s="24" t="s">
        <v>3008</v>
      </c>
      <c r="E4016" s="24" t="s">
        <v>8</v>
      </c>
      <c r="F4016" s="24" t="s">
        <v>9</v>
      </c>
      <c r="G4016" s="24" t="s">
        <v>8</v>
      </c>
      <c r="H4016" s="24" t="s">
        <v>3215</v>
      </c>
      <c r="I4016" s="27">
        <v>-447.51</v>
      </c>
    </row>
    <row r="4017" spans="2:9" ht="16">
      <c r="B4017" s="24" t="s">
        <v>8</v>
      </c>
      <c r="C4017" s="24" t="s">
        <v>6</v>
      </c>
      <c r="D4017" s="24" t="s">
        <v>3000</v>
      </c>
      <c r="E4017" s="24" t="s">
        <v>8</v>
      </c>
      <c r="F4017" s="24" t="s">
        <v>9</v>
      </c>
      <c r="G4017" s="24" t="s">
        <v>8</v>
      </c>
      <c r="H4017" s="24" t="s">
        <v>3216</v>
      </c>
      <c r="I4017" s="27">
        <v>259.02</v>
      </c>
    </row>
    <row r="4018" spans="2:9" ht="16">
      <c r="B4018" s="24" t="s">
        <v>2130</v>
      </c>
      <c r="C4018" s="24" t="s">
        <v>6</v>
      </c>
      <c r="D4018" s="24" t="s">
        <v>3217</v>
      </c>
      <c r="E4018" s="24" t="s">
        <v>8</v>
      </c>
      <c r="F4018" s="24" t="s">
        <v>9</v>
      </c>
      <c r="G4018" s="24" t="s">
        <v>8</v>
      </c>
      <c r="H4018" s="24" t="s">
        <v>2046</v>
      </c>
      <c r="I4018" s="27">
        <v>20.69</v>
      </c>
    </row>
    <row r="4019" spans="2:9" ht="16">
      <c r="B4019" s="24" t="s">
        <v>8</v>
      </c>
      <c r="C4019" s="24" t="s">
        <v>6</v>
      </c>
      <c r="D4019" s="24" t="s">
        <v>2672</v>
      </c>
      <c r="E4019" s="24" t="s">
        <v>8</v>
      </c>
      <c r="F4019" s="24" t="s">
        <v>9</v>
      </c>
      <c r="G4019" s="24" t="s">
        <v>8</v>
      </c>
      <c r="H4019" s="24" t="s">
        <v>2752</v>
      </c>
      <c r="I4019" s="27">
        <v>55.7</v>
      </c>
    </row>
    <row r="4020" spans="2:9" ht="16">
      <c r="B4020" s="24" t="s">
        <v>2130</v>
      </c>
      <c r="C4020" s="24" t="s">
        <v>6</v>
      </c>
      <c r="D4020" s="24" t="s">
        <v>3120</v>
      </c>
      <c r="E4020" s="24" t="s">
        <v>8</v>
      </c>
      <c r="F4020" s="24" t="s">
        <v>9</v>
      </c>
      <c r="G4020" s="24" t="s">
        <v>8</v>
      </c>
      <c r="H4020" s="24" t="s">
        <v>524</v>
      </c>
      <c r="I4020" s="27">
        <v>115.43</v>
      </c>
    </row>
    <row r="4021" spans="2:9" ht="16">
      <c r="B4021" s="24" t="s">
        <v>2130</v>
      </c>
      <c r="C4021" s="24" t="s">
        <v>6</v>
      </c>
      <c r="D4021" s="24" t="s">
        <v>3218</v>
      </c>
      <c r="E4021" s="24" t="s">
        <v>8</v>
      </c>
      <c r="F4021" s="24" t="s">
        <v>9</v>
      </c>
      <c r="G4021" s="24" t="s">
        <v>8</v>
      </c>
      <c r="H4021" s="24" t="s">
        <v>1107</v>
      </c>
      <c r="I4021" s="27">
        <v>149.36</v>
      </c>
    </row>
    <row r="4022" spans="2:9" ht="16">
      <c r="B4022" s="24" t="s">
        <v>186</v>
      </c>
      <c r="C4022" s="24" t="s">
        <v>13</v>
      </c>
      <c r="D4022" s="24" t="s">
        <v>2725</v>
      </c>
      <c r="E4022" s="24" t="s">
        <v>3167</v>
      </c>
      <c r="F4022" s="24" t="s">
        <v>9</v>
      </c>
      <c r="G4022" s="24" t="s">
        <v>8</v>
      </c>
      <c r="H4022" s="24" t="s">
        <v>3219</v>
      </c>
      <c r="I4022" s="27">
        <v>85.27</v>
      </c>
    </row>
    <row r="4023" spans="2:9" ht="16">
      <c r="B4023" s="24" t="s">
        <v>186</v>
      </c>
      <c r="C4023" s="24" t="s">
        <v>13</v>
      </c>
      <c r="D4023" s="24" t="s">
        <v>2589</v>
      </c>
      <c r="E4023" s="24" t="s">
        <v>3169</v>
      </c>
      <c r="F4023" s="24" t="s">
        <v>9</v>
      </c>
      <c r="G4023" s="24" t="s">
        <v>8</v>
      </c>
      <c r="H4023" s="24" t="s">
        <v>3219</v>
      </c>
      <c r="I4023" s="27">
        <v>43.33</v>
      </c>
    </row>
    <row r="4024" spans="1:9" ht="16">
      <c r="A4024" s="35" t="s">
        <v>40</v>
      </c>
      <c r="I4024" s="28">
        <f>I3977+I3978+I3979+I3980+I3981+I3982+I3983+I3984+I3985+I3986+I3987+I3988+I3989+I3990+I3991+I3992+I3993+I3994+I3995+I3996+I3997+I3998+I3999+I4000+I4001+I4002+I4003+I4004+I4005+I4006+I4007+I4008+I4009+I4010+I4011+I4012+I4013+I4014+I4015+I4016+I4017+I4018+I4019+I4020+I4021+I4022+I4023</f>
        <v>44479.89999999999</v>
      </c>
    </row>
    <row r="4025" spans="1:1" ht="16">
      <c r="A4025" s="34" t="s">
        <v>3155</v>
      </c>
    </row>
    <row r="4026" spans="2:9" ht="16">
      <c r="B4026" s="24" t="s">
        <v>589</v>
      </c>
      <c r="C4026" s="24" t="s">
        <v>6</v>
      </c>
      <c r="D4026" s="24" t="s">
        <v>3220</v>
      </c>
      <c r="E4026" s="24" t="s">
        <v>8</v>
      </c>
      <c r="F4026" s="24" t="s">
        <v>42</v>
      </c>
      <c r="G4026" s="24" t="s">
        <v>8</v>
      </c>
      <c r="H4026" s="24" t="s">
        <v>3221</v>
      </c>
      <c r="I4026" s="27">
        <v>67.51</v>
      </c>
    </row>
    <row r="4027" spans="1:9" ht="16">
      <c r="A4027" s="35" t="s">
        <v>666</v>
      </c>
      <c r="I4027" s="28">
        <f>I4025+I4026</f>
        <v>67.51</v>
      </c>
    </row>
    <row r="4028" spans="1:1" ht="16">
      <c r="A4028" s="34" t="s">
        <v>3155</v>
      </c>
    </row>
    <row r="4029" spans="2:9" ht="16">
      <c r="B4029" s="24" t="s">
        <v>1124</v>
      </c>
      <c r="C4029" s="24" t="s">
        <v>6</v>
      </c>
      <c r="D4029" s="24" t="s">
        <v>2585</v>
      </c>
      <c r="E4029" s="24" t="s">
        <v>8</v>
      </c>
      <c r="F4029" s="24" t="s">
        <v>9</v>
      </c>
      <c r="G4029" s="24" t="s">
        <v>8</v>
      </c>
      <c r="H4029" s="24" t="s">
        <v>1125</v>
      </c>
      <c r="I4029" s="27">
        <v>1330.0</v>
      </c>
    </row>
    <row r="4030" spans="2:9" ht="16">
      <c r="B4030" s="24" t="s">
        <v>1124</v>
      </c>
      <c r="C4030" s="24" t="s">
        <v>6</v>
      </c>
      <c r="D4030" s="24" t="s">
        <v>2585</v>
      </c>
      <c r="E4030" s="24" t="s">
        <v>8</v>
      </c>
      <c r="F4030" s="24" t="s">
        <v>9</v>
      </c>
      <c r="G4030" s="24" t="s">
        <v>8</v>
      </c>
      <c r="H4030" s="24" t="s">
        <v>1125</v>
      </c>
      <c r="I4030" s="27">
        <v>1330.0</v>
      </c>
    </row>
    <row r="4031" spans="1:9" ht="16">
      <c r="A4031" s="35" t="s">
        <v>1127</v>
      </c>
      <c r="I4031" s="28">
        <f>I4028+I4029+I4030</f>
        <v>2660.0</v>
      </c>
    </row>
    <row r="4032" spans="1:1" ht="16">
      <c r="A4032" s="34" t="s">
        <v>3155</v>
      </c>
    </row>
    <row r="4033" spans="2:9" ht="16">
      <c r="B4033" s="24" t="s">
        <v>589</v>
      </c>
      <c r="C4033" s="24" t="s">
        <v>6</v>
      </c>
      <c r="D4033" s="24" t="s">
        <v>2555</v>
      </c>
      <c r="E4033" s="24" t="s">
        <v>3222</v>
      </c>
      <c r="F4033" s="24" t="s">
        <v>9</v>
      </c>
      <c r="G4033" s="24" t="s">
        <v>8</v>
      </c>
      <c r="H4033" s="24" t="s">
        <v>3223</v>
      </c>
      <c r="I4033" s="27">
        <v>9.13</v>
      </c>
    </row>
    <row r="4034" spans="2:9" ht="16">
      <c r="B4034" s="24" t="s">
        <v>2130</v>
      </c>
      <c r="C4034" s="24" t="s">
        <v>6</v>
      </c>
      <c r="D4034" s="24" t="s">
        <v>3008</v>
      </c>
      <c r="E4034" s="24" t="s">
        <v>8</v>
      </c>
      <c r="F4034" s="24" t="s">
        <v>9</v>
      </c>
      <c r="G4034" s="24" t="s">
        <v>8</v>
      </c>
      <c r="H4034" s="24" t="s">
        <v>3224</v>
      </c>
      <c r="I4034" s="27">
        <v>170.1</v>
      </c>
    </row>
    <row r="4035" spans="2:9" ht="16">
      <c r="B4035" s="24" t="s">
        <v>36</v>
      </c>
      <c r="C4035" s="24" t="s">
        <v>6</v>
      </c>
      <c r="D4035" s="24" t="s">
        <v>3225</v>
      </c>
      <c r="E4035" s="24" t="s">
        <v>8</v>
      </c>
      <c r="F4035" s="24" t="s">
        <v>9</v>
      </c>
      <c r="G4035" s="24" t="s">
        <v>8</v>
      </c>
      <c r="H4035" s="24" t="s">
        <v>3226</v>
      </c>
      <c r="I4035" s="27">
        <v>131.3</v>
      </c>
    </row>
    <row r="4036" spans="2:9" ht="16">
      <c r="B4036" s="24" t="s">
        <v>589</v>
      </c>
      <c r="C4036" s="24" t="s">
        <v>6</v>
      </c>
      <c r="D4036" s="24" t="s">
        <v>2555</v>
      </c>
      <c r="E4036" s="24" t="s">
        <v>3222</v>
      </c>
      <c r="F4036" s="24" t="s">
        <v>9</v>
      </c>
      <c r="G4036" s="24" t="s">
        <v>8</v>
      </c>
      <c r="H4036" s="24" t="s">
        <v>3227</v>
      </c>
      <c r="I4036" s="27">
        <v>11.26</v>
      </c>
    </row>
    <row r="4037" spans="2:9" ht="16">
      <c r="B4037" s="24" t="s">
        <v>2130</v>
      </c>
      <c r="C4037" s="24" t="s">
        <v>6</v>
      </c>
      <c r="D4037" s="24" t="s">
        <v>3008</v>
      </c>
      <c r="E4037" s="24" t="s">
        <v>8</v>
      </c>
      <c r="F4037" s="24" t="s">
        <v>9</v>
      </c>
      <c r="G4037" s="24" t="s">
        <v>8</v>
      </c>
      <c r="H4037" s="24" t="s">
        <v>3228</v>
      </c>
      <c r="I4037" s="27">
        <v>111.81</v>
      </c>
    </row>
    <row r="4038" spans="2:9" ht="16">
      <c r="B4038" s="24" t="s">
        <v>2130</v>
      </c>
      <c r="C4038" s="24" t="s">
        <v>6</v>
      </c>
      <c r="D4038" s="24" t="s">
        <v>2608</v>
      </c>
      <c r="E4038" s="24" t="s">
        <v>8</v>
      </c>
      <c r="F4038" s="24" t="s">
        <v>9</v>
      </c>
      <c r="G4038" s="24" t="s">
        <v>8</v>
      </c>
      <c r="H4038" s="24" t="s">
        <v>3229</v>
      </c>
      <c r="I4038" s="27">
        <v>517.53</v>
      </c>
    </row>
    <row r="4039" spans="1:9" ht="16">
      <c r="A4039" s="35" t="s">
        <v>267</v>
      </c>
      <c r="I4039" s="28">
        <f>I4032+I4033+I4034+I4035+I4036+I4037+I4038</f>
        <v>951.1299999999999</v>
      </c>
    </row>
    <row r="4040" spans="1:1" ht="16">
      <c r="A4040" s="34" t="s">
        <v>3155</v>
      </c>
    </row>
    <row r="4041" spans="2:9" ht="16">
      <c r="B4041" s="24" t="s">
        <v>1130</v>
      </c>
      <c r="C4041" s="24" t="s">
        <v>13</v>
      </c>
      <c r="D4041" s="24" t="s">
        <v>3217</v>
      </c>
      <c r="E4041" s="24" t="s">
        <v>3230</v>
      </c>
      <c r="F4041" s="24" t="s">
        <v>9</v>
      </c>
      <c r="G4041" s="24" t="s">
        <v>8</v>
      </c>
      <c r="H4041" s="24" t="s">
        <v>3231</v>
      </c>
      <c r="I4041" s="27">
        <v>15354.0</v>
      </c>
    </row>
    <row r="4042" spans="2:9" ht="16">
      <c r="B4042" s="24" t="s">
        <v>1130</v>
      </c>
      <c r="C4042" s="24" t="s">
        <v>13</v>
      </c>
      <c r="D4042" s="24" t="s">
        <v>2822</v>
      </c>
      <c r="E4042" s="24" t="s">
        <v>3232</v>
      </c>
      <c r="F4042" s="24" t="s">
        <v>9</v>
      </c>
      <c r="G4042" s="24" t="s">
        <v>8</v>
      </c>
      <c r="H4042" s="24" t="s">
        <v>3233</v>
      </c>
      <c r="I4042" s="27">
        <v>1656.0</v>
      </c>
    </row>
    <row r="4043" spans="2:9" ht="16">
      <c r="B4043" s="24" t="s">
        <v>1130</v>
      </c>
      <c r="C4043" s="24" t="s">
        <v>13</v>
      </c>
      <c r="D4043" s="24" t="s">
        <v>2547</v>
      </c>
      <c r="E4043" s="24" t="s">
        <v>3234</v>
      </c>
      <c r="F4043" s="24" t="s">
        <v>9</v>
      </c>
      <c r="G4043" s="24" t="s">
        <v>8</v>
      </c>
      <c r="H4043" s="24" t="s">
        <v>3233</v>
      </c>
      <c r="I4043" s="27">
        <v>4896.0</v>
      </c>
    </row>
    <row r="4044" spans="2:9" ht="16">
      <c r="B4044" s="24" t="s">
        <v>2406</v>
      </c>
      <c r="C4044" s="24" t="s">
        <v>6</v>
      </c>
      <c r="D4044" s="24" t="s">
        <v>3052</v>
      </c>
      <c r="E4044" s="24" t="s">
        <v>8</v>
      </c>
      <c r="F4044" s="24" t="s">
        <v>9</v>
      </c>
      <c r="G4044" s="24" t="s">
        <v>8</v>
      </c>
      <c r="H4044" s="24" t="s">
        <v>3235</v>
      </c>
      <c r="I4044" s="27">
        <v>7650.0</v>
      </c>
    </row>
    <row r="4045" spans="2:9" ht="16">
      <c r="B4045" s="24" t="s">
        <v>1140</v>
      </c>
      <c r="C4045" s="24" t="s">
        <v>13</v>
      </c>
      <c r="D4045" s="24" t="s">
        <v>3217</v>
      </c>
      <c r="E4045" s="24" t="s">
        <v>1912</v>
      </c>
      <c r="F4045" s="24" t="s">
        <v>9</v>
      </c>
      <c r="G4045" s="24" t="s">
        <v>8</v>
      </c>
      <c r="H4045" s="24" t="s">
        <v>3236</v>
      </c>
      <c r="I4045" s="27">
        <v>13500.0</v>
      </c>
    </row>
    <row r="4046" spans="2:9" ht="16">
      <c r="B4046" s="24" t="s">
        <v>1140</v>
      </c>
      <c r="C4046" s="24" t="s">
        <v>13</v>
      </c>
      <c r="D4046" s="24" t="s">
        <v>2601</v>
      </c>
      <c r="E4046" s="24" t="s">
        <v>3237</v>
      </c>
      <c r="F4046" s="24" t="s">
        <v>9</v>
      </c>
      <c r="G4046" s="24" t="s">
        <v>8</v>
      </c>
      <c r="H4046" s="24" t="s">
        <v>3236</v>
      </c>
      <c r="I4046" s="27">
        <v>52200.0</v>
      </c>
    </row>
    <row r="4047" spans="2:9" ht="16">
      <c r="B4047" s="24" t="s">
        <v>1140</v>
      </c>
      <c r="C4047" s="24" t="s">
        <v>13</v>
      </c>
      <c r="D4047" s="24" t="s">
        <v>2608</v>
      </c>
      <c r="E4047" s="24" t="s">
        <v>3238</v>
      </c>
      <c r="F4047" s="24" t="s">
        <v>9</v>
      </c>
      <c r="G4047" s="24" t="s">
        <v>8</v>
      </c>
      <c r="H4047" s="24" t="s">
        <v>3236</v>
      </c>
      <c r="I4047" s="27">
        <v>10350.0</v>
      </c>
    </row>
    <row r="4048" spans="2:9" ht="16">
      <c r="B4048" s="24" t="s">
        <v>2792</v>
      </c>
      <c r="C4048" s="24" t="s">
        <v>13</v>
      </c>
      <c r="D4048" s="24" t="s">
        <v>3175</v>
      </c>
      <c r="E4048" s="24" t="s">
        <v>3239</v>
      </c>
      <c r="F4048" s="24" t="s">
        <v>9</v>
      </c>
      <c r="G4048" s="24" t="s">
        <v>8</v>
      </c>
      <c r="H4048" s="24" t="s">
        <v>3240</v>
      </c>
      <c r="I4048" s="27">
        <v>10800.0</v>
      </c>
    </row>
    <row r="4049" spans="2:9" ht="16">
      <c r="B4049" s="24" t="s">
        <v>1182</v>
      </c>
      <c r="C4049" s="24" t="s">
        <v>13</v>
      </c>
      <c r="D4049" s="24" t="s">
        <v>3121</v>
      </c>
      <c r="E4049" s="24" t="s">
        <v>3241</v>
      </c>
      <c r="F4049" s="24" t="s">
        <v>9</v>
      </c>
      <c r="G4049" s="24" t="s">
        <v>8</v>
      </c>
      <c r="H4049" s="24" t="s">
        <v>3242</v>
      </c>
      <c r="I4049" s="27">
        <v>33458.4</v>
      </c>
    </row>
    <row r="4050" spans="2:9" ht="16">
      <c r="B4050" s="24" t="s">
        <v>1182</v>
      </c>
      <c r="C4050" s="24" t="s">
        <v>13</v>
      </c>
      <c r="D4050" s="24" t="s">
        <v>3243</v>
      </c>
      <c r="E4050" s="24" t="s">
        <v>3244</v>
      </c>
      <c r="F4050" s="24" t="s">
        <v>9</v>
      </c>
      <c r="G4050" s="24" t="s">
        <v>8</v>
      </c>
      <c r="H4050" s="24" t="s">
        <v>3245</v>
      </c>
      <c r="I4050" s="27">
        <v>11615.4</v>
      </c>
    </row>
    <row r="4051" spans="2:9" ht="16">
      <c r="B4051" s="24" t="s">
        <v>1130</v>
      </c>
      <c r="C4051" s="24" t="s">
        <v>13</v>
      </c>
      <c r="D4051" s="24" t="s">
        <v>3246</v>
      </c>
      <c r="E4051" s="24" t="s">
        <v>3247</v>
      </c>
      <c r="F4051" s="24" t="s">
        <v>9</v>
      </c>
      <c r="G4051" s="24" t="s">
        <v>8</v>
      </c>
      <c r="H4051" s="24" t="s">
        <v>3248</v>
      </c>
      <c r="I4051" s="27">
        <v>1651.5</v>
      </c>
    </row>
    <row r="4052" spans="2:9" ht="16">
      <c r="B4052" s="24" t="s">
        <v>1130</v>
      </c>
      <c r="C4052" s="24" t="s">
        <v>13</v>
      </c>
      <c r="D4052" s="24" t="s">
        <v>3246</v>
      </c>
      <c r="E4052" s="24" t="s">
        <v>3249</v>
      </c>
      <c r="F4052" s="24" t="s">
        <v>9</v>
      </c>
      <c r="G4052" s="24" t="s">
        <v>8</v>
      </c>
      <c r="H4052" s="24" t="s">
        <v>3250</v>
      </c>
      <c r="I4052" s="27">
        <v>2617.5</v>
      </c>
    </row>
    <row r="4053" spans="2:9" ht="16">
      <c r="B4053" s="24" t="s">
        <v>1182</v>
      </c>
      <c r="C4053" s="24" t="s">
        <v>13</v>
      </c>
      <c r="D4053" s="24" t="s">
        <v>2822</v>
      </c>
      <c r="E4053" s="24" t="s">
        <v>3232</v>
      </c>
      <c r="F4053" s="24" t="s">
        <v>9</v>
      </c>
      <c r="G4053" s="24" t="s">
        <v>8</v>
      </c>
      <c r="H4053" s="24" t="s">
        <v>3251</v>
      </c>
      <c r="I4053" s="27">
        <v>1845.0</v>
      </c>
    </row>
    <row r="4054" spans="1:9" ht="16">
      <c r="A4054" s="35" t="s">
        <v>164</v>
      </c>
      <c r="I4054" s="28">
        <f>I4040+I4041+I4042+I4043+I4044+I4045+I4046+I4047+I4048+I4049+I4050+I4051+I4052+I4053</f>
        <v>167593.8</v>
      </c>
    </row>
    <row r="4055" spans="1:1" ht="16">
      <c r="A4055" s="34" t="s">
        <v>3155</v>
      </c>
    </row>
    <row r="4056" spans="2:9" ht="16">
      <c r="B4056" s="24" t="s">
        <v>2130</v>
      </c>
      <c r="C4056" s="24" t="s">
        <v>6</v>
      </c>
      <c r="D4056" s="24" t="s">
        <v>3163</v>
      </c>
      <c r="E4056" s="24" t="s">
        <v>8</v>
      </c>
      <c r="F4056" s="24" t="s">
        <v>9</v>
      </c>
      <c r="G4056" s="24" t="s">
        <v>8</v>
      </c>
      <c r="H4056" s="24" t="s">
        <v>3252</v>
      </c>
      <c r="I4056" s="27">
        <v>447.51</v>
      </c>
    </row>
    <row r="4057" spans="2:9" ht="16">
      <c r="B4057" s="24" t="s">
        <v>2130</v>
      </c>
      <c r="C4057" s="24" t="s">
        <v>6</v>
      </c>
      <c r="D4057" s="24" t="s">
        <v>3008</v>
      </c>
      <c r="E4057" s="24" t="s">
        <v>8</v>
      </c>
      <c r="F4057" s="24" t="s">
        <v>9</v>
      </c>
      <c r="G4057" s="24" t="s">
        <v>8</v>
      </c>
      <c r="H4057" s="24" t="s">
        <v>3224</v>
      </c>
      <c r="I4057" s="27">
        <v>282.75</v>
      </c>
    </row>
    <row r="4058" spans="1:9" ht="16">
      <c r="A4058" s="35" t="s">
        <v>433</v>
      </c>
      <c r="I4058" s="28">
        <f>I4055+I4056+I4057</f>
        <v>730.26</v>
      </c>
    </row>
    <row r="4059" spans="1:1" ht="16">
      <c r="A4059" s="34" t="s">
        <v>3155</v>
      </c>
    </row>
    <row r="4060" spans="2:9" ht="16">
      <c r="B4060" s="24" t="s">
        <v>45</v>
      </c>
      <c r="C4060" s="24" t="s">
        <v>13</v>
      </c>
      <c r="D4060" s="24" t="s">
        <v>2846</v>
      </c>
      <c r="E4060" s="24" t="s">
        <v>8</v>
      </c>
      <c r="F4060" s="24" t="s">
        <v>9</v>
      </c>
      <c r="G4060" s="24" t="s">
        <v>8</v>
      </c>
      <c r="H4060" s="24" t="s">
        <v>3155</v>
      </c>
      <c r="I4060" s="27">
        <v>14472.5</v>
      </c>
    </row>
    <row r="4061" spans="2:9" ht="16">
      <c r="B4061" s="24" t="s">
        <v>45</v>
      </c>
      <c r="C4061" s="24" t="s">
        <v>13</v>
      </c>
      <c r="D4061" s="24" t="s">
        <v>2589</v>
      </c>
      <c r="E4061" s="24" t="s">
        <v>8</v>
      </c>
      <c r="F4061" s="24" t="s">
        <v>9</v>
      </c>
      <c r="G4061" s="24" t="s">
        <v>8</v>
      </c>
      <c r="H4061" s="24" t="s">
        <v>3155</v>
      </c>
      <c r="I4061" s="27">
        <v>7635.96</v>
      </c>
    </row>
    <row r="4062" spans="2:9" ht="16">
      <c r="B4062" s="24" t="s">
        <v>8</v>
      </c>
      <c r="C4062" s="24" t="s">
        <v>6</v>
      </c>
      <c r="D4062" s="24" t="s">
        <v>2847</v>
      </c>
      <c r="E4062" s="24" t="s">
        <v>8</v>
      </c>
      <c r="F4062" s="24" t="s">
        <v>9</v>
      </c>
      <c r="G4062" s="24" t="s">
        <v>8</v>
      </c>
      <c r="H4062" s="24" t="s">
        <v>2848</v>
      </c>
      <c r="I4062" s="27">
        <v>3403.68</v>
      </c>
    </row>
    <row r="4063" spans="1:9" ht="16">
      <c r="A4063" s="35" t="s">
        <v>50</v>
      </c>
      <c r="I4063" s="28">
        <f>I4059+I4060+I4061+I4062</f>
        <v>25512.14</v>
      </c>
    </row>
    <row r="4064" spans="1:1" ht="16">
      <c r="A4064" s="34" t="s">
        <v>3155</v>
      </c>
    </row>
    <row r="4065" spans="2:9" ht="16">
      <c r="B4065" s="24" t="s">
        <v>8</v>
      </c>
      <c r="C4065" s="24" t="s">
        <v>150</v>
      </c>
      <c r="D4065" s="24" t="s">
        <v>3120</v>
      </c>
      <c r="E4065" s="24" t="s">
        <v>3253</v>
      </c>
      <c r="F4065" s="24" t="s">
        <v>9</v>
      </c>
      <c r="G4065" s="24" t="s">
        <v>8</v>
      </c>
      <c r="H4065" s="24" t="s">
        <v>3254</v>
      </c>
      <c r="I4065" s="27">
        <v>812.21</v>
      </c>
    </row>
    <row r="4066" spans="2:9" ht="16">
      <c r="B4066" s="24" t="s">
        <v>8</v>
      </c>
      <c r="C4066" s="24" t="s">
        <v>150</v>
      </c>
      <c r="D4066" s="24" t="s">
        <v>3120</v>
      </c>
      <c r="E4066" s="24" t="s">
        <v>3255</v>
      </c>
      <c r="F4066" s="24" t="s">
        <v>9</v>
      </c>
      <c r="G4066" s="24" t="s">
        <v>8</v>
      </c>
      <c r="H4066" s="24" t="s">
        <v>3256</v>
      </c>
      <c r="I4066" s="27">
        <v>1095.65</v>
      </c>
    </row>
    <row r="4067" spans="2:9" ht="16">
      <c r="B4067" s="24" t="s">
        <v>961</v>
      </c>
      <c r="C4067" s="24" t="s">
        <v>6</v>
      </c>
      <c r="D4067" s="24" t="s">
        <v>1192</v>
      </c>
      <c r="E4067" s="24" t="s">
        <v>8</v>
      </c>
      <c r="F4067" s="24" t="s">
        <v>9</v>
      </c>
      <c r="G4067" s="24" t="s">
        <v>8</v>
      </c>
      <c r="H4067" s="24" t="s">
        <v>2966</v>
      </c>
      <c r="I4067" s="27">
        <v>3638.31</v>
      </c>
    </row>
    <row r="4068" spans="2:9" ht="16">
      <c r="B4068" s="24" t="s">
        <v>961</v>
      </c>
      <c r="C4068" s="24" t="s">
        <v>6</v>
      </c>
      <c r="D4068" s="24" t="s">
        <v>3132</v>
      </c>
      <c r="E4068" s="24" t="s">
        <v>8</v>
      </c>
      <c r="F4068" s="24" t="s">
        <v>9</v>
      </c>
      <c r="G4068" s="24" t="s">
        <v>8</v>
      </c>
      <c r="H4068" s="24" t="s">
        <v>3133</v>
      </c>
      <c r="I4068" s="27">
        <v>2911.16</v>
      </c>
    </row>
    <row r="4069" spans="2:9" ht="16">
      <c r="B4069" s="24" t="s">
        <v>961</v>
      </c>
      <c r="C4069" s="24" t="s">
        <v>6</v>
      </c>
      <c r="D4069" s="24" t="s">
        <v>3120</v>
      </c>
      <c r="E4069" s="24" t="s">
        <v>8</v>
      </c>
      <c r="F4069" s="24" t="s">
        <v>9</v>
      </c>
      <c r="G4069" s="24" t="s">
        <v>8</v>
      </c>
      <c r="H4069" s="24" t="s">
        <v>3134</v>
      </c>
      <c r="I4069" s="27">
        <v>6234.78</v>
      </c>
    </row>
    <row r="4070" spans="2:9" ht="16">
      <c r="B4070" s="24" t="s">
        <v>961</v>
      </c>
      <c r="C4070" s="24" t="s">
        <v>6</v>
      </c>
      <c r="D4070" s="24" t="s">
        <v>2857</v>
      </c>
      <c r="E4070" s="24" t="s">
        <v>8</v>
      </c>
      <c r="F4070" s="24" t="s">
        <v>9</v>
      </c>
      <c r="G4070" s="24" t="s">
        <v>8</v>
      </c>
      <c r="H4070" s="24" t="s">
        <v>2858</v>
      </c>
      <c r="I4070" s="27">
        <v>156.08</v>
      </c>
    </row>
    <row r="4071" spans="2:9" ht="16">
      <c r="B4071" s="24" t="s">
        <v>961</v>
      </c>
      <c r="C4071" s="24" t="s">
        <v>6</v>
      </c>
      <c r="D4071" s="24" t="s">
        <v>2922</v>
      </c>
      <c r="E4071" s="24" t="s">
        <v>8</v>
      </c>
      <c r="F4071" s="24" t="s">
        <v>9</v>
      </c>
      <c r="G4071" s="24" t="s">
        <v>8</v>
      </c>
      <c r="H4071" s="24" t="s">
        <v>2923</v>
      </c>
      <c r="I4071" s="27">
        <v>4582.81</v>
      </c>
    </row>
    <row r="4072" spans="2:9" ht="16">
      <c r="B4072" s="24" t="s">
        <v>961</v>
      </c>
      <c r="C4072" s="24" t="s">
        <v>6</v>
      </c>
      <c r="D4072" s="24" t="s">
        <v>2601</v>
      </c>
      <c r="E4072" s="24" t="s">
        <v>8</v>
      </c>
      <c r="F4072" s="24" t="s">
        <v>9</v>
      </c>
      <c r="G4072" s="24" t="s">
        <v>8</v>
      </c>
      <c r="H4072" s="24" t="s">
        <v>2602</v>
      </c>
      <c r="I4072" s="27">
        <v>2475.78</v>
      </c>
    </row>
    <row r="4073" spans="2:9" ht="16">
      <c r="B4073" s="24" t="s">
        <v>961</v>
      </c>
      <c r="C4073" s="24" t="s">
        <v>6</v>
      </c>
      <c r="D4073" s="24" t="s">
        <v>2547</v>
      </c>
      <c r="E4073" s="24" t="s">
        <v>8</v>
      </c>
      <c r="F4073" s="24" t="s">
        <v>9</v>
      </c>
      <c r="G4073" s="24" t="s">
        <v>8</v>
      </c>
      <c r="H4073" s="24" t="s">
        <v>2859</v>
      </c>
      <c r="I4073" s="27">
        <v>3614.55</v>
      </c>
    </row>
    <row r="4074" spans="2:9" ht="16">
      <c r="B4074" s="24" t="s">
        <v>961</v>
      </c>
      <c r="C4074" s="24" t="s">
        <v>6</v>
      </c>
      <c r="D4074" s="24" t="s">
        <v>2795</v>
      </c>
      <c r="E4074" s="24" t="s">
        <v>8</v>
      </c>
      <c r="F4074" s="24" t="s">
        <v>9</v>
      </c>
      <c r="G4074" s="24" t="s">
        <v>8</v>
      </c>
      <c r="H4074" s="24" t="s">
        <v>2860</v>
      </c>
      <c r="I4074" s="27">
        <v>1767.3</v>
      </c>
    </row>
    <row r="4075" spans="2:9" ht="16">
      <c r="B4075" s="24" t="s">
        <v>961</v>
      </c>
      <c r="C4075" s="24" t="s">
        <v>6</v>
      </c>
      <c r="D4075" s="24" t="s">
        <v>2861</v>
      </c>
      <c r="E4075" s="24" t="s">
        <v>8</v>
      </c>
      <c r="F4075" s="24" t="s">
        <v>9</v>
      </c>
      <c r="G4075" s="24" t="s">
        <v>8</v>
      </c>
      <c r="H4075" s="24" t="s">
        <v>2862</v>
      </c>
      <c r="I4075" s="27">
        <v>6281.12</v>
      </c>
    </row>
    <row r="4076" spans="2:9" ht="16">
      <c r="B4076" s="24" t="s">
        <v>961</v>
      </c>
      <c r="C4076" s="24" t="s">
        <v>6</v>
      </c>
      <c r="D4076" s="24" t="s">
        <v>2608</v>
      </c>
      <c r="E4076" s="24" t="s">
        <v>8</v>
      </c>
      <c r="F4076" s="24" t="s">
        <v>9</v>
      </c>
      <c r="G4076" s="24" t="s">
        <v>8</v>
      </c>
      <c r="H4076" s="24" t="s">
        <v>2609</v>
      </c>
      <c r="I4076" s="27">
        <v>2155.29</v>
      </c>
    </row>
    <row r="4077" spans="2:9" ht="16">
      <c r="B4077" s="24" t="s">
        <v>961</v>
      </c>
      <c r="C4077" s="24" t="s">
        <v>6</v>
      </c>
      <c r="D4077" s="24" t="s">
        <v>1813</v>
      </c>
      <c r="E4077" s="24" t="s">
        <v>8</v>
      </c>
      <c r="F4077" s="24" t="s">
        <v>9</v>
      </c>
      <c r="G4077" s="24" t="s">
        <v>8</v>
      </c>
      <c r="H4077" s="24" t="s">
        <v>1814</v>
      </c>
      <c r="I4077" s="27">
        <v>1816.75</v>
      </c>
    </row>
    <row r="4078" spans="2:9" ht="16">
      <c r="B4078" s="24" t="s">
        <v>961</v>
      </c>
      <c r="C4078" s="24" t="s">
        <v>6</v>
      </c>
      <c r="D4078" s="24" t="s">
        <v>2846</v>
      </c>
      <c r="E4078" s="24" t="s">
        <v>8</v>
      </c>
      <c r="F4078" s="24" t="s">
        <v>9</v>
      </c>
      <c r="G4078" s="24" t="s">
        <v>8</v>
      </c>
      <c r="H4078" s="24" t="s">
        <v>2863</v>
      </c>
      <c r="I4078" s="27">
        <v>8741.8</v>
      </c>
    </row>
    <row r="4079" spans="2:9" ht="16">
      <c r="B4079" s="24" t="s">
        <v>961</v>
      </c>
      <c r="C4079" s="24" t="s">
        <v>6</v>
      </c>
      <c r="D4079" s="24" t="s">
        <v>2967</v>
      </c>
      <c r="E4079" s="24" t="s">
        <v>8</v>
      </c>
      <c r="F4079" s="24" t="s">
        <v>9</v>
      </c>
      <c r="G4079" s="24" t="s">
        <v>8</v>
      </c>
      <c r="H4079" s="24" t="s">
        <v>2968</v>
      </c>
      <c r="I4079" s="27">
        <v>7312.12</v>
      </c>
    </row>
    <row r="4080" spans="2:9" ht="16">
      <c r="B4080" s="24" t="s">
        <v>961</v>
      </c>
      <c r="C4080" s="24" t="s">
        <v>6</v>
      </c>
      <c r="D4080" s="24" t="s">
        <v>2104</v>
      </c>
      <c r="E4080" s="24" t="s">
        <v>8</v>
      </c>
      <c r="F4080" s="24" t="s">
        <v>9</v>
      </c>
      <c r="G4080" s="24" t="s">
        <v>8</v>
      </c>
      <c r="H4080" s="24" t="s">
        <v>2864</v>
      </c>
      <c r="I4080" s="27">
        <v>623.44</v>
      </c>
    </row>
    <row r="4081" spans="2:9" ht="16">
      <c r="B4081" s="24" t="s">
        <v>961</v>
      </c>
      <c r="C4081" s="24" t="s">
        <v>6</v>
      </c>
      <c r="D4081" s="24" t="s">
        <v>2846</v>
      </c>
      <c r="E4081" s="24" t="s">
        <v>8</v>
      </c>
      <c r="F4081" s="24" t="s">
        <v>9</v>
      </c>
      <c r="G4081" s="24" t="s">
        <v>8</v>
      </c>
      <c r="H4081" s="24" t="s">
        <v>3257</v>
      </c>
      <c r="I4081" s="27">
        <v>-1095.65</v>
      </c>
    </row>
    <row r="4082" spans="2:9" ht="16">
      <c r="B4082" s="24" t="s">
        <v>961</v>
      </c>
      <c r="C4082" s="24" t="s">
        <v>6</v>
      </c>
      <c r="D4082" s="24" t="s">
        <v>2967</v>
      </c>
      <c r="E4082" s="24" t="s">
        <v>8</v>
      </c>
      <c r="F4082" s="24" t="s">
        <v>9</v>
      </c>
      <c r="G4082" s="24" t="s">
        <v>8</v>
      </c>
      <c r="H4082" s="24" t="s">
        <v>3258</v>
      </c>
      <c r="I4082" s="27">
        <v>-1310.41</v>
      </c>
    </row>
    <row r="4083" spans="2:9" ht="16">
      <c r="B4083" s="24" t="s">
        <v>8</v>
      </c>
      <c r="C4083" s="24" t="s">
        <v>150</v>
      </c>
      <c r="D4083" s="24" t="s">
        <v>3111</v>
      </c>
      <c r="E4083" s="24" t="s">
        <v>3259</v>
      </c>
      <c r="F4083" s="24" t="s">
        <v>9</v>
      </c>
      <c r="G4083" s="24" t="s">
        <v>8</v>
      </c>
      <c r="H4083" s="24" t="s">
        <v>3260</v>
      </c>
      <c r="I4083" s="27">
        <v>1310.41</v>
      </c>
    </row>
    <row r="4084" spans="2:9" ht="16">
      <c r="B4084" s="24" t="s">
        <v>961</v>
      </c>
      <c r="C4084" s="24" t="s">
        <v>6</v>
      </c>
      <c r="D4084" s="24" t="s">
        <v>2846</v>
      </c>
      <c r="E4084" s="24" t="s">
        <v>8</v>
      </c>
      <c r="F4084" s="24" t="s">
        <v>9</v>
      </c>
      <c r="G4084" s="24" t="s">
        <v>8</v>
      </c>
      <c r="H4084" s="24" t="s">
        <v>3261</v>
      </c>
      <c r="I4084" s="27">
        <v>-812.21</v>
      </c>
    </row>
    <row r="4085" spans="1:9" ht="16">
      <c r="A4085" s="35" t="s">
        <v>67</v>
      </c>
      <c r="I4085" s="28">
        <f>I4064+I4065+I4066+I4067+I4068+I4069+I4070+I4071+I4072+I4073+I4074+I4075+I4076+I4077+I4078+I4079+I4080+I4081+I4082+I4083+I4084</f>
        <v>52311.29</v>
      </c>
    </row>
    <row r="4086" spans="1:9" ht="16">
      <c r="A4086" s="36" t="s">
        <v>3262</v>
      </c>
      <c r="I4086" s="28">
        <f>I3973+I3976+I4024+I4027+I4031+I4039+I4054+I4058+I4063+I4085</f>
        <v>297996.39999999997</v>
      </c>
    </row>
    <row r="4087" spans="1:1" ht="16">
      <c r="A4087" s="33" t="s">
        <v>324</v>
      </c>
    </row>
    <row r="4088" spans="1:1" ht="16">
      <c r="A4088" s="34" t="s">
        <v>3263</v>
      </c>
    </row>
    <row r="4089" spans="2:9" ht="16">
      <c r="B4089" s="24" t="s">
        <v>86</v>
      </c>
      <c r="C4089" s="24" t="s">
        <v>6</v>
      </c>
      <c r="D4089" s="24" t="s">
        <v>3079</v>
      </c>
      <c r="E4089" s="24" t="s">
        <v>8</v>
      </c>
      <c r="F4089" s="24" t="s">
        <v>9</v>
      </c>
      <c r="G4089" s="24" t="s">
        <v>8</v>
      </c>
      <c r="H4089" s="24" t="s">
        <v>3264</v>
      </c>
      <c r="I4089" s="27">
        <v>1893.54</v>
      </c>
    </row>
    <row r="4090" spans="1:9" ht="16">
      <c r="A4090" s="35" t="s">
        <v>40</v>
      </c>
      <c r="I4090" s="28">
        <f>I4088+I4089</f>
        <v>1893.54</v>
      </c>
    </row>
    <row r="4091" spans="1:1" ht="16">
      <c r="A4091" s="34" t="s">
        <v>3263</v>
      </c>
    </row>
    <row r="4092" spans="2:9" ht="16">
      <c r="B4092" s="24" t="s">
        <v>8</v>
      </c>
      <c r="C4092" s="24" t="s">
        <v>6</v>
      </c>
      <c r="D4092" s="24" t="s">
        <v>2847</v>
      </c>
      <c r="E4092" s="24" t="s">
        <v>8</v>
      </c>
      <c r="F4092" s="24" t="s">
        <v>9</v>
      </c>
      <c r="G4092" s="24" t="s">
        <v>8</v>
      </c>
      <c r="H4092" s="24" t="s">
        <v>2848</v>
      </c>
      <c r="I4092" s="27">
        <v>423.68</v>
      </c>
    </row>
    <row r="4093" spans="1:9" ht="16">
      <c r="A4093" s="35" t="s">
        <v>50</v>
      </c>
      <c r="I4093" s="28">
        <f>I4091+I4092</f>
        <v>423.68</v>
      </c>
    </row>
    <row r="4094" spans="1:1" ht="16">
      <c r="A4094" s="34" t="s">
        <v>3263</v>
      </c>
    </row>
    <row r="4095" spans="2:9" ht="16">
      <c r="B4095" s="24" t="s">
        <v>961</v>
      </c>
      <c r="C4095" s="24" t="s">
        <v>6</v>
      </c>
      <c r="D4095" s="24" t="s">
        <v>2922</v>
      </c>
      <c r="E4095" s="24" t="s">
        <v>8</v>
      </c>
      <c r="F4095" s="24" t="s">
        <v>9</v>
      </c>
      <c r="G4095" s="24" t="s">
        <v>8</v>
      </c>
      <c r="H4095" s="24" t="s">
        <v>2923</v>
      </c>
      <c r="I4095" s="27">
        <v>844.18</v>
      </c>
    </row>
    <row r="4096" spans="1:9" ht="16">
      <c r="A4096" s="35" t="s">
        <v>67</v>
      </c>
      <c r="I4096" s="28">
        <f>I4094+I4095</f>
        <v>844.18</v>
      </c>
    </row>
    <row r="4097" spans="1:9" ht="16">
      <c r="A4097" s="36" t="s">
        <v>3265</v>
      </c>
      <c r="I4097" s="28">
        <f>I4090+I4093+I4096</f>
        <v>3161.3999999999996</v>
      </c>
    </row>
    <row r="4098" spans="1:1" ht="16">
      <c r="A4098" s="33" t="s">
        <v>3266</v>
      </c>
    </row>
    <row r="4099" spans="1:1" ht="16">
      <c r="A4099" s="34" t="s">
        <v>3267</v>
      </c>
    </row>
    <row r="4100" spans="2:9" ht="16">
      <c r="B4100" s="24" t="s">
        <v>1607</v>
      </c>
      <c r="C4100" s="24" t="s">
        <v>13</v>
      </c>
      <c r="D4100" s="24" t="s">
        <v>3127</v>
      </c>
      <c r="E4100" s="24" t="s">
        <v>3268</v>
      </c>
      <c r="F4100" s="24" t="s">
        <v>9</v>
      </c>
      <c r="G4100" s="24" t="s">
        <v>8</v>
      </c>
      <c r="H4100" s="24" t="s">
        <v>3269</v>
      </c>
      <c r="I4100" s="27">
        <v>1247.0</v>
      </c>
    </row>
    <row r="4101" spans="2:9" ht="16">
      <c r="B4101" s="24" t="s">
        <v>1607</v>
      </c>
      <c r="C4101" s="24" t="s">
        <v>13</v>
      </c>
      <c r="D4101" s="24" t="s">
        <v>3097</v>
      </c>
      <c r="E4101" s="24" t="s">
        <v>3270</v>
      </c>
      <c r="F4101" s="24" t="s">
        <v>9</v>
      </c>
      <c r="G4101" s="24" t="s">
        <v>8</v>
      </c>
      <c r="H4101" s="24" t="s">
        <v>3271</v>
      </c>
      <c r="I4101" s="27">
        <v>9006.0</v>
      </c>
    </row>
    <row r="4102" spans="1:9" ht="16">
      <c r="A4102" s="35" t="s">
        <v>1610</v>
      </c>
      <c r="I4102" s="28">
        <f>I4099+I4100+I4101</f>
        <v>10253.0</v>
      </c>
    </row>
    <row r="4103" spans="1:9" ht="16">
      <c r="A4103" s="36" t="s">
        <v>3272</v>
      </c>
      <c r="I4103" s="28">
        <f>I4102</f>
        <v>10253.0</v>
      </c>
    </row>
    <row r="4104" spans="1:1" ht="16">
      <c r="A4104" s="33" t="s">
        <v>324</v>
      </c>
    </row>
    <row r="4105" spans="1:1" ht="16">
      <c r="A4105" s="34" t="s">
        <v>3273</v>
      </c>
    </row>
    <row r="4106" spans="2:9" ht="16">
      <c r="B4106" s="24" t="s">
        <v>8</v>
      </c>
      <c r="C4106" s="24" t="s">
        <v>6</v>
      </c>
      <c r="D4106" s="24" t="s">
        <v>3274</v>
      </c>
      <c r="E4106" s="24" t="s">
        <v>8</v>
      </c>
      <c r="F4106" s="24" t="s">
        <v>9</v>
      </c>
      <c r="G4106" s="24" t="s">
        <v>8</v>
      </c>
      <c r="H4106" s="24" t="s">
        <v>3275</v>
      </c>
      <c r="I4106" s="27">
        <v>331.74</v>
      </c>
    </row>
    <row r="4107" spans="2:9" ht="16">
      <c r="B4107" s="24" t="s">
        <v>86</v>
      </c>
      <c r="C4107" s="24" t="s">
        <v>13</v>
      </c>
      <c r="D4107" s="24" t="s">
        <v>3202</v>
      </c>
      <c r="E4107" s="24" t="s">
        <v>3276</v>
      </c>
      <c r="F4107" s="24" t="s">
        <v>9</v>
      </c>
      <c r="G4107" s="24" t="s">
        <v>8</v>
      </c>
      <c r="H4107" s="24" t="s">
        <v>3277</v>
      </c>
      <c r="I4107" s="27">
        <v>1316.44</v>
      </c>
    </row>
    <row r="4108" spans="2:9" ht="16">
      <c r="B4108" s="24" t="s">
        <v>8</v>
      </c>
      <c r="C4108" s="24" t="s">
        <v>6</v>
      </c>
      <c r="D4108" s="24" t="s">
        <v>2736</v>
      </c>
      <c r="E4108" s="24" t="s">
        <v>8</v>
      </c>
      <c r="F4108" s="24" t="s">
        <v>9</v>
      </c>
      <c r="G4108" s="24" t="s">
        <v>8</v>
      </c>
      <c r="H4108" s="24" t="s">
        <v>3278</v>
      </c>
      <c r="I4108" s="27">
        <v>141.83</v>
      </c>
    </row>
    <row r="4109" spans="2:9" ht="16">
      <c r="B4109" s="24" t="s">
        <v>2130</v>
      </c>
      <c r="C4109" s="24" t="s">
        <v>6</v>
      </c>
      <c r="D4109" s="24" t="s">
        <v>2125</v>
      </c>
      <c r="E4109" s="24" t="s">
        <v>8</v>
      </c>
      <c r="F4109" s="24" t="s">
        <v>9</v>
      </c>
      <c r="G4109" s="24" t="s">
        <v>8</v>
      </c>
      <c r="H4109" s="24" t="s">
        <v>2323</v>
      </c>
      <c r="I4109" s="27">
        <v>36.3</v>
      </c>
    </row>
    <row r="4110" spans="2:9" ht="16">
      <c r="B4110" s="24" t="s">
        <v>86</v>
      </c>
      <c r="C4110" s="24" t="s">
        <v>13</v>
      </c>
      <c r="D4110" s="24" t="s">
        <v>2736</v>
      </c>
      <c r="E4110" s="24" t="s">
        <v>3279</v>
      </c>
      <c r="F4110" s="24" t="s">
        <v>9</v>
      </c>
      <c r="G4110" s="24" t="s">
        <v>8</v>
      </c>
      <c r="H4110" s="24" t="s">
        <v>3280</v>
      </c>
      <c r="I4110" s="27">
        <v>85.12</v>
      </c>
    </row>
    <row r="4111" spans="2:9" ht="16">
      <c r="B4111" s="24" t="s">
        <v>86</v>
      </c>
      <c r="C4111" s="24" t="s">
        <v>13</v>
      </c>
      <c r="D4111" s="24" t="s">
        <v>3163</v>
      </c>
      <c r="E4111" s="24" t="s">
        <v>3281</v>
      </c>
      <c r="F4111" s="24" t="s">
        <v>9</v>
      </c>
      <c r="G4111" s="24" t="s">
        <v>8</v>
      </c>
      <c r="H4111" s="24" t="s">
        <v>8</v>
      </c>
      <c r="I4111" s="27">
        <v>2309.96</v>
      </c>
    </row>
    <row r="4112" spans="1:9" ht="16">
      <c r="A4112" s="35" t="s">
        <v>40</v>
      </c>
      <c r="I4112" s="28">
        <f>I4105+I4106+I4107+I4108+I4109+I4110+I4111</f>
        <v>4221.389999999999</v>
      </c>
    </row>
    <row r="4113" spans="1:1" ht="16">
      <c r="A4113" s="34" t="s">
        <v>3273</v>
      </c>
    </row>
    <row r="4114" spans="2:9" ht="16">
      <c r="B4114" s="24" t="s">
        <v>589</v>
      </c>
      <c r="C4114" s="24" t="s">
        <v>6</v>
      </c>
      <c r="D4114" s="24" t="s">
        <v>3052</v>
      </c>
      <c r="E4114" s="24" t="s">
        <v>8</v>
      </c>
      <c r="F4114" s="24" t="s">
        <v>42</v>
      </c>
      <c r="G4114" s="24" t="s">
        <v>8</v>
      </c>
      <c r="H4114" s="24" t="s">
        <v>3282</v>
      </c>
      <c r="I4114" s="27">
        <v>59.22</v>
      </c>
    </row>
    <row r="4115" spans="2:9" ht="16">
      <c r="B4115" s="24" t="s">
        <v>589</v>
      </c>
      <c r="C4115" s="24" t="s">
        <v>6</v>
      </c>
      <c r="D4115" s="24" t="s">
        <v>3052</v>
      </c>
      <c r="E4115" s="24" t="s">
        <v>8</v>
      </c>
      <c r="F4115" s="24" t="s">
        <v>42</v>
      </c>
      <c r="G4115" s="24" t="s">
        <v>8</v>
      </c>
      <c r="H4115" s="24" t="s">
        <v>3282</v>
      </c>
      <c r="I4115" s="27">
        <v>-59.22</v>
      </c>
    </row>
    <row r="4116" spans="1:9" ht="16">
      <c r="A4116" s="35" t="s">
        <v>666</v>
      </c>
      <c r="I4116" s="28">
        <f>I4113+I4114+I4115</f>
        <v>0.0</v>
      </c>
    </row>
    <row r="4117" spans="1:1" ht="16">
      <c r="A4117" s="34" t="s">
        <v>3273</v>
      </c>
    </row>
    <row r="4118" spans="2:9" ht="16">
      <c r="B4118" s="24" t="s">
        <v>589</v>
      </c>
      <c r="C4118" s="24" t="s">
        <v>6</v>
      </c>
      <c r="D4118" s="24" t="s">
        <v>3156</v>
      </c>
      <c r="E4118" s="24" t="s">
        <v>3283</v>
      </c>
      <c r="F4118" s="24" t="s">
        <v>9</v>
      </c>
      <c r="G4118" s="24" t="s">
        <v>8</v>
      </c>
      <c r="H4118" s="24" t="s">
        <v>3284</v>
      </c>
      <c r="I4118" s="27">
        <v>27.97</v>
      </c>
    </row>
    <row r="4119" spans="1:9" ht="16">
      <c r="A4119" s="35" t="s">
        <v>267</v>
      </c>
      <c r="I4119" s="28">
        <f>I4117+I4118</f>
        <v>27.97</v>
      </c>
    </row>
    <row r="4120" spans="1:1" ht="16">
      <c r="A4120" s="34" t="s">
        <v>3273</v>
      </c>
    </row>
    <row r="4121" spans="2:9" ht="16">
      <c r="B4121" s="24" t="s">
        <v>45</v>
      </c>
      <c r="C4121" s="24" t="s">
        <v>13</v>
      </c>
      <c r="D4121" s="24" t="s">
        <v>2846</v>
      </c>
      <c r="E4121" s="24" t="s">
        <v>8</v>
      </c>
      <c r="F4121" s="24" t="s">
        <v>9</v>
      </c>
      <c r="G4121" s="24" t="s">
        <v>8</v>
      </c>
      <c r="H4121" s="24" t="s">
        <v>3285</v>
      </c>
      <c r="I4121" s="27">
        <v>635.52</v>
      </c>
    </row>
    <row r="4122" spans="2:9" ht="16">
      <c r="B4122" s="24" t="s">
        <v>45</v>
      </c>
      <c r="C4122" s="24" t="s">
        <v>13</v>
      </c>
      <c r="D4122" s="24" t="s">
        <v>2589</v>
      </c>
      <c r="E4122" s="24" t="s">
        <v>8</v>
      </c>
      <c r="F4122" s="24" t="s">
        <v>9</v>
      </c>
      <c r="G4122" s="24" t="s">
        <v>8</v>
      </c>
      <c r="H4122" s="24" t="s">
        <v>3273</v>
      </c>
      <c r="I4122" s="27">
        <v>2139.72</v>
      </c>
    </row>
    <row r="4123" spans="1:9" ht="16">
      <c r="A4123" s="35" t="s">
        <v>50</v>
      </c>
      <c r="I4123" s="28">
        <f>I4120+I4121+I4122</f>
        <v>2775.24</v>
      </c>
    </row>
    <row r="4124" spans="1:1" ht="16">
      <c r="A4124" s="34" t="s">
        <v>3273</v>
      </c>
    </row>
    <row r="4125" spans="2:9" ht="16">
      <c r="B4125" s="24" t="s">
        <v>961</v>
      </c>
      <c r="C4125" s="24" t="s">
        <v>6</v>
      </c>
      <c r="D4125" s="24" t="s">
        <v>1192</v>
      </c>
      <c r="E4125" s="24" t="s">
        <v>8</v>
      </c>
      <c r="F4125" s="24" t="s">
        <v>9</v>
      </c>
      <c r="G4125" s="24" t="s">
        <v>8</v>
      </c>
      <c r="H4125" s="24" t="s">
        <v>2966</v>
      </c>
      <c r="I4125" s="27">
        <v>2617.49</v>
      </c>
    </row>
    <row r="4126" spans="2:9" ht="16">
      <c r="B4126" s="24" t="s">
        <v>961</v>
      </c>
      <c r="C4126" s="24" t="s">
        <v>6</v>
      </c>
      <c r="D4126" s="24" t="s">
        <v>3120</v>
      </c>
      <c r="E4126" s="24" t="s">
        <v>8</v>
      </c>
      <c r="F4126" s="24" t="s">
        <v>9</v>
      </c>
      <c r="G4126" s="24" t="s">
        <v>8</v>
      </c>
      <c r="H4126" s="24" t="s">
        <v>3134</v>
      </c>
      <c r="I4126" s="27">
        <v>626.49</v>
      </c>
    </row>
    <row r="4127" spans="2:9" ht="16">
      <c r="B4127" s="24" t="s">
        <v>961</v>
      </c>
      <c r="C4127" s="24" t="s">
        <v>6</v>
      </c>
      <c r="D4127" s="24" t="s">
        <v>2547</v>
      </c>
      <c r="E4127" s="24" t="s">
        <v>8</v>
      </c>
      <c r="F4127" s="24" t="s">
        <v>9</v>
      </c>
      <c r="G4127" s="24" t="s">
        <v>8</v>
      </c>
      <c r="H4127" s="24" t="s">
        <v>2859</v>
      </c>
      <c r="I4127" s="27">
        <v>1557.04</v>
      </c>
    </row>
    <row r="4128" spans="2:9" ht="16">
      <c r="B4128" s="24" t="s">
        <v>961</v>
      </c>
      <c r="C4128" s="24" t="s">
        <v>6</v>
      </c>
      <c r="D4128" s="24" t="s">
        <v>2861</v>
      </c>
      <c r="E4128" s="24" t="s">
        <v>8</v>
      </c>
      <c r="F4128" s="24" t="s">
        <v>9</v>
      </c>
      <c r="G4128" s="24" t="s">
        <v>8</v>
      </c>
      <c r="H4128" s="24" t="s">
        <v>2862</v>
      </c>
      <c r="I4128" s="27">
        <v>197.35</v>
      </c>
    </row>
    <row r="4129" spans="2:9" ht="16">
      <c r="B4129" s="24" t="s">
        <v>961</v>
      </c>
      <c r="C4129" s="24" t="s">
        <v>6</v>
      </c>
      <c r="D4129" s="24" t="s">
        <v>1813</v>
      </c>
      <c r="E4129" s="24" t="s">
        <v>8</v>
      </c>
      <c r="F4129" s="24" t="s">
        <v>9</v>
      </c>
      <c r="G4129" s="24" t="s">
        <v>8</v>
      </c>
      <c r="H4129" s="24" t="s">
        <v>1814</v>
      </c>
      <c r="I4129" s="27">
        <v>434.51</v>
      </c>
    </row>
    <row r="4130" spans="2:9" ht="16">
      <c r="B4130" s="24" t="s">
        <v>961</v>
      </c>
      <c r="C4130" s="24" t="s">
        <v>6</v>
      </c>
      <c r="D4130" s="24" t="s">
        <v>2846</v>
      </c>
      <c r="E4130" s="24" t="s">
        <v>8</v>
      </c>
      <c r="F4130" s="24" t="s">
        <v>9</v>
      </c>
      <c r="G4130" s="24" t="s">
        <v>8</v>
      </c>
      <c r="H4130" s="24" t="s">
        <v>2863</v>
      </c>
      <c r="I4130" s="27">
        <v>98.68</v>
      </c>
    </row>
    <row r="4131" spans="2:9" ht="16">
      <c r="B4131" s="24" t="s">
        <v>961</v>
      </c>
      <c r="C4131" s="24" t="s">
        <v>6</v>
      </c>
      <c r="D4131" s="24" t="s">
        <v>2967</v>
      </c>
      <c r="E4131" s="24" t="s">
        <v>8</v>
      </c>
      <c r="F4131" s="24" t="s">
        <v>9</v>
      </c>
      <c r="G4131" s="24" t="s">
        <v>8</v>
      </c>
      <c r="H4131" s="24" t="s">
        <v>2968</v>
      </c>
      <c r="I4131" s="27">
        <v>296.02</v>
      </c>
    </row>
    <row r="4132" spans="1:9" ht="16">
      <c r="A4132" s="35" t="s">
        <v>67</v>
      </c>
      <c r="I4132" s="28">
        <f>I4124+I4125+I4126+I4127+I4128+I4129+I4130+I4131</f>
        <v>5827.58</v>
      </c>
    </row>
    <row r="4133" spans="1:9" ht="16">
      <c r="A4133" s="36" t="s">
        <v>3286</v>
      </c>
      <c r="I4133" s="28">
        <f>I4112+I4116+I4119+I4123+I4132</f>
        <v>12852.18</v>
      </c>
    </row>
    <row r="4134" spans="1:1" ht="16">
      <c r="A4134" s="33" t="s">
        <v>324</v>
      </c>
    </row>
    <row r="4135" spans="1:1" ht="16">
      <c r="A4135" s="34" t="s">
        <v>3287</v>
      </c>
    </row>
    <row r="4136" spans="2:9" ht="16">
      <c r="B4136" s="24" t="s">
        <v>239</v>
      </c>
      <c r="C4136" s="24" t="s">
        <v>6</v>
      </c>
      <c r="D4136" s="24" t="s">
        <v>3288</v>
      </c>
      <c r="E4136" s="24" t="s">
        <v>8</v>
      </c>
      <c r="F4136" s="24" t="s">
        <v>9</v>
      </c>
      <c r="G4136" s="24" t="s">
        <v>8</v>
      </c>
      <c r="H4136" s="24" t="s">
        <v>3289</v>
      </c>
      <c r="I4136" s="27">
        <v>16.41</v>
      </c>
    </row>
    <row r="4137" spans="2:9" ht="16">
      <c r="B4137" s="24" t="s">
        <v>2130</v>
      </c>
      <c r="C4137" s="24" t="s">
        <v>6</v>
      </c>
      <c r="D4137" s="24" t="s">
        <v>1813</v>
      </c>
      <c r="E4137" s="24" t="s">
        <v>8</v>
      </c>
      <c r="F4137" s="24" t="s">
        <v>9</v>
      </c>
      <c r="G4137" s="24" t="s">
        <v>8</v>
      </c>
      <c r="H4137" s="24" t="s">
        <v>3146</v>
      </c>
      <c r="I4137" s="27">
        <v>27.05</v>
      </c>
    </row>
    <row r="4138" spans="1:9" ht="16">
      <c r="A4138" s="35" t="s">
        <v>40</v>
      </c>
      <c r="I4138" s="28">
        <f>I4135+I4136+I4137</f>
        <v>43.46</v>
      </c>
    </row>
    <row r="4139" spans="1:1" ht="16">
      <c r="A4139" s="34" t="s">
        <v>3287</v>
      </c>
    </row>
    <row r="4140" spans="2:9" ht="16">
      <c r="B4140" s="24" t="s">
        <v>45</v>
      </c>
      <c r="C4140" s="24" t="s">
        <v>13</v>
      </c>
      <c r="D4140" s="24" t="s">
        <v>2846</v>
      </c>
      <c r="E4140" s="24" t="s">
        <v>8</v>
      </c>
      <c r="F4140" s="24" t="s">
        <v>9</v>
      </c>
      <c r="G4140" s="24" t="s">
        <v>8</v>
      </c>
      <c r="H4140" s="24" t="s">
        <v>3287</v>
      </c>
      <c r="I4140" s="27">
        <v>2305.52</v>
      </c>
    </row>
    <row r="4141" spans="1:9" ht="16">
      <c r="A4141" s="35" t="s">
        <v>50</v>
      </c>
      <c r="I4141" s="28">
        <f>I4139+I4140</f>
        <v>2305.52</v>
      </c>
    </row>
    <row r="4142" spans="1:1" ht="16">
      <c r="A4142" s="34" t="s">
        <v>3287</v>
      </c>
    </row>
    <row r="4143" spans="2:9" ht="16">
      <c r="B4143" s="24" t="s">
        <v>961</v>
      </c>
      <c r="C4143" s="24" t="s">
        <v>6</v>
      </c>
      <c r="D4143" s="24" t="s">
        <v>2608</v>
      </c>
      <c r="E4143" s="24" t="s">
        <v>8</v>
      </c>
      <c r="F4143" s="24" t="s">
        <v>9</v>
      </c>
      <c r="G4143" s="24" t="s">
        <v>8</v>
      </c>
      <c r="H4143" s="24" t="s">
        <v>2609</v>
      </c>
      <c r="I4143" s="27">
        <v>3441.4</v>
      </c>
    </row>
    <row r="4144" spans="2:9" ht="16">
      <c r="B4144" s="24" t="s">
        <v>961</v>
      </c>
      <c r="C4144" s="24" t="s">
        <v>6</v>
      </c>
      <c r="D4144" s="24" t="s">
        <v>2967</v>
      </c>
      <c r="E4144" s="24" t="s">
        <v>8</v>
      </c>
      <c r="F4144" s="24" t="s">
        <v>9</v>
      </c>
      <c r="G4144" s="24" t="s">
        <v>8</v>
      </c>
      <c r="H4144" s="24" t="s">
        <v>2968</v>
      </c>
      <c r="I4144" s="27">
        <v>888.05</v>
      </c>
    </row>
    <row r="4145" spans="2:9" ht="16">
      <c r="B4145" s="24" t="s">
        <v>961</v>
      </c>
      <c r="C4145" s="24" t="s">
        <v>6</v>
      </c>
      <c r="D4145" s="24" t="s">
        <v>2967</v>
      </c>
      <c r="E4145" s="24" t="s">
        <v>8</v>
      </c>
      <c r="F4145" s="24" t="s">
        <v>9</v>
      </c>
      <c r="G4145" s="24" t="s">
        <v>8</v>
      </c>
      <c r="H4145" s="24" t="s">
        <v>3290</v>
      </c>
      <c r="I4145" s="27">
        <v>271.2</v>
      </c>
    </row>
    <row r="4146" spans="1:9" ht="16">
      <c r="A4146" s="35" t="s">
        <v>67</v>
      </c>
      <c r="I4146" s="28">
        <f>I4142+I4143+I4144+I4145</f>
        <v>4600.65</v>
      </c>
    </row>
    <row r="4147" spans="1:9" ht="16">
      <c r="A4147" s="36" t="s">
        <v>3291</v>
      </c>
      <c r="I4147" s="28">
        <f>I4138+I4141+I4146</f>
        <v>6949.629999999999</v>
      </c>
    </row>
    <row r="4148" spans="1:1" ht="16">
      <c r="A4148" s="33" t="s">
        <v>383</v>
      </c>
    </row>
    <row r="4149" spans="1:1" ht="16">
      <c r="A4149" s="34" t="s">
        <v>3292</v>
      </c>
    </row>
    <row r="4150" spans="2:9" ht="16">
      <c r="B4150" s="24" t="s">
        <v>45</v>
      </c>
      <c r="C4150" s="24" t="s">
        <v>13</v>
      </c>
      <c r="D4150" s="24" t="s">
        <v>2589</v>
      </c>
      <c r="E4150" s="24" t="s">
        <v>8</v>
      </c>
      <c r="F4150" s="24" t="s">
        <v>9</v>
      </c>
      <c r="G4150" s="24" t="s">
        <v>8</v>
      </c>
      <c r="H4150" s="24" t="s">
        <v>3292</v>
      </c>
      <c r="I4150" s="27">
        <v>132.4</v>
      </c>
    </row>
    <row r="4151" spans="1:9" ht="16">
      <c r="A4151" s="35" t="s">
        <v>50</v>
      </c>
      <c r="I4151" s="28">
        <f>I4149+I4150</f>
        <v>132.4</v>
      </c>
    </row>
    <row r="4152" spans="1:1" ht="16">
      <c r="A4152" s="34" t="s">
        <v>3292</v>
      </c>
    </row>
    <row r="4153" spans="2:9" ht="16">
      <c r="B4153" s="24" t="s">
        <v>961</v>
      </c>
      <c r="C4153" s="24" t="s">
        <v>6</v>
      </c>
      <c r="D4153" s="24" t="s">
        <v>2547</v>
      </c>
      <c r="E4153" s="24" t="s">
        <v>8</v>
      </c>
      <c r="F4153" s="24" t="s">
        <v>9</v>
      </c>
      <c r="G4153" s="24" t="s">
        <v>8</v>
      </c>
      <c r="H4153" s="24" t="s">
        <v>2859</v>
      </c>
      <c r="I4153" s="27">
        <v>251.89</v>
      </c>
    </row>
    <row r="4154" spans="1:9" ht="16">
      <c r="A4154" s="35" t="s">
        <v>67</v>
      </c>
      <c r="I4154" s="28">
        <f>I4152+I4153</f>
        <v>251.89</v>
      </c>
    </row>
    <row r="4155" spans="1:9" ht="16">
      <c r="A4155" s="36" t="s">
        <v>3293</v>
      </c>
      <c r="I4155" s="28">
        <f>I4151+I4154</f>
        <v>384.28999999999996</v>
      </c>
    </row>
    <row r="4156" spans="1:1" ht="16">
      <c r="A4156" s="33" t="s">
        <v>3266</v>
      </c>
    </row>
    <row r="4157" spans="1:1" ht="16">
      <c r="A4157" s="34" t="s">
        <v>3294</v>
      </c>
    </row>
    <row r="4158" spans="2:9" ht="16">
      <c r="B4158" s="24" t="s">
        <v>1607</v>
      </c>
      <c r="C4158" s="24" t="s">
        <v>6</v>
      </c>
      <c r="D4158" s="24" t="s">
        <v>1940</v>
      </c>
      <c r="E4158" s="24" t="s">
        <v>8</v>
      </c>
      <c r="F4158" s="24" t="s">
        <v>9</v>
      </c>
      <c r="G4158" s="24" t="s">
        <v>8</v>
      </c>
      <c r="H4158" s="24" t="s">
        <v>3295</v>
      </c>
      <c r="I4158" s="27">
        <v>1981.0</v>
      </c>
    </row>
    <row r="4159" spans="1:9" ht="16">
      <c r="A4159" s="35" t="s">
        <v>1610</v>
      </c>
      <c r="I4159" s="28">
        <f>I4157+I4158</f>
        <v>1981.0</v>
      </c>
    </row>
    <row r="4160" spans="1:1" ht="16">
      <c r="A4160" s="34" t="s">
        <v>3294</v>
      </c>
    </row>
    <row r="4161" spans="2:9" ht="16">
      <c r="B4161" s="24" t="s">
        <v>1441</v>
      </c>
      <c r="C4161" s="24" t="s">
        <v>13</v>
      </c>
      <c r="D4161" s="24" t="s">
        <v>2797</v>
      </c>
      <c r="E4161" s="24" t="s">
        <v>3296</v>
      </c>
      <c r="F4161" s="24" t="s">
        <v>9</v>
      </c>
      <c r="G4161" s="24" t="s">
        <v>8</v>
      </c>
      <c r="H4161" s="24" t="s">
        <v>3297</v>
      </c>
      <c r="I4161" s="27">
        <v>2155.0</v>
      </c>
    </row>
    <row r="4162" spans="1:9" ht="16">
      <c r="A4162" s="35" t="s">
        <v>40</v>
      </c>
      <c r="I4162" s="28">
        <f>I4160+I4161</f>
        <v>2155.0</v>
      </c>
    </row>
    <row r="4163" spans="1:9" ht="16">
      <c r="A4163" s="36" t="s">
        <v>3298</v>
      </c>
      <c r="I4163" s="28">
        <f>I4159+I4162</f>
        <v>4136.0</v>
      </c>
    </row>
    <row r="4164" spans="1:1" ht="16">
      <c r="A4164" s="33" t="s">
        <v>324</v>
      </c>
    </row>
    <row r="4165" spans="1:1" ht="16">
      <c r="A4165" s="34" t="s">
        <v>3299</v>
      </c>
    </row>
    <row r="4166" spans="2:9" ht="16">
      <c r="B4166" s="24" t="s">
        <v>17</v>
      </c>
      <c r="C4166" s="24" t="s">
        <v>6</v>
      </c>
      <c r="D4166" s="24" t="s">
        <v>2116</v>
      </c>
      <c r="E4166" s="24" t="s">
        <v>8</v>
      </c>
      <c r="F4166" s="24" t="s">
        <v>9</v>
      </c>
      <c r="G4166" s="24" t="s">
        <v>8</v>
      </c>
      <c r="H4166" s="24" t="s">
        <v>3300</v>
      </c>
      <c r="I4166" s="27">
        <v>106.92</v>
      </c>
    </row>
    <row r="4167" spans="1:9" ht="16">
      <c r="A4167" s="35" t="s">
        <v>40</v>
      </c>
      <c r="I4167" s="28">
        <f>I4165+I4166</f>
        <v>106.92</v>
      </c>
    </row>
    <row r="4168" spans="1:1" ht="16">
      <c r="A4168" s="34" t="s">
        <v>3299</v>
      </c>
    </row>
    <row r="4169" spans="2:9" ht="16">
      <c r="B4169" s="24" t="s">
        <v>45</v>
      </c>
      <c r="C4169" s="24" t="s">
        <v>13</v>
      </c>
      <c r="D4169" s="24" t="s">
        <v>2589</v>
      </c>
      <c r="E4169" s="24" t="s">
        <v>8</v>
      </c>
      <c r="F4169" s="24" t="s">
        <v>9</v>
      </c>
      <c r="G4169" s="24" t="s">
        <v>8</v>
      </c>
      <c r="H4169" s="24" t="s">
        <v>3299</v>
      </c>
      <c r="I4169" s="27">
        <v>185.36</v>
      </c>
    </row>
    <row r="4170" spans="1:9" ht="16">
      <c r="A4170" s="35" t="s">
        <v>50</v>
      </c>
      <c r="I4170" s="28">
        <f>I4168+I4169</f>
        <v>185.36</v>
      </c>
    </row>
    <row r="4171" spans="1:1" ht="16">
      <c r="A4171" s="34" t="s">
        <v>3299</v>
      </c>
    </row>
    <row r="4172" spans="2:9" ht="16">
      <c r="B4172" s="24" t="s">
        <v>961</v>
      </c>
      <c r="C4172" s="24" t="s">
        <v>6</v>
      </c>
      <c r="D4172" s="24" t="s">
        <v>2601</v>
      </c>
      <c r="E4172" s="24" t="s">
        <v>8</v>
      </c>
      <c r="F4172" s="24" t="s">
        <v>9</v>
      </c>
      <c r="G4172" s="24" t="s">
        <v>8</v>
      </c>
      <c r="H4172" s="24" t="s">
        <v>2602</v>
      </c>
      <c r="I4172" s="27">
        <v>358.28</v>
      </c>
    </row>
    <row r="4173" spans="1:9" ht="16">
      <c r="A4173" s="35" t="s">
        <v>67</v>
      </c>
      <c r="I4173" s="28">
        <f>I4171+I4172</f>
        <v>358.28</v>
      </c>
    </row>
    <row r="4174" spans="1:9" ht="16">
      <c r="A4174" s="36" t="s">
        <v>3301</v>
      </c>
      <c r="I4174" s="28">
        <f>I4167+I4170+I4173</f>
        <v>650.56</v>
      </c>
    </row>
    <row r="4175" spans="1:1" ht="16">
      <c r="A4175" s="33" t="s">
        <v>324</v>
      </c>
    </row>
    <row r="4176" spans="1:1" ht="16">
      <c r="A4176" s="34" t="s">
        <v>3302</v>
      </c>
    </row>
    <row r="4177" spans="2:9" ht="16">
      <c r="B4177" s="24" t="s">
        <v>8</v>
      </c>
      <c r="C4177" s="24" t="s">
        <v>6</v>
      </c>
      <c r="D4177" s="24" t="s">
        <v>2547</v>
      </c>
      <c r="E4177" s="24" t="s">
        <v>8</v>
      </c>
      <c r="F4177" s="24" t="s">
        <v>9</v>
      </c>
      <c r="G4177" s="24" t="s">
        <v>8</v>
      </c>
      <c r="H4177" s="24" t="s">
        <v>3303</v>
      </c>
      <c r="I4177" s="27">
        <v>157.16</v>
      </c>
    </row>
    <row r="4178" spans="1:9" ht="16">
      <c r="A4178" s="35" t="s">
        <v>40</v>
      </c>
      <c r="I4178" s="28">
        <f>I4176+I4177</f>
        <v>157.16</v>
      </c>
    </row>
    <row r="4179" spans="1:1" ht="16">
      <c r="A4179" s="34" t="s">
        <v>3302</v>
      </c>
    </row>
    <row r="4180" spans="2:9" ht="16">
      <c r="B4180" s="24" t="s">
        <v>45</v>
      </c>
      <c r="C4180" s="24" t="s">
        <v>13</v>
      </c>
      <c r="D4180" s="24" t="s">
        <v>2846</v>
      </c>
      <c r="E4180" s="24" t="s">
        <v>8</v>
      </c>
      <c r="F4180" s="24" t="s">
        <v>9</v>
      </c>
      <c r="G4180" s="24" t="s">
        <v>8</v>
      </c>
      <c r="H4180" s="24" t="s">
        <v>3302</v>
      </c>
      <c r="I4180" s="27">
        <v>317.76</v>
      </c>
    </row>
    <row r="4181" spans="1:9" ht="16">
      <c r="A4181" s="35" t="s">
        <v>50</v>
      </c>
      <c r="I4181" s="28">
        <f>I4179+I4180</f>
        <v>317.76</v>
      </c>
    </row>
    <row r="4182" spans="1:1" ht="16">
      <c r="A4182" s="34" t="s">
        <v>3302</v>
      </c>
    </row>
    <row r="4183" spans="2:9" ht="16">
      <c r="B4183" s="24" t="s">
        <v>961</v>
      </c>
      <c r="C4183" s="24" t="s">
        <v>6</v>
      </c>
      <c r="D4183" s="24" t="s">
        <v>2861</v>
      </c>
      <c r="E4183" s="24" t="s">
        <v>8</v>
      </c>
      <c r="F4183" s="24" t="s">
        <v>9</v>
      </c>
      <c r="G4183" s="24" t="s">
        <v>8</v>
      </c>
      <c r="H4183" s="24" t="s">
        <v>2862</v>
      </c>
      <c r="I4183" s="27">
        <v>197.35</v>
      </c>
    </row>
    <row r="4184" spans="1:9" ht="16">
      <c r="A4184" s="35" t="s">
        <v>67</v>
      </c>
      <c r="I4184" s="28">
        <f>I4182+I4183</f>
        <v>197.35</v>
      </c>
    </row>
    <row r="4185" spans="1:9" ht="16">
      <c r="A4185" s="36" t="s">
        <v>3304</v>
      </c>
      <c r="I4185" s="28">
        <f>I4178+I4181+I4184</f>
        <v>672.27</v>
      </c>
    </row>
    <row r="4186" spans="1:1" ht="16">
      <c r="A4186" s="33" t="s">
        <v>324</v>
      </c>
    </row>
    <row r="4187" spans="1:1" ht="16">
      <c r="A4187" s="34" t="s">
        <v>3305</v>
      </c>
    </row>
    <row r="4188" spans="2:9" ht="16">
      <c r="B4188" s="24" t="s">
        <v>493</v>
      </c>
      <c r="C4188" s="24" t="s">
        <v>13</v>
      </c>
      <c r="D4188" s="24" t="s">
        <v>3116</v>
      </c>
      <c r="E4188" s="24" t="s">
        <v>3306</v>
      </c>
      <c r="F4188" s="24" t="s">
        <v>9</v>
      </c>
      <c r="G4188" s="24" t="s">
        <v>8</v>
      </c>
      <c r="H4188" s="24" t="s">
        <v>3307</v>
      </c>
      <c r="I4188" s="27">
        <v>346.5</v>
      </c>
    </row>
    <row r="4189" spans="2:9" ht="16">
      <c r="B4189" s="24" t="s">
        <v>493</v>
      </c>
      <c r="C4189" s="24" t="s">
        <v>13</v>
      </c>
      <c r="D4189" s="24" t="s">
        <v>3116</v>
      </c>
      <c r="E4189" s="24" t="s">
        <v>3306</v>
      </c>
      <c r="F4189" s="24" t="s">
        <v>9</v>
      </c>
      <c r="G4189" s="24" t="s">
        <v>8</v>
      </c>
      <c r="H4189" s="24" t="s">
        <v>3308</v>
      </c>
      <c r="I4189" s="27">
        <v>207.9</v>
      </c>
    </row>
    <row r="4190" spans="2:9" ht="16">
      <c r="B4190" s="24" t="s">
        <v>493</v>
      </c>
      <c r="C4190" s="24" t="s">
        <v>13</v>
      </c>
      <c r="D4190" s="24" t="s">
        <v>3116</v>
      </c>
      <c r="E4190" s="24" t="s">
        <v>3306</v>
      </c>
      <c r="F4190" s="24" t="s">
        <v>9</v>
      </c>
      <c r="G4190" s="24" t="s">
        <v>8</v>
      </c>
      <c r="H4190" s="24" t="s">
        <v>3309</v>
      </c>
      <c r="I4190" s="27">
        <v>429.24</v>
      </c>
    </row>
    <row r="4191" spans="2:9" ht="16">
      <c r="B4191" s="24" t="s">
        <v>493</v>
      </c>
      <c r="C4191" s="24" t="s">
        <v>13</v>
      </c>
      <c r="D4191" s="24" t="s">
        <v>3116</v>
      </c>
      <c r="E4191" s="24" t="s">
        <v>3306</v>
      </c>
      <c r="F4191" s="24" t="s">
        <v>9</v>
      </c>
      <c r="G4191" s="24" t="s">
        <v>8</v>
      </c>
      <c r="H4191" s="24" t="s">
        <v>3310</v>
      </c>
      <c r="I4191" s="27">
        <v>517.56</v>
      </c>
    </row>
    <row r="4192" spans="2:9" ht="16">
      <c r="B4192" s="24" t="s">
        <v>493</v>
      </c>
      <c r="C4192" s="24" t="s">
        <v>13</v>
      </c>
      <c r="D4192" s="24" t="s">
        <v>3116</v>
      </c>
      <c r="E4192" s="24" t="s">
        <v>3306</v>
      </c>
      <c r="F4192" s="24" t="s">
        <v>9</v>
      </c>
      <c r="G4192" s="24" t="s">
        <v>8</v>
      </c>
      <c r="H4192" s="24" t="s">
        <v>3311</v>
      </c>
      <c r="I4192" s="27">
        <v>358.8</v>
      </c>
    </row>
    <row r="4193" spans="2:9" ht="16">
      <c r="B4193" s="24" t="s">
        <v>493</v>
      </c>
      <c r="C4193" s="24" t="s">
        <v>13</v>
      </c>
      <c r="D4193" s="24" t="s">
        <v>3116</v>
      </c>
      <c r="E4193" s="24" t="s">
        <v>3306</v>
      </c>
      <c r="F4193" s="24" t="s">
        <v>9</v>
      </c>
      <c r="G4193" s="24" t="s">
        <v>8</v>
      </c>
      <c r="H4193" s="24" t="s">
        <v>3312</v>
      </c>
      <c r="I4193" s="27">
        <v>415.98</v>
      </c>
    </row>
    <row r="4194" spans="2:9" ht="16">
      <c r="B4194" s="24" t="s">
        <v>493</v>
      </c>
      <c r="C4194" s="24" t="s">
        <v>13</v>
      </c>
      <c r="D4194" s="24" t="s">
        <v>3116</v>
      </c>
      <c r="E4194" s="24" t="s">
        <v>3306</v>
      </c>
      <c r="F4194" s="24" t="s">
        <v>9</v>
      </c>
      <c r="G4194" s="24" t="s">
        <v>8</v>
      </c>
      <c r="H4194" s="24" t="s">
        <v>3313</v>
      </c>
      <c r="I4194" s="27">
        <v>645.0</v>
      </c>
    </row>
    <row r="4195" spans="2:9" ht="16">
      <c r="B4195" s="24" t="s">
        <v>2130</v>
      </c>
      <c r="C4195" s="24" t="s">
        <v>6</v>
      </c>
      <c r="D4195" s="24" t="s">
        <v>2846</v>
      </c>
      <c r="E4195" s="24" t="s">
        <v>8</v>
      </c>
      <c r="F4195" s="24" t="s">
        <v>9</v>
      </c>
      <c r="G4195" s="24" t="s">
        <v>8</v>
      </c>
      <c r="H4195" s="24" t="s">
        <v>3314</v>
      </c>
      <c r="I4195" s="27">
        <v>98.01</v>
      </c>
    </row>
    <row r="4196" spans="1:9" ht="16">
      <c r="A4196" s="35" t="s">
        <v>40</v>
      </c>
      <c r="I4196" s="28">
        <f>I4187+I4188+I4189+I4190+I4191+I4192+I4193+I4194+I4195</f>
        <v>3018.99</v>
      </c>
    </row>
    <row r="4197" spans="1:1" ht="16">
      <c r="A4197" s="34" t="s">
        <v>3305</v>
      </c>
    </row>
    <row r="4198" spans="2:9" ht="16">
      <c r="B4198" s="24" t="s">
        <v>2130</v>
      </c>
      <c r="C4198" s="24" t="s">
        <v>6</v>
      </c>
      <c r="D4198" s="24" t="s">
        <v>3225</v>
      </c>
      <c r="E4198" s="24" t="s">
        <v>8</v>
      </c>
      <c r="F4198" s="24" t="s">
        <v>9</v>
      </c>
      <c r="G4198" s="24" t="s">
        <v>8</v>
      </c>
      <c r="H4198" s="24" t="s">
        <v>2323</v>
      </c>
      <c r="I4198" s="27">
        <v>32.67</v>
      </c>
    </row>
    <row r="4199" spans="2:9" ht="16">
      <c r="B4199" s="24" t="s">
        <v>2130</v>
      </c>
      <c r="C4199" s="24" t="s">
        <v>6</v>
      </c>
      <c r="D4199" s="24" t="s">
        <v>3163</v>
      </c>
      <c r="E4199" s="24" t="s">
        <v>8</v>
      </c>
      <c r="F4199" s="24" t="s">
        <v>9</v>
      </c>
      <c r="G4199" s="24" t="s">
        <v>8</v>
      </c>
      <c r="H4199" s="24" t="s">
        <v>2323</v>
      </c>
      <c r="I4199" s="27">
        <v>160.04</v>
      </c>
    </row>
    <row r="4200" spans="1:9" ht="16">
      <c r="A4200" s="35" t="s">
        <v>267</v>
      </c>
      <c r="I4200" s="28">
        <f>I4197+I4198+I4199</f>
        <v>192.70999999999998</v>
      </c>
    </row>
    <row r="4201" spans="1:1" ht="16">
      <c r="A4201" s="34" t="s">
        <v>3305</v>
      </c>
    </row>
    <row r="4202" spans="2:9" ht="16">
      <c r="B4202" s="24" t="s">
        <v>961</v>
      </c>
      <c r="C4202" s="24" t="s">
        <v>6</v>
      </c>
      <c r="D4202" s="24" t="s">
        <v>2608</v>
      </c>
      <c r="E4202" s="24" t="s">
        <v>8</v>
      </c>
      <c r="F4202" s="24" t="s">
        <v>9</v>
      </c>
      <c r="G4202" s="24" t="s">
        <v>8</v>
      </c>
      <c r="H4202" s="24" t="s">
        <v>2609</v>
      </c>
      <c r="I4202" s="27">
        <v>668.54</v>
      </c>
    </row>
    <row r="4203" spans="2:9" ht="16">
      <c r="B4203" s="24" t="s">
        <v>961</v>
      </c>
      <c r="C4203" s="24" t="s">
        <v>6</v>
      </c>
      <c r="D4203" s="24" t="s">
        <v>1813</v>
      </c>
      <c r="E4203" s="24" t="s">
        <v>8</v>
      </c>
      <c r="F4203" s="24" t="s">
        <v>9</v>
      </c>
      <c r="G4203" s="24" t="s">
        <v>8</v>
      </c>
      <c r="H4203" s="24" t="s">
        <v>1814</v>
      </c>
      <c r="I4203" s="27">
        <v>2807.83</v>
      </c>
    </row>
    <row r="4204" spans="1:9" ht="16">
      <c r="A4204" s="35" t="s">
        <v>67</v>
      </c>
      <c r="I4204" s="28">
        <f>I4201+I4202+I4203</f>
        <v>3476.37</v>
      </c>
    </row>
    <row r="4205" spans="1:9" ht="16">
      <c r="A4205" s="36" t="s">
        <v>3315</v>
      </c>
      <c r="I4205" s="28">
        <f>I4196+I4200+I4204</f>
        <v>6688.07</v>
      </c>
    </row>
    <row r="4206" spans="1:1" ht="16">
      <c r="A4206" s="33" t="s">
        <v>324</v>
      </c>
    </row>
    <row r="4207" spans="1:1" ht="16">
      <c r="A4207" s="34" t="s">
        <v>3316</v>
      </c>
    </row>
    <row r="4208" spans="2:9" ht="16">
      <c r="B4208" s="24" t="s">
        <v>8</v>
      </c>
      <c r="C4208" s="24" t="s">
        <v>6</v>
      </c>
      <c r="D4208" s="24" t="s">
        <v>3079</v>
      </c>
      <c r="E4208" s="24" t="s">
        <v>8</v>
      </c>
      <c r="F4208" s="24" t="s">
        <v>9</v>
      </c>
      <c r="G4208" s="24" t="s">
        <v>8</v>
      </c>
      <c r="H4208" s="24" t="s">
        <v>3317</v>
      </c>
      <c r="I4208" s="27">
        <v>169.33</v>
      </c>
    </row>
    <row r="4209" spans="2:9" ht="16">
      <c r="B4209" s="24" t="s">
        <v>21</v>
      </c>
      <c r="C4209" s="24" t="s">
        <v>13</v>
      </c>
      <c r="D4209" s="24" t="s">
        <v>2125</v>
      </c>
      <c r="E4209" s="24" t="s">
        <v>3318</v>
      </c>
      <c r="F4209" s="24" t="s">
        <v>9</v>
      </c>
      <c r="G4209" s="24" t="s">
        <v>8</v>
      </c>
      <c r="H4209" s="24" t="s">
        <v>3319</v>
      </c>
      <c r="I4209" s="27">
        <v>336.64</v>
      </c>
    </row>
    <row r="4210" spans="1:9" ht="16">
      <c r="A4210" s="35" t="s">
        <v>40</v>
      </c>
      <c r="I4210" s="28">
        <f>I4207+I4208+I4209</f>
        <v>505.97</v>
      </c>
    </row>
    <row r="4211" spans="1:1" ht="16">
      <c r="A4211" s="34" t="s">
        <v>3316</v>
      </c>
    </row>
    <row r="4212" spans="2:9" ht="16">
      <c r="B4212" s="24" t="s">
        <v>1382</v>
      </c>
      <c r="C4212" s="24" t="s">
        <v>13</v>
      </c>
      <c r="D4212" s="24" t="s">
        <v>3202</v>
      </c>
      <c r="E4212" s="24" t="s">
        <v>3320</v>
      </c>
      <c r="F4212" s="24" t="s">
        <v>9</v>
      </c>
      <c r="G4212" s="24" t="s">
        <v>8</v>
      </c>
      <c r="H4212" s="24" t="s">
        <v>3321</v>
      </c>
      <c r="I4212" s="27">
        <v>425.0</v>
      </c>
    </row>
    <row r="4213" spans="2:9" ht="16">
      <c r="B4213" s="24" t="s">
        <v>1382</v>
      </c>
      <c r="C4213" s="24" t="s">
        <v>13</v>
      </c>
      <c r="D4213" s="24" t="s">
        <v>2962</v>
      </c>
      <c r="E4213" s="24" t="s">
        <v>3322</v>
      </c>
      <c r="F4213" s="24" t="s">
        <v>9</v>
      </c>
      <c r="G4213" s="24" t="s">
        <v>8</v>
      </c>
      <c r="H4213" s="24" t="s">
        <v>3323</v>
      </c>
      <c r="I4213" s="27">
        <v>680.0</v>
      </c>
    </row>
    <row r="4214" spans="1:9" ht="16">
      <c r="A4214" s="35" t="s">
        <v>164</v>
      </c>
      <c r="I4214" s="28">
        <f>I4211+I4212+I4213</f>
        <v>1105.0</v>
      </c>
    </row>
    <row r="4215" spans="1:1" ht="16">
      <c r="A4215" s="34" t="s">
        <v>3316</v>
      </c>
    </row>
    <row r="4216" spans="2:9" ht="16">
      <c r="B4216" s="24" t="s">
        <v>45</v>
      </c>
      <c r="C4216" s="24" t="s">
        <v>13</v>
      </c>
      <c r="D4216" s="24" t="s">
        <v>2846</v>
      </c>
      <c r="E4216" s="24" t="s">
        <v>8</v>
      </c>
      <c r="F4216" s="24" t="s">
        <v>9</v>
      </c>
      <c r="G4216" s="24" t="s">
        <v>8</v>
      </c>
      <c r="H4216" s="24" t="s">
        <v>3316</v>
      </c>
      <c r="I4216" s="27">
        <v>423.68</v>
      </c>
    </row>
    <row r="4217" spans="1:9" ht="16">
      <c r="A4217" s="35" t="s">
        <v>50</v>
      </c>
      <c r="I4217" s="28">
        <f>I4215+I4216</f>
        <v>423.68</v>
      </c>
    </row>
    <row r="4218" spans="1:1" ht="16">
      <c r="A4218" s="34" t="s">
        <v>3316</v>
      </c>
    </row>
    <row r="4219" spans="2:9" ht="16">
      <c r="B4219" s="24" t="s">
        <v>961</v>
      </c>
      <c r="C4219" s="24" t="s">
        <v>6</v>
      </c>
      <c r="D4219" s="24" t="s">
        <v>2861</v>
      </c>
      <c r="E4219" s="24" t="s">
        <v>8</v>
      </c>
      <c r="F4219" s="24" t="s">
        <v>9</v>
      </c>
      <c r="G4219" s="24" t="s">
        <v>8</v>
      </c>
      <c r="H4219" s="24" t="s">
        <v>2862</v>
      </c>
      <c r="I4219" s="27">
        <v>789.37</v>
      </c>
    </row>
    <row r="4220" spans="1:9" ht="16">
      <c r="A4220" s="35" t="s">
        <v>67</v>
      </c>
      <c r="I4220" s="28">
        <f>I4218+I4219</f>
        <v>789.37</v>
      </c>
    </row>
    <row r="4221" spans="1:9" ht="16">
      <c r="A4221" s="36" t="s">
        <v>3324</v>
      </c>
      <c r="I4221" s="28">
        <f>I4210+I4214+I4217+I4220</f>
        <v>2824.02</v>
      </c>
    </row>
    <row r="4222" spans="1:1" ht="16">
      <c r="A4222" s="33" t="s">
        <v>324</v>
      </c>
    </row>
    <row r="4223" spans="1:1" ht="16">
      <c r="A4223" s="34" t="s">
        <v>3325</v>
      </c>
    </row>
    <row r="4224" spans="2:9" ht="16">
      <c r="B4224" s="24" t="s">
        <v>86</v>
      </c>
      <c r="C4224" s="24" t="s">
        <v>13</v>
      </c>
      <c r="D4224" s="24" t="s">
        <v>3217</v>
      </c>
      <c r="E4224" s="24" t="s">
        <v>3326</v>
      </c>
      <c r="F4224" s="24" t="s">
        <v>9</v>
      </c>
      <c r="G4224" s="24" t="s">
        <v>8</v>
      </c>
      <c r="H4224" s="24" t="s">
        <v>3327</v>
      </c>
      <c r="I4224" s="27">
        <v>251.42</v>
      </c>
    </row>
    <row r="4225" spans="2:9" ht="16">
      <c r="B4225" s="24" t="s">
        <v>333</v>
      </c>
      <c r="C4225" s="24" t="s">
        <v>6</v>
      </c>
      <c r="D4225" s="24" t="s">
        <v>3217</v>
      </c>
      <c r="E4225" s="24" t="s">
        <v>8</v>
      </c>
      <c r="F4225" s="24" t="s">
        <v>9</v>
      </c>
      <c r="G4225" s="24" t="s">
        <v>8</v>
      </c>
      <c r="H4225" s="24" t="s">
        <v>3328</v>
      </c>
      <c r="I4225" s="27">
        <v>97.69</v>
      </c>
    </row>
    <row r="4226" spans="2:9" ht="16">
      <c r="B4226" s="24" t="s">
        <v>21</v>
      </c>
      <c r="C4226" s="24" t="s">
        <v>6</v>
      </c>
      <c r="D4226" s="24" t="s">
        <v>3079</v>
      </c>
      <c r="E4226" s="24" t="s">
        <v>8</v>
      </c>
      <c r="F4226" s="24" t="s">
        <v>9</v>
      </c>
      <c r="G4226" s="24" t="s">
        <v>8</v>
      </c>
      <c r="H4226" s="24" t="s">
        <v>3329</v>
      </c>
      <c r="I4226" s="27">
        <v>57.02</v>
      </c>
    </row>
    <row r="4227" spans="2:9" ht="16">
      <c r="B4227" s="24" t="s">
        <v>316</v>
      </c>
      <c r="C4227" s="24" t="s">
        <v>6</v>
      </c>
      <c r="D4227" s="24" t="s">
        <v>3202</v>
      </c>
      <c r="E4227" s="24" t="s">
        <v>8</v>
      </c>
      <c r="F4227" s="24" t="s">
        <v>9</v>
      </c>
      <c r="G4227" s="24" t="s">
        <v>8</v>
      </c>
      <c r="H4227" s="24" t="s">
        <v>3330</v>
      </c>
      <c r="I4227" s="27">
        <v>91.17</v>
      </c>
    </row>
    <row r="4228" spans="2:9" ht="16">
      <c r="B4228" s="24" t="s">
        <v>316</v>
      </c>
      <c r="C4228" s="24" t="s">
        <v>6</v>
      </c>
      <c r="D4228" s="24" t="s">
        <v>3331</v>
      </c>
      <c r="E4228" s="24" t="s">
        <v>8</v>
      </c>
      <c r="F4228" s="24" t="s">
        <v>9</v>
      </c>
      <c r="G4228" s="24" t="s">
        <v>8</v>
      </c>
      <c r="H4228" s="24" t="s">
        <v>3332</v>
      </c>
      <c r="I4228" s="27">
        <v>159.92</v>
      </c>
    </row>
    <row r="4229" spans="2:9" ht="16">
      <c r="B4229" s="24" t="s">
        <v>36</v>
      </c>
      <c r="C4229" s="24" t="s">
        <v>6</v>
      </c>
      <c r="D4229" s="24" t="s">
        <v>2967</v>
      </c>
      <c r="E4229" s="24" t="s">
        <v>8</v>
      </c>
      <c r="F4229" s="24" t="s">
        <v>9</v>
      </c>
      <c r="G4229" s="24" t="s">
        <v>8</v>
      </c>
      <c r="H4229" s="24" t="s">
        <v>3333</v>
      </c>
      <c r="I4229" s="27">
        <v>54.95</v>
      </c>
    </row>
    <row r="4230" spans="2:9" ht="16">
      <c r="B4230" s="24" t="s">
        <v>316</v>
      </c>
      <c r="C4230" s="24" t="s">
        <v>6</v>
      </c>
      <c r="D4230" s="24" t="s">
        <v>3116</v>
      </c>
      <c r="E4230" s="24" t="s">
        <v>8</v>
      </c>
      <c r="F4230" s="24" t="s">
        <v>9</v>
      </c>
      <c r="G4230" s="24" t="s">
        <v>8</v>
      </c>
      <c r="H4230" s="24" t="s">
        <v>3334</v>
      </c>
      <c r="I4230" s="27">
        <v>139.59</v>
      </c>
    </row>
    <row r="4231" spans="2:9" ht="16">
      <c r="B4231" s="24" t="s">
        <v>1219</v>
      </c>
      <c r="C4231" s="24" t="s">
        <v>6</v>
      </c>
      <c r="D4231" s="24" t="s">
        <v>2967</v>
      </c>
      <c r="E4231" s="24" t="s">
        <v>8</v>
      </c>
      <c r="F4231" s="24" t="s">
        <v>9</v>
      </c>
      <c r="G4231" s="24" t="s">
        <v>8</v>
      </c>
      <c r="H4231" s="24" t="s">
        <v>3335</v>
      </c>
      <c r="I4231" s="27">
        <v>128.56</v>
      </c>
    </row>
    <row r="4232" spans="2:9" ht="16">
      <c r="B4232" s="24" t="s">
        <v>1219</v>
      </c>
      <c r="C4232" s="24" t="s">
        <v>6</v>
      </c>
      <c r="D4232" s="24" t="s">
        <v>3120</v>
      </c>
      <c r="E4232" s="24" t="s">
        <v>8</v>
      </c>
      <c r="F4232" s="24" t="s">
        <v>9</v>
      </c>
      <c r="G4232" s="24" t="s">
        <v>8</v>
      </c>
      <c r="H4232" s="24" t="s">
        <v>3336</v>
      </c>
      <c r="I4232" s="27">
        <v>107.14</v>
      </c>
    </row>
    <row r="4233" spans="2:9" ht="16">
      <c r="B4233" s="24" t="s">
        <v>2130</v>
      </c>
      <c r="C4233" s="24" t="s">
        <v>6</v>
      </c>
      <c r="D4233" s="24" t="s">
        <v>3156</v>
      </c>
      <c r="E4233" s="24" t="s">
        <v>8</v>
      </c>
      <c r="F4233" s="24" t="s">
        <v>9</v>
      </c>
      <c r="G4233" s="24" t="s">
        <v>8</v>
      </c>
      <c r="H4233" s="24" t="s">
        <v>524</v>
      </c>
      <c r="I4233" s="27">
        <v>57.54</v>
      </c>
    </row>
    <row r="4234" spans="2:9" ht="16">
      <c r="B4234" s="24" t="s">
        <v>21</v>
      </c>
      <c r="C4234" s="24" t="s">
        <v>13</v>
      </c>
      <c r="D4234" s="24" t="s">
        <v>3083</v>
      </c>
      <c r="E4234" s="24" t="s">
        <v>3337</v>
      </c>
      <c r="F4234" s="24" t="s">
        <v>9</v>
      </c>
      <c r="G4234" s="24" t="s">
        <v>8</v>
      </c>
      <c r="H4234" s="24" t="s">
        <v>3338</v>
      </c>
      <c r="I4234" s="27">
        <v>91.85</v>
      </c>
    </row>
    <row r="4235" spans="1:9" ht="16">
      <c r="A4235" s="35" t="s">
        <v>40</v>
      </c>
      <c r="I4235" s="28">
        <f>I4223+I4224+I4225+I4226+I4227+I4228+I4229+I4230+I4231+I4232+I4233+I4234</f>
        <v>1236.8500000000001</v>
      </c>
    </row>
    <row r="4236" spans="1:1" ht="16">
      <c r="A4236" s="34" t="s">
        <v>3325</v>
      </c>
    </row>
    <row r="4237" spans="2:9" ht="16">
      <c r="B4237" s="24" t="s">
        <v>45</v>
      </c>
      <c r="C4237" s="24" t="s">
        <v>13</v>
      </c>
      <c r="D4237" s="24" t="s">
        <v>2589</v>
      </c>
      <c r="E4237" s="24" t="s">
        <v>8</v>
      </c>
      <c r="F4237" s="24" t="s">
        <v>9</v>
      </c>
      <c r="G4237" s="24" t="s">
        <v>8</v>
      </c>
      <c r="H4237" s="24" t="s">
        <v>3325</v>
      </c>
      <c r="I4237" s="27">
        <v>79.44</v>
      </c>
    </row>
    <row r="4238" spans="2:9" ht="16">
      <c r="B4238" s="24" t="s">
        <v>45</v>
      </c>
      <c r="C4238" s="24" t="s">
        <v>13</v>
      </c>
      <c r="D4238" s="24" t="s">
        <v>2846</v>
      </c>
      <c r="E4238" s="24" t="s">
        <v>8</v>
      </c>
      <c r="F4238" s="24" t="s">
        <v>9</v>
      </c>
      <c r="G4238" s="24" t="s">
        <v>8</v>
      </c>
      <c r="H4238" s="24" t="s">
        <v>3325</v>
      </c>
      <c r="I4238" s="27">
        <v>662.0</v>
      </c>
    </row>
    <row r="4239" spans="1:9" ht="16">
      <c r="A4239" s="35" t="s">
        <v>50</v>
      </c>
      <c r="I4239" s="28">
        <f>I4236+I4237+I4238</f>
        <v>741.44</v>
      </c>
    </row>
    <row r="4240" spans="1:1" ht="16">
      <c r="A4240" s="34" t="s">
        <v>3325</v>
      </c>
    </row>
    <row r="4241" spans="2:9" ht="16">
      <c r="B4241" s="24" t="s">
        <v>961</v>
      </c>
      <c r="C4241" s="24" t="s">
        <v>6</v>
      </c>
      <c r="D4241" s="24" t="s">
        <v>2861</v>
      </c>
      <c r="E4241" s="24" t="s">
        <v>8</v>
      </c>
      <c r="F4241" s="24" t="s">
        <v>9</v>
      </c>
      <c r="G4241" s="24" t="s">
        <v>8</v>
      </c>
      <c r="H4241" s="24" t="s">
        <v>2862</v>
      </c>
      <c r="I4241" s="27">
        <v>542.69</v>
      </c>
    </row>
    <row r="4242" spans="2:9" ht="16">
      <c r="B4242" s="24" t="s">
        <v>961</v>
      </c>
      <c r="C4242" s="24" t="s">
        <v>6</v>
      </c>
      <c r="D4242" s="24" t="s">
        <v>2608</v>
      </c>
      <c r="E4242" s="24" t="s">
        <v>8</v>
      </c>
      <c r="F4242" s="24" t="s">
        <v>9</v>
      </c>
      <c r="G4242" s="24" t="s">
        <v>8</v>
      </c>
      <c r="H4242" s="24" t="s">
        <v>2609</v>
      </c>
      <c r="I4242" s="27">
        <v>739.16</v>
      </c>
    </row>
    <row r="4243" spans="2:9" ht="16">
      <c r="B4243" s="24" t="s">
        <v>961</v>
      </c>
      <c r="C4243" s="24" t="s">
        <v>6</v>
      </c>
      <c r="D4243" s="24" t="s">
        <v>2846</v>
      </c>
      <c r="E4243" s="24" t="s">
        <v>8</v>
      </c>
      <c r="F4243" s="24" t="s">
        <v>9</v>
      </c>
      <c r="G4243" s="24" t="s">
        <v>8</v>
      </c>
      <c r="H4243" s="24" t="s">
        <v>2863</v>
      </c>
      <c r="I4243" s="27">
        <v>542.7</v>
      </c>
    </row>
    <row r="4244" spans="2:9" ht="16">
      <c r="B4244" s="24" t="s">
        <v>961</v>
      </c>
      <c r="C4244" s="24" t="s">
        <v>6</v>
      </c>
      <c r="D4244" s="24" t="s">
        <v>2967</v>
      </c>
      <c r="E4244" s="24" t="s">
        <v>8</v>
      </c>
      <c r="F4244" s="24" t="s">
        <v>9</v>
      </c>
      <c r="G4244" s="24" t="s">
        <v>8</v>
      </c>
      <c r="H4244" s="24" t="s">
        <v>2968</v>
      </c>
      <c r="I4244" s="27">
        <v>296.02</v>
      </c>
    </row>
    <row r="4245" spans="1:9" ht="16">
      <c r="A4245" s="35" t="s">
        <v>67</v>
      </c>
      <c r="I4245" s="28">
        <f>I4240+I4241+I4242+I4243+I4244</f>
        <v>2120.5699999999997</v>
      </c>
    </row>
    <row r="4246" spans="1:9" ht="16">
      <c r="A4246" s="36" t="s">
        <v>3339</v>
      </c>
      <c r="I4246" s="28">
        <f>I4235+I4239+I4245</f>
        <v>4098.86</v>
      </c>
    </row>
    <row r="4247" spans="1:1" ht="16">
      <c r="A4247" s="33" t="s">
        <v>324</v>
      </c>
    </row>
    <row r="4248" spans="1:1" ht="16">
      <c r="A4248" s="34" t="s">
        <v>3340</v>
      </c>
    </row>
    <row r="4249" spans="2:9" ht="16">
      <c r="B4249" s="24" t="s">
        <v>36</v>
      </c>
      <c r="C4249" s="24" t="s">
        <v>6</v>
      </c>
      <c r="D4249" s="24" t="s">
        <v>3331</v>
      </c>
      <c r="E4249" s="24" t="s">
        <v>8</v>
      </c>
      <c r="F4249" s="24" t="s">
        <v>9</v>
      </c>
      <c r="G4249" s="24" t="s">
        <v>8</v>
      </c>
      <c r="H4249" s="24" t="s">
        <v>3341</v>
      </c>
      <c r="I4249" s="27">
        <v>8.74</v>
      </c>
    </row>
    <row r="4250" spans="1:9" ht="16">
      <c r="A4250" s="35" t="s">
        <v>40</v>
      </c>
      <c r="I4250" s="28">
        <f>I4248+I4249</f>
        <v>8.74</v>
      </c>
    </row>
    <row r="4251" spans="1:1" ht="16">
      <c r="A4251" s="34" t="s">
        <v>3340</v>
      </c>
    </row>
    <row r="4252" spans="2:9" ht="16">
      <c r="B4252" s="24" t="s">
        <v>45</v>
      </c>
      <c r="C4252" s="24" t="s">
        <v>13</v>
      </c>
      <c r="D4252" s="24" t="s">
        <v>2846</v>
      </c>
      <c r="E4252" s="24" t="s">
        <v>8</v>
      </c>
      <c r="F4252" s="24" t="s">
        <v>9</v>
      </c>
      <c r="G4252" s="24" t="s">
        <v>8</v>
      </c>
      <c r="H4252" s="24" t="s">
        <v>3340</v>
      </c>
      <c r="I4252" s="27">
        <v>317.76</v>
      </c>
    </row>
    <row r="4253" spans="1:9" ht="16">
      <c r="A4253" s="35" t="s">
        <v>50</v>
      </c>
      <c r="I4253" s="28">
        <f>I4251+I4252</f>
        <v>317.76</v>
      </c>
    </row>
    <row r="4254" spans="1:1" ht="16">
      <c r="A4254" s="34" t="s">
        <v>3340</v>
      </c>
    </row>
    <row r="4255" spans="2:9" ht="16">
      <c r="B4255" s="24" t="s">
        <v>961</v>
      </c>
      <c r="C4255" s="24" t="s">
        <v>6</v>
      </c>
      <c r="D4255" s="24" t="s">
        <v>3120</v>
      </c>
      <c r="E4255" s="24" t="s">
        <v>8</v>
      </c>
      <c r="F4255" s="24" t="s">
        <v>9</v>
      </c>
      <c r="G4255" s="24" t="s">
        <v>8</v>
      </c>
      <c r="H4255" s="24" t="s">
        <v>3134</v>
      </c>
      <c r="I4255" s="27">
        <v>592.04</v>
      </c>
    </row>
    <row r="4256" spans="1:9" ht="16">
      <c r="A4256" s="35" t="s">
        <v>67</v>
      </c>
      <c r="I4256" s="28">
        <f>I4254+I4255</f>
        <v>592.04</v>
      </c>
    </row>
    <row r="4257" spans="1:9" ht="16">
      <c r="A4257" s="36" t="s">
        <v>3342</v>
      </c>
      <c r="I4257" s="28">
        <f>I4250+I4253+I4256</f>
        <v>918.54</v>
      </c>
    </row>
    <row r="4258" spans="1:1" ht="16">
      <c r="A4258" s="33" t="s">
        <v>1811</v>
      </c>
    </row>
    <row r="4259" spans="1:1" ht="16">
      <c r="A4259" s="34" t="s">
        <v>3343</v>
      </c>
    </row>
    <row r="4260" spans="2:9" ht="16">
      <c r="B4260" s="24" t="s">
        <v>961</v>
      </c>
      <c r="C4260" s="24" t="s">
        <v>6</v>
      </c>
      <c r="D4260" s="24" t="s">
        <v>2608</v>
      </c>
      <c r="E4260" s="24" t="s">
        <v>8</v>
      </c>
      <c r="F4260" s="24" t="s">
        <v>9</v>
      </c>
      <c r="G4260" s="24" t="s">
        <v>8</v>
      </c>
      <c r="H4260" s="24" t="s">
        <v>2609</v>
      </c>
      <c r="I4260" s="27">
        <v>50.41</v>
      </c>
    </row>
    <row r="4261" spans="2:9" ht="16">
      <c r="B4261" s="24" t="s">
        <v>961</v>
      </c>
      <c r="C4261" s="24" t="s">
        <v>6</v>
      </c>
      <c r="D4261" s="24" t="s">
        <v>1813</v>
      </c>
      <c r="E4261" s="24" t="s">
        <v>8</v>
      </c>
      <c r="F4261" s="24" t="s">
        <v>9</v>
      </c>
      <c r="G4261" s="24" t="s">
        <v>8</v>
      </c>
      <c r="H4261" s="24" t="s">
        <v>1814</v>
      </c>
      <c r="I4261" s="27">
        <v>100.83</v>
      </c>
    </row>
    <row r="4262" spans="1:9" ht="16">
      <c r="A4262" s="35" t="s">
        <v>67</v>
      </c>
      <c r="I4262" s="28">
        <f>I4259+I4260+I4261</f>
        <v>151.24</v>
      </c>
    </row>
    <row r="4263" spans="1:9" ht="16">
      <c r="A4263" s="36" t="s">
        <v>3344</v>
      </c>
      <c r="I4263" s="28">
        <f>I4262</f>
        <v>151.24</v>
      </c>
    </row>
    <row r="4264" spans="1:1" ht="16">
      <c r="A4264" s="33" t="s">
        <v>172</v>
      </c>
    </row>
    <row r="4265" spans="1:1" ht="16">
      <c r="A4265" s="34" t="s">
        <v>3345</v>
      </c>
    </row>
    <row r="4266" spans="2:9" ht="16">
      <c r="B4266" s="24" t="s">
        <v>957</v>
      </c>
      <c r="C4266" s="24" t="s">
        <v>6</v>
      </c>
      <c r="D4266" s="24" t="s">
        <v>2135</v>
      </c>
      <c r="E4266" s="24" t="s">
        <v>8</v>
      </c>
      <c r="F4266" s="24" t="s">
        <v>9</v>
      </c>
      <c r="G4266" s="24" t="s">
        <v>8</v>
      </c>
      <c r="H4266" s="24" t="s">
        <v>958</v>
      </c>
      <c r="I4266" s="27">
        <v>427.2</v>
      </c>
    </row>
    <row r="4267" spans="1:9" ht="16">
      <c r="A4267" s="35" t="s">
        <v>81</v>
      </c>
      <c r="I4267" s="28">
        <f>I4265+I4266</f>
        <v>427.2</v>
      </c>
    </row>
    <row r="4268" spans="1:1" ht="16">
      <c r="A4268" s="34" t="s">
        <v>3345</v>
      </c>
    </row>
    <row r="4269" spans="2:9" ht="16">
      <c r="B4269" s="24" t="s">
        <v>3346</v>
      </c>
      <c r="C4269" s="24" t="s">
        <v>6</v>
      </c>
      <c r="D4269" s="24" t="s">
        <v>2646</v>
      </c>
      <c r="E4269" s="24" t="s">
        <v>8</v>
      </c>
      <c r="F4269" s="24" t="s">
        <v>9</v>
      </c>
      <c r="G4269" s="24" t="s">
        <v>8</v>
      </c>
      <c r="H4269" s="24" t="s">
        <v>3347</v>
      </c>
      <c r="I4269" s="27">
        <v>950.25</v>
      </c>
    </row>
    <row r="4270" spans="2:9" ht="16">
      <c r="B4270" s="24" t="s">
        <v>8</v>
      </c>
      <c r="C4270" s="24" t="s">
        <v>6</v>
      </c>
      <c r="D4270" s="24" t="s">
        <v>2646</v>
      </c>
      <c r="E4270" s="24" t="s">
        <v>8</v>
      </c>
      <c r="F4270" s="24" t="s">
        <v>9</v>
      </c>
      <c r="G4270" s="24" t="s">
        <v>8</v>
      </c>
      <c r="H4270" s="24" t="s">
        <v>3348</v>
      </c>
      <c r="I4270" s="27">
        <v>378.9</v>
      </c>
    </row>
    <row r="4271" spans="1:9" ht="16">
      <c r="A4271" s="35" t="s">
        <v>2629</v>
      </c>
      <c r="I4271" s="28">
        <f>I4268+I4269+I4270</f>
        <v>1329.15</v>
      </c>
    </row>
    <row r="4272" spans="1:1" ht="16">
      <c r="A4272" s="34" t="s">
        <v>3345</v>
      </c>
    </row>
    <row r="4273" spans="2:9" ht="16">
      <c r="B4273" s="24" t="s">
        <v>119</v>
      </c>
      <c r="C4273" s="24" t="s">
        <v>6</v>
      </c>
      <c r="D4273" s="24" t="s">
        <v>3000</v>
      </c>
      <c r="E4273" s="24" t="s">
        <v>8</v>
      </c>
      <c r="F4273" s="24" t="s">
        <v>9</v>
      </c>
      <c r="G4273" s="24" t="s">
        <v>8</v>
      </c>
      <c r="H4273" s="24" t="s">
        <v>3349</v>
      </c>
      <c r="I4273" s="27">
        <v>43.0</v>
      </c>
    </row>
    <row r="4274" spans="2:9" ht="16">
      <c r="B4274" s="24" t="s">
        <v>2130</v>
      </c>
      <c r="C4274" s="24" t="s">
        <v>6</v>
      </c>
      <c r="D4274" s="24" t="s">
        <v>2801</v>
      </c>
      <c r="E4274" s="24" t="s">
        <v>8</v>
      </c>
      <c r="F4274" s="24" t="s">
        <v>9</v>
      </c>
      <c r="G4274" s="24" t="s">
        <v>8</v>
      </c>
      <c r="H4274" s="24" t="s">
        <v>3350</v>
      </c>
      <c r="I4274" s="27">
        <v>240.3</v>
      </c>
    </row>
    <row r="4275" spans="2:9" ht="16">
      <c r="B4275" s="24" t="s">
        <v>2130</v>
      </c>
      <c r="C4275" s="24" t="s">
        <v>6</v>
      </c>
      <c r="D4275" s="24" t="s">
        <v>3000</v>
      </c>
      <c r="E4275" s="24" t="s">
        <v>8</v>
      </c>
      <c r="F4275" s="24" t="s">
        <v>9</v>
      </c>
      <c r="G4275" s="24" t="s">
        <v>8</v>
      </c>
      <c r="H4275" s="24" t="s">
        <v>3351</v>
      </c>
      <c r="I4275" s="27">
        <v>17.92</v>
      </c>
    </row>
    <row r="4276" spans="2:9" ht="16">
      <c r="B4276" s="24" t="s">
        <v>2130</v>
      </c>
      <c r="C4276" s="24" t="s">
        <v>6</v>
      </c>
      <c r="D4276" s="24" t="s">
        <v>3000</v>
      </c>
      <c r="E4276" s="24" t="s">
        <v>8</v>
      </c>
      <c r="F4276" s="24" t="s">
        <v>9</v>
      </c>
      <c r="G4276" s="24" t="s">
        <v>8</v>
      </c>
      <c r="H4276" s="24" t="s">
        <v>3351</v>
      </c>
      <c r="I4276" s="27">
        <v>28.1</v>
      </c>
    </row>
    <row r="4277" spans="2:9" ht="16">
      <c r="B4277" s="24" t="s">
        <v>2130</v>
      </c>
      <c r="C4277" s="24" t="s">
        <v>6</v>
      </c>
      <c r="D4277" s="24" t="s">
        <v>3352</v>
      </c>
      <c r="E4277" s="24" t="s">
        <v>8</v>
      </c>
      <c r="F4277" s="24" t="s">
        <v>9</v>
      </c>
      <c r="G4277" s="24" t="s">
        <v>8</v>
      </c>
      <c r="H4277" s="24" t="s">
        <v>524</v>
      </c>
      <c r="I4277" s="27">
        <v>872.08</v>
      </c>
    </row>
    <row r="4278" spans="1:9" ht="16">
      <c r="A4278" s="35" t="s">
        <v>40</v>
      </c>
      <c r="I4278" s="28">
        <f>I4272+I4273+I4274+I4275+I4276+I4277</f>
        <v>1201.4</v>
      </c>
    </row>
    <row r="4279" spans="1:1" ht="16">
      <c r="A4279" s="34" t="s">
        <v>3345</v>
      </c>
    </row>
    <row r="4280" spans="2:9" ht="16">
      <c r="B4280" s="24" t="s">
        <v>589</v>
      </c>
      <c r="C4280" s="24" t="s">
        <v>6</v>
      </c>
      <c r="D4280" s="24" t="s">
        <v>3353</v>
      </c>
      <c r="E4280" s="24" t="s">
        <v>8</v>
      </c>
      <c r="F4280" s="24" t="s">
        <v>9</v>
      </c>
      <c r="G4280" s="24" t="s">
        <v>8</v>
      </c>
      <c r="H4280" s="24" t="s">
        <v>3354</v>
      </c>
      <c r="I4280" s="27">
        <v>-206.32</v>
      </c>
    </row>
    <row r="4281" spans="2:9" ht="16">
      <c r="B4281" s="24" t="s">
        <v>589</v>
      </c>
      <c r="C4281" s="24" t="s">
        <v>6</v>
      </c>
      <c r="D4281" s="24" t="s">
        <v>3353</v>
      </c>
      <c r="E4281" s="24" t="s">
        <v>8</v>
      </c>
      <c r="F4281" s="24" t="s">
        <v>9</v>
      </c>
      <c r="G4281" s="24" t="s">
        <v>8</v>
      </c>
      <c r="H4281" s="24" t="s">
        <v>3354</v>
      </c>
      <c r="I4281" s="27">
        <v>206.32</v>
      </c>
    </row>
    <row r="4282" spans="2:9" ht="16">
      <c r="B4282" s="24" t="s">
        <v>589</v>
      </c>
      <c r="C4282" s="24" t="s">
        <v>6</v>
      </c>
      <c r="D4282" s="24" t="s">
        <v>3353</v>
      </c>
      <c r="E4282" s="24" t="s">
        <v>8</v>
      </c>
      <c r="F4282" s="24" t="s">
        <v>9</v>
      </c>
      <c r="G4282" s="24" t="s">
        <v>8</v>
      </c>
      <c r="H4282" s="24" t="s">
        <v>3355</v>
      </c>
      <c r="I4282" s="27">
        <v>206.32</v>
      </c>
    </row>
    <row r="4283" spans="2:9" ht="16">
      <c r="B4283" s="24" t="s">
        <v>36</v>
      </c>
      <c r="C4283" s="24" t="s">
        <v>6</v>
      </c>
      <c r="D4283" s="24" t="s">
        <v>3352</v>
      </c>
      <c r="E4283" s="24" t="s">
        <v>8</v>
      </c>
      <c r="F4283" s="24" t="s">
        <v>9</v>
      </c>
      <c r="G4283" s="24" t="s">
        <v>8</v>
      </c>
      <c r="H4283" s="24" t="s">
        <v>3356</v>
      </c>
      <c r="I4283" s="27">
        <v>35.74</v>
      </c>
    </row>
    <row r="4284" spans="2:9" ht="16">
      <c r="B4284" s="24" t="s">
        <v>36</v>
      </c>
      <c r="C4284" s="24" t="s">
        <v>6</v>
      </c>
      <c r="D4284" s="24" t="s">
        <v>2140</v>
      </c>
      <c r="E4284" s="24" t="s">
        <v>8</v>
      </c>
      <c r="F4284" s="24" t="s">
        <v>9</v>
      </c>
      <c r="G4284" s="24" t="s">
        <v>8</v>
      </c>
      <c r="H4284" s="24" t="s">
        <v>2988</v>
      </c>
      <c r="I4284" s="27">
        <v>351.03</v>
      </c>
    </row>
    <row r="4285" spans="2:9" ht="16">
      <c r="B4285" s="24" t="s">
        <v>36</v>
      </c>
      <c r="C4285" s="24" t="s">
        <v>6</v>
      </c>
      <c r="D4285" s="24" t="s">
        <v>2750</v>
      </c>
      <c r="E4285" s="24" t="s">
        <v>8</v>
      </c>
      <c r="F4285" s="24" t="s">
        <v>9</v>
      </c>
      <c r="G4285" s="24" t="s">
        <v>8</v>
      </c>
      <c r="H4285" s="24" t="s">
        <v>2988</v>
      </c>
      <c r="I4285" s="27">
        <v>48.45</v>
      </c>
    </row>
    <row r="4286" spans="2:9" ht="16">
      <c r="B4286" s="24" t="s">
        <v>36</v>
      </c>
      <c r="C4286" s="24" t="s">
        <v>6</v>
      </c>
      <c r="D4286" s="24" t="s">
        <v>2679</v>
      </c>
      <c r="E4286" s="24" t="s">
        <v>8</v>
      </c>
      <c r="F4286" s="24" t="s">
        <v>9</v>
      </c>
      <c r="G4286" s="24" t="s">
        <v>8</v>
      </c>
      <c r="H4286" s="24" t="s">
        <v>2988</v>
      </c>
      <c r="I4286" s="27">
        <v>54.06</v>
      </c>
    </row>
    <row r="4287" spans="2:9" ht="16">
      <c r="B4287" s="24" t="s">
        <v>36</v>
      </c>
      <c r="C4287" s="24" t="s">
        <v>6</v>
      </c>
      <c r="D4287" s="24" t="s">
        <v>3092</v>
      </c>
      <c r="E4287" s="24" t="s">
        <v>8</v>
      </c>
      <c r="F4287" s="24" t="s">
        <v>9</v>
      </c>
      <c r="G4287" s="24" t="s">
        <v>8</v>
      </c>
      <c r="H4287" s="24" t="s">
        <v>2988</v>
      </c>
      <c r="I4287" s="27">
        <v>15.21</v>
      </c>
    </row>
    <row r="4288" spans="2:9" ht="16">
      <c r="B4288" s="24" t="s">
        <v>2130</v>
      </c>
      <c r="C4288" s="24" t="s">
        <v>6</v>
      </c>
      <c r="D4288" s="24" t="s">
        <v>2135</v>
      </c>
      <c r="E4288" s="24" t="s">
        <v>8</v>
      </c>
      <c r="F4288" s="24" t="s">
        <v>9</v>
      </c>
      <c r="G4288" s="24" t="s">
        <v>8</v>
      </c>
      <c r="H4288" s="24" t="s">
        <v>2045</v>
      </c>
      <c r="I4288" s="27">
        <v>46.99</v>
      </c>
    </row>
    <row r="4289" spans="2:9" ht="16">
      <c r="B4289" s="24" t="s">
        <v>2130</v>
      </c>
      <c r="C4289" s="24" t="s">
        <v>6</v>
      </c>
      <c r="D4289" s="24" t="s">
        <v>2772</v>
      </c>
      <c r="E4289" s="24" t="s">
        <v>8</v>
      </c>
      <c r="F4289" s="24" t="s">
        <v>9</v>
      </c>
      <c r="G4289" s="24" t="s">
        <v>8</v>
      </c>
      <c r="H4289" s="24" t="s">
        <v>2045</v>
      </c>
      <c r="I4289" s="27">
        <v>97.17</v>
      </c>
    </row>
    <row r="4290" spans="2:9" ht="16">
      <c r="B4290" s="24" t="s">
        <v>2130</v>
      </c>
      <c r="C4290" s="24" t="s">
        <v>6</v>
      </c>
      <c r="D4290" s="24" t="s">
        <v>2772</v>
      </c>
      <c r="E4290" s="24" t="s">
        <v>8</v>
      </c>
      <c r="F4290" s="24" t="s">
        <v>9</v>
      </c>
      <c r="G4290" s="24" t="s">
        <v>8</v>
      </c>
      <c r="H4290" s="24" t="s">
        <v>2045</v>
      </c>
      <c r="I4290" s="27">
        <v>175.12</v>
      </c>
    </row>
    <row r="4291" spans="2:9" ht="16">
      <c r="B4291" s="24" t="s">
        <v>2130</v>
      </c>
      <c r="C4291" s="24" t="s">
        <v>6</v>
      </c>
      <c r="D4291" s="24" t="s">
        <v>3225</v>
      </c>
      <c r="E4291" s="24" t="s">
        <v>8</v>
      </c>
      <c r="F4291" s="24" t="s">
        <v>9</v>
      </c>
      <c r="G4291" s="24" t="s">
        <v>8</v>
      </c>
      <c r="H4291" s="24" t="s">
        <v>2045</v>
      </c>
      <c r="I4291" s="27">
        <v>11.49</v>
      </c>
    </row>
    <row r="4292" spans="2:9" ht="16">
      <c r="B4292" s="24" t="s">
        <v>2130</v>
      </c>
      <c r="C4292" s="24" t="s">
        <v>6</v>
      </c>
      <c r="D4292" s="24" t="s">
        <v>2772</v>
      </c>
      <c r="E4292" s="24" t="s">
        <v>8</v>
      </c>
      <c r="F4292" s="24" t="s">
        <v>9</v>
      </c>
      <c r="G4292" s="24" t="s">
        <v>8</v>
      </c>
      <c r="H4292" s="24" t="s">
        <v>2045</v>
      </c>
      <c r="I4292" s="27">
        <v>52.85</v>
      </c>
    </row>
    <row r="4293" spans="2:9" ht="16">
      <c r="B4293" s="24" t="s">
        <v>2130</v>
      </c>
      <c r="C4293" s="24" t="s">
        <v>6</v>
      </c>
      <c r="D4293" s="24" t="s">
        <v>3092</v>
      </c>
      <c r="E4293" s="24" t="s">
        <v>8</v>
      </c>
      <c r="F4293" s="24" t="s">
        <v>9</v>
      </c>
      <c r="G4293" s="24" t="s">
        <v>8</v>
      </c>
      <c r="H4293" s="24" t="s">
        <v>2045</v>
      </c>
      <c r="I4293" s="27">
        <v>564.14</v>
      </c>
    </row>
    <row r="4294" spans="2:9" ht="16">
      <c r="B4294" s="24" t="s">
        <v>2130</v>
      </c>
      <c r="C4294" s="24" t="s">
        <v>6</v>
      </c>
      <c r="D4294" s="24" t="s">
        <v>2672</v>
      </c>
      <c r="E4294" s="24" t="s">
        <v>8</v>
      </c>
      <c r="F4294" s="24" t="s">
        <v>9</v>
      </c>
      <c r="G4294" s="24" t="s">
        <v>8</v>
      </c>
      <c r="H4294" s="24" t="s">
        <v>3146</v>
      </c>
      <c r="I4294" s="27">
        <v>139.25</v>
      </c>
    </row>
    <row r="4295" spans="2:9" ht="16">
      <c r="B4295" s="24" t="s">
        <v>8</v>
      </c>
      <c r="C4295" s="24" t="s">
        <v>139</v>
      </c>
      <c r="D4295" s="24" t="s">
        <v>2772</v>
      </c>
      <c r="E4295" s="24" t="s">
        <v>8</v>
      </c>
      <c r="F4295" s="24" t="s">
        <v>9</v>
      </c>
      <c r="G4295" s="24" t="s">
        <v>8</v>
      </c>
      <c r="H4295" s="24" t="s">
        <v>3146</v>
      </c>
      <c r="I4295" s="27">
        <v>-46.07</v>
      </c>
    </row>
    <row r="4296" spans="2:9" ht="16">
      <c r="B4296" s="24" t="s">
        <v>2130</v>
      </c>
      <c r="C4296" s="24" t="s">
        <v>6</v>
      </c>
      <c r="D4296" s="24" t="s">
        <v>2630</v>
      </c>
      <c r="E4296" s="24" t="s">
        <v>8</v>
      </c>
      <c r="F4296" s="24" t="s">
        <v>9</v>
      </c>
      <c r="G4296" s="24" t="s">
        <v>8</v>
      </c>
      <c r="H4296" s="24" t="s">
        <v>3146</v>
      </c>
      <c r="I4296" s="27">
        <v>65.78</v>
      </c>
    </row>
    <row r="4297" spans="2:9" ht="16">
      <c r="B4297" s="24" t="s">
        <v>2130</v>
      </c>
      <c r="C4297" s="24" t="s">
        <v>6</v>
      </c>
      <c r="D4297" s="24" t="s">
        <v>2646</v>
      </c>
      <c r="E4297" s="24" t="s">
        <v>8</v>
      </c>
      <c r="F4297" s="24" t="s">
        <v>9</v>
      </c>
      <c r="G4297" s="24" t="s">
        <v>8</v>
      </c>
      <c r="H4297" s="24" t="s">
        <v>3146</v>
      </c>
      <c r="I4297" s="27">
        <v>143.24</v>
      </c>
    </row>
    <row r="4298" spans="2:9" ht="16">
      <c r="B4298" s="24" t="s">
        <v>2130</v>
      </c>
      <c r="C4298" s="24" t="s">
        <v>6</v>
      </c>
      <c r="D4298" s="24" t="s">
        <v>2140</v>
      </c>
      <c r="E4298" s="24" t="s">
        <v>8</v>
      </c>
      <c r="F4298" s="24" t="s">
        <v>9</v>
      </c>
      <c r="G4298" s="24" t="s">
        <v>8</v>
      </c>
      <c r="H4298" s="24" t="s">
        <v>3146</v>
      </c>
      <c r="I4298" s="27">
        <v>38.83</v>
      </c>
    </row>
    <row r="4299" spans="2:9" ht="16">
      <c r="B4299" s="24" t="s">
        <v>2130</v>
      </c>
      <c r="C4299" s="24" t="s">
        <v>6</v>
      </c>
      <c r="D4299" s="24" t="s">
        <v>2646</v>
      </c>
      <c r="E4299" s="24" t="s">
        <v>8</v>
      </c>
      <c r="F4299" s="24" t="s">
        <v>9</v>
      </c>
      <c r="G4299" s="24" t="s">
        <v>8</v>
      </c>
      <c r="H4299" s="24" t="s">
        <v>3146</v>
      </c>
      <c r="I4299" s="27">
        <v>248.41</v>
      </c>
    </row>
    <row r="4300" spans="2:9" ht="16">
      <c r="B4300" s="24" t="s">
        <v>2130</v>
      </c>
      <c r="C4300" s="24" t="s">
        <v>6</v>
      </c>
      <c r="D4300" s="24" t="s">
        <v>3357</v>
      </c>
      <c r="E4300" s="24" t="s">
        <v>8</v>
      </c>
      <c r="F4300" s="24" t="s">
        <v>9</v>
      </c>
      <c r="G4300" s="24" t="s">
        <v>8</v>
      </c>
      <c r="H4300" s="24" t="s">
        <v>3146</v>
      </c>
      <c r="I4300" s="27">
        <v>279.66</v>
      </c>
    </row>
    <row r="4301" spans="2:9" ht="16">
      <c r="B4301" s="24" t="s">
        <v>8</v>
      </c>
      <c r="C4301" s="24" t="s">
        <v>139</v>
      </c>
      <c r="D4301" s="24" t="s">
        <v>3358</v>
      </c>
      <c r="E4301" s="24" t="s">
        <v>8</v>
      </c>
      <c r="F4301" s="24" t="s">
        <v>9</v>
      </c>
      <c r="G4301" s="24" t="s">
        <v>8</v>
      </c>
      <c r="H4301" s="24" t="s">
        <v>3359</v>
      </c>
      <c r="I4301" s="27">
        <v>-236.16</v>
      </c>
    </row>
    <row r="4302" spans="2:9" ht="16">
      <c r="B4302" s="24" t="s">
        <v>2130</v>
      </c>
      <c r="C4302" s="24" t="s">
        <v>6</v>
      </c>
      <c r="D4302" s="24" t="s">
        <v>2135</v>
      </c>
      <c r="E4302" s="24" t="s">
        <v>8</v>
      </c>
      <c r="F4302" s="24" t="s">
        <v>9</v>
      </c>
      <c r="G4302" s="24" t="s">
        <v>8</v>
      </c>
      <c r="H4302" s="24" t="s">
        <v>3360</v>
      </c>
      <c r="I4302" s="27">
        <v>161.63</v>
      </c>
    </row>
    <row r="4303" spans="2:9" ht="16">
      <c r="B4303" s="24" t="s">
        <v>119</v>
      </c>
      <c r="C4303" s="24" t="s">
        <v>139</v>
      </c>
      <c r="D4303" s="24" t="s">
        <v>3361</v>
      </c>
      <c r="E4303" s="24" t="s">
        <v>8</v>
      </c>
      <c r="F4303" s="24" t="s">
        <v>9</v>
      </c>
      <c r="G4303" s="24" t="s">
        <v>8</v>
      </c>
      <c r="H4303" s="24" t="s">
        <v>3362</v>
      </c>
      <c r="I4303" s="27">
        <v>-248.41</v>
      </c>
    </row>
    <row r="4304" spans="2:9" ht="16">
      <c r="B4304" s="24" t="s">
        <v>2130</v>
      </c>
      <c r="C4304" s="24" t="s">
        <v>6</v>
      </c>
      <c r="D4304" s="24" t="s">
        <v>3079</v>
      </c>
      <c r="E4304" s="24" t="s">
        <v>8</v>
      </c>
      <c r="F4304" s="24" t="s">
        <v>9</v>
      </c>
      <c r="G4304" s="24" t="s">
        <v>8</v>
      </c>
      <c r="H4304" s="24" t="s">
        <v>3363</v>
      </c>
      <c r="I4304" s="27">
        <v>57.06</v>
      </c>
    </row>
    <row r="4305" spans="2:9" ht="16">
      <c r="B4305" s="24" t="s">
        <v>2130</v>
      </c>
      <c r="C4305" s="24" t="s">
        <v>6</v>
      </c>
      <c r="D4305" s="24" t="s">
        <v>3061</v>
      </c>
      <c r="E4305" s="24" t="s">
        <v>8</v>
      </c>
      <c r="F4305" s="24" t="s">
        <v>9</v>
      </c>
      <c r="G4305" s="24" t="s">
        <v>8</v>
      </c>
      <c r="H4305" s="24" t="s">
        <v>3363</v>
      </c>
      <c r="I4305" s="27">
        <v>484.99</v>
      </c>
    </row>
    <row r="4306" spans="2:9" ht="16">
      <c r="B4306" s="24" t="s">
        <v>2130</v>
      </c>
      <c r="C4306" s="24" t="s">
        <v>6</v>
      </c>
      <c r="D4306" s="24" t="s">
        <v>3352</v>
      </c>
      <c r="E4306" s="24" t="s">
        <v>8</v>
      </c>
      <c r="F4306" s="24" t="s">
        <v>9</v>
      </c>
      <c r="G4306" s="24" t="s">
        <v>8</v>
      </c>
      <c r="H4306" s="24" t="s">
        <v>524</v>
      </c>
      <c r="I4306" s="27">
        <v>57.98</v>
      </c>
    </row>
    <row r="4307" spans="2:9" ht="16">
      <c r="B4307" s="24" t="s">
        <v>2130</v>
      </c>
      <c r="C4307" s="24" t="s">
        <v>6</v>
      </c>
      <c r="D4307" s="24" t="s">
        <v>3364</v>
      </c>
      <c r="E4307" s="24" t="s">
        <v>8</v>
      </c>
      <c r="F4307" s="24" t="s">
        <v>9</v>
      </c>
      <c r="G4307" s="24" t="s">
        <v>8</v>
      </c>
      <c r="H4307" s="24" t="s">
        <v>3365</v>
      </c>
      <c r="I4307" s="27">
        <v>24.61</v>
      </c>
    </row>
    <row r="4308" spans="1:9" ht="16">
      <c r="A4308" s="35" t="s">
        <v>267</v>
      </c>
      <c r="I4308" s="28">
        <f>I4279+I4280+I4281+I4282+I4283+I4284+I4285+I4286+I4287+I4288+I4289+I4290+I4291+I4292+I4293+I4294+I4295+I4296+I4297+I4298+I4299+I4300+I4301+I4302+I4303+I4304+I4305+I4306+I4307</f>
        <v>2829.37</v>
      </c>
    </row>
    <row r="4309" spans="1:1" ht="16">
      <c r="A4309" s="34" t="s">
        <v>3345</v>
      </c>
    </row>
    <row r="4310" spans="2:9" ht="16">
      <c r="B4310" s="24" t="s">
        <v>2130</v>
      </c>
      <c r="C4310" s="24" t="s">
        <v>6</v>
      </c>
      <c r="D4310" s="24" t="s">
        <v>2590</v>
      </c>
      <c r="E4310" s="24" t="s">
        <v>8</v>
      </c>
      <c r="F4310" s="24" t="s">
        <v>9</v>
      </c>
      <c r="G4310" s="24" t="s">
        <v>8</v>
      </c>
      <c r="H4310" s="24" t="s">
        <v>1001</v>
      </c>
      <c r="I4310" s="27">
        <v>245.44</v>
      </c>
    </row>
    <row r="4311" spans="2:9" ht="16">
      <c r="B4311" s="24" t="s">
        <v>2130</v>
      </c>
      <c r="C4311" s="24" t="s">
        <v>6</v>
      </c>
      <c r="D4311" s="24" t="s">
        <v>2135</v>
      </c>
      <c r="E4311" s="24" t="s">
        <v>8</v>
      </c>
      <c r="F4311" s="24" t="s">
        <v>9</v>
      </c>
      <c r="G4311" s="24" t="s">
        <v>8</v>
      </c>
      <c r="H4311" s="24" t="s">
        <v>3366</v>
      </c>
      <c r="I4311" s="27">
        <v>237.83</v>
      </c>
    </row>
    <row r="4312" spans="2:9" ht="16">
      <c r="B4312" s="24" t="s">
        <v>36</v>
      </c>
      <c r="C4312" s="24" t="s">
        <v>6</v>
      </c>
      <c r="D4312" s="24" t="s">
        <v>2646</v>
      </c>
      <c r="E4312" s="24" t="s">
        <v>8</v>
      </c>
      <c r="F4312" s="24" t="s">
        <v>9</v>
      </c>
      <c r="G4312" s="24" t="s">
        <v>8</v>
      </c>
      <c r="H4312" s="24" t="s">
        <v>2988</v>
      </c>
      <c r="I4312" s="27">
        <v>186.61</v>
      </c>
    </row>
    <row r="4313" spans="2:9" ht="16">
      <c r="B4313" s="24" t="s">
        <v>36</v>
      </c>
      <c r="C4313" s="24" t="s">
        <v>6</v>
      </c>
      <c r="D4313" s="24" t="s">
        <v>2646</v>
      </c>
      <c r="E4313" s="24" t="s">
        <v>8</v>
      </c>
      <c r="F4313" s="24" t="s">
        <v>9</v>
      </c>
      <c r="G4313" s="24" t="s">
        <v>8</v>
      </c>
      <c r="H4313" s="24" t="s">
        <v>2988</v>
      </c>
      <c r="I4313" s="27">
        <v>29.64</v>
      </c>
    </row>
    <row r="4314" spans="2:9" ht="16">
      <c r="B4314" s="24" t="s">
        <v>36</v>
      </c>
      <c r="C4314" s="24" t="s">
        <v>6</v>
      </c>
      <c r="D4314" s="24" t="s">
        <v>2646</v>
      </c>
      <c r="E4314" s="24" t="s">
        <v>8</v>
      </c>
      <c r="F4314" s="24" t="s">
        <v>9</v>
      </c>
      <c r="G4314" s="24" t="s">
        <v>8</v>
      </c>
      <c r="H4314" s="24" t="s">
        <v>2988</v>
      </c>
      <c r="I4314" s="27">
        <v>11.7</v>
      </c>
    </row>
    <row r="4315" spans="2:9" ht="16">
      <c r="B4315" s="24" t="s">
        <v>36</v>
      </c>
      <c r="C4315" s="24" t="s">
        <v>6</v>
      </c>
      <c r="D4315" s="24" t="s">
        <v>3367</v>
      </c>
      <c r="E4315" s="24" t="s">
        <v>8</v>
      </c>
      <c r="F4315" s="24" t="s">
        <v>9</v>
      </c>
      <c r="G4315" s="24" t="s">
        <v>8</v>
      </c>
      <c r="H4315" s="24" t="s">
        <v>2988</v>
      </c>
      <c r="I4315" s="27">
        <v>19.0</v>
      </c>
    </row>
    <row r="4316" spans="2:9" ht="16">
      <c r="B4316" s="24" t="s">
        <v>2130</v>
      </c>
      <c r="C4316" s="24" t="s">
        <v>6</v>
      </c>
      <c r="D4316" s="24" t="s">
        <v>2750</v>
      </c>
      <c r="E4316" s="24" t="s">
        <v>8</v>
      </c>
      <c r="F4316" s="24" t="s">
        <v>9</v>
      </c>
      <c r="G4316" s="24" t="s">
        <v>8</v>
      </c>
      <c r="H4316" s="24" t="s">
        <v>2045</v>
      </c>
      <c r="I4316" s="27">
        <v>372.41</v>
      </c>
    </row>
    <row r="4317" spans="2:9" ht="16">
      <c r="B4317" s="24" t="s">
        <v>2130</v>
      </c>
      <c r="C4317" s="24" t="s">
        <v>6</v>
      </c>
      <c r="D4317" s="24" t="s">
        <v>3225</v>
      </c>
      <c r="E4317" s="24" t="s">
        <v>8</v>
      </c>
      <c r="F4317" s="24" t="s">
        <v>9</v>
      </c>
      <c r="G4317" s="24" t="s">
        <v>8</v>
      </c>
      <c r="H4317" s="24" t="s">
        <v>2045</v>
      </c>
      <c r="I4317" s="27">
        <v>37.53</v>
      </c>
    </row>
    <row r="4318" spans="2:9" ht="16">
      <c r="B4318" s="24" t="s">
        <v>2130</v>
      </c>
      <c r="C4318" s="24" t="s">
        <v>6</v>
      </c>
      <c r="D4318" s="24" t="s">
        <v>2470</v>
      </c>
      <c r="E4318" s="24" t="s">
        <v>8</v>
      </c>
      <c r="F4318" s="24" t="s">
        <v>9</v>
      </c>
      <c r="G4318" s="24" t="s">
        <v>8</v>
      </c>
      <c r="H4318" s="24" t="s">
        <v>3368</v>
      </c>
      <c r="I4318" s="27">
        <v>226.27</v>
      </c>
    </row>
    <row r="4319" spans="1:9" ht="16">
      <c r="A4319" s="35" t="s">
        <v>433</v>
      </c>
      <c r="I4319" s="28">
        <f>I4309+I4310+I4311+I4312+I4313+I4314+I4315+I4316+I4317+I4318</f>
        <v>1366.43</v>
      </c>
    </row>
    <row r="4320" spans="1:1" ht="16">
      <c r="A4320" s="34" t="s">
        <v>3345</v>
      </c>
    </row>
    <row r="4321" spans="2:9" ht="16">
      <c r="B4321" s="24" t="s">
        <v>961</v>
      </c>
      <c r="C4321" s="24" t="s">
        <v>6</v>
      </c>
      <c r="D4321" s="24" t="s">
        <v>2795</v>
      </c>
      <c r="E4321" s="24" t="s">
        <v>8</v>
      </c>
      <c r="F4321" s="24" t="s">
        <v>9</v>
      </c>
      <c r="G4321" s="24" t="s">
        <v>8</v>
      </c>
      <c r="H4321" s="24" t="s">
        <v>3369</v>
      </c>
      <c r="I4321" s="27">
        <v>1556.38</v>
      </c>
    </row>
    <row r="4322" spans="2:9" ht="16">
      <c r="B4322" s="24" t="s">
        <v>961</v>
      </c>
      <c r="C4322" s="24" t="s">
        <v>6</v>
      </c>
      <c r="D4322" s="24" t="s">
        <v>2104</v>
      </c>
      <c r="E4322" s="24" t="s">
        <v>8</v>
      </c>
      <c r="F4322" s="24" t="s">
        <v>9</v>
      </c>
      <c r="G4322" s="24" t="s">
        <v>8</v>
      </c>
      <c r="H4322" s="24" t="s">
        <v>3370</v>
      </c>
      <c r="I4322" s="27">
        <v>1474.56</v>
      </c>
    </row>
    <row r="4323" spans="1:9" ht="16">
      <c r="A4323" s="35" t="s">
        <v>67</v>
      </c>
      <c r="I4323" s="28">
        <f>I4320+I4321+I4322</f>
        <v>3030.94</v>
      </c>
    </row>
    <row r="4324" spans="1:9" ht="16">
      <c r="A4324" s="36" t="s">
        <v>3371</v>
      </c>
      <c r="I4324" s="28">
        <f>I4267+I4271+I4278+I4308+I4319+I4323</f>
        <v>10184.49</v>
      </c>
    </row>
    <row r="4325" spans="1:1" ht="16">
      <c r="A4325" s="33" t="s">
        <v>579</v>
      </c>
    </row>
    <row r="4326" spans="1:1" ht="16">
      <c r="A4326" s="34" t="s">
        <v>3372</v>
      </c>
    </row>
    <row r="4327" spans="2:9" ht="16">
      <c r="B4327" s="24" t="s">
        <v>581</v>
      </c>
      <c r="C4327" s="24" t="s">
        <v>6</v>
      </c>
      <c r="D4327" s="24" t="s">
        <v>259</v>
      </c>
      <c r="E4327" s="24" t="s">
        <v>8</v>
      </c>
      <c r="F4327" s="24" t="s">
        <v>42</v>
      </c>
      <c r="G4327" s="24" t="s">
        <v>8</v>
      </c>
      <c r="H4327" s="24" t="s">
        <v>3373</v>
      </c>
      <c r="I4327" s="27">
        <v>167.52</v>
      </c>
    </row>
    <row r="4328" spans="2:9" ht="16">
      <c r="B4328" s="24" t="s">
        <v>581</v>
      </c>
      <c r="C4328" s="24" t="s">
        <v>6</v>
      </c>
      <c r="D4328" s="24" t="s">
        <v>142</v>
      </c>
      <c r="E4328" s="24" t="s">
        <v>8</v>
      </c>
      <c r="F4328" s="24" t="s">
        <v>42</v>
      </c>
      <c r="G4328" s="24" t="s">
        <v>8</v>
      </c>
      <c r="H4328" s="24" t="s">
        <v>3374</v>
      </c>
      <c r="I4328" s="27">
        <v>467.52</v>
      </c>
    </row>
    <row r="4329" spans="2:9" ht="16">
      <c r="B4329" s="24" t="s">
        <v>3375</v>
      </c>
      <c r="C4329" s="24" t="s">
        <v>6</v>
      </c>
      <c r="D4329" s="24" t="s">
        <v>357</v>
      </c>
      <c r="E4329" s="24" t="s">
        <v>8</v>
      </c>
      <c r="F4329" s="24" t="s">
        <v>42</v>
      </c>
      <c r="G4329" s="24" t="s">
        <v>8</v>
      </c>
      <c r="H4329" s="24" t="s">
        <v>3376</v>
      </c>
      <c r="I4329" s="27">
        <v>164.39</v>
      </c>
    </row>
    <row r="4330" spans="2:9" ht="16">
      <c r="B4330" s="24" t="s">
        <v>3377</v>
      </c>
      <c r="C4330" s="24" t="s">
        <v>6</v>
      </c>
      <c r="D4330" s="24" t="s">
        <v>83</v>
      </c>
      <c r="E4330" s="24" t="s">
        <v>8</v>
      </c>
      <c r="F4330" s="24" t="s">
        <v>42</v>
      </c>
      <c r="G4330" s="24" t="s">
        <v>8</v>
      </c>
      <c r="H4330" s="24" t="s">
        <v>3378</v>
      </c>
      <c r="I4330" s="27">
        <v>113.14</v>
      </c>
    </row>
    <row r="4331" spans="2:9" ht="16">
      <c r="B4331" s="24" t="s">
        <v>3379</v>
      </c>
      <c r="C4331" s="24" t="s">
        <v>6</v>
      </c>
      <c r="D4331" s="24" t="s">
        <v>259</v>
      </c>
      <c r="E4331" s="24" t="s">
        <v>8</v>
      </c>
      <c r="F4331" s="24" t="s">
        <v>42</v>
      </c>
      <c r="G4331" s="24" t="s">
        <v>8</v>
      </c>
      <c r="H4331" s="24" t="s">
        <v>3380</v>
      </c>
      <c r="I4331" s="27">
        <v>153.6</v>
      </c>
    </row>
    <row r="4332" spans="2:9" ht="16">
      <c r="B4332" s="24" t="s">
        <v>3381</v>
      </c>
      <c r="C4332" s="24" t="s">
        <v>6</v>
      </c>
      <c r="D4332" s="24" t="s">
        <v>3382</v>
      </c>
      <c r="E4332" s="24" t="s">
        <v>8</v>
      </c>
      <c r="F4332" s="24" t="s">
        <v>42</v>
      </c>
      <c r="G4332" s="24" t="s">
        <v>8</v>
      </c>
      <c r="H4332" s="24" t="s">
        <v>3383</v>
      </c>
      <c r="I4332" s="27">
        <v>177.15</v>
      </c>
    </row>
    <row r="4333" spans="1:9" ht="16">
      <c r="A4333" s="35" t="s">
        <v>583</v>
      </c>
      <c r="I4333" s="28">
        <f>I4326+I4327+I4328+I4329+I4330+I4331+I4332</f>
        <v>1243.32</v>
      </c>
    </row>
    <row r="4334" spans="1:1" ht="16">
      <c r="A4334" s="34" t="s">
        <v>3372</v>
      </c>
    </row>
    <row r="4335" spans="2:9" ht="16">
      <c r="B4335" s="24" t="s">
        <v>3384</v>
      </c>
      <c r="C4335" s="24" t="s">
        <v>6</v>
      </c>
      <c r="D4335" s="24" t="s">
        <v>706</v>
      </c>
      <c r="E4335" s="24" t="s">
        <v>8</v>
      </c>
      <c r="F4335" s="24" t="s">
        <v>42</v>
      </c>
      <c r="G4335" s="24" t="s">
        <v>8</v>
      </c>
      <c r="H4335" s="24" t="s">
        <v>3385</v>
      </c>
      <c r="I4335" s="27">
        <v>164.98</v>
      </c>
    </row>
    <row r="4336" spans="2:9" ht="16">
      <c r="B4336" s="24" t="s">
        <v>3384</v>
      </c>
      <c r="C4336" s="24" t="s">
        <v>6</v>
      </c>
      <c r="D4336" s="24" t="s">
        <v>688</v>
      </c>
      <c r="E4336" s="24" t="s">
        <v>8</v>
      </c>
      <c r="F4336" s="24" t="s">
        <v>42</v>
      </c>
      <c r="G4336" s="24" t="s">
        <v>8</v>
      </c>
      <c r="H4336" s="24" t="s">
        <v>3386</v>
      </c>
      <c r="I4336" s="27">
        <v>164.98</v>
      </c>
    </row>
    <row r="4337" spans="2:9" ht="16">
      <c r="B4337" s="24" t="s">
        <v>3384</v>
      </c>
      <c r="C4337" s="24" t="s">
        <v>6</v>
      </c>
      <c r="D4337" s="24" t="s">
        <v>87</v>
      </c>
      <c r="E4337" s="24" t="s">
        <v>8</v>
      </c>
      <c r="F4337" s="24" t="s">
        <v>42</v>
      </c>
      <c r="G4337" s="24" t="s">
        <v>8</v>
      </c>
      <c r="H4337" s="24" t="s">
        <v>3387</v>
      </c>
      <c r="I4337" s="27">
        <v>88.46</v>
      </c>
    </row>
    <row r="4338" spans="2:9" ht="16">
      <c r="B4338" s="24" t="s">
        <v>3384</v>
      </c>
      <c r="C4338" s="24" t="s">
        <v>6</v>
      </c>
      <c r="D4338" s="24" t="s">
        <v>87</v>
      </c>
      <c r="E4338" s="24" t="s">
        <v>8</v>
      </c>
      <c r="F4338" s="24" t="s">
        <v>42</v>
      </c>
      <c r="G4338" s="24" t="s">
        <v>8</v>
      </c>
      <c r="H4338" s="24" t="s">
        <v>3388</v>
      </c>
      <c r="I4338" s="27">
        <v>261.93</v>
      </c>
    </row>
    <row r="4339" spans="2:9" ht="16">
      <c r="B4339" s="24" t="s">
        <v>3384</v>
      </c>
      <c r="C4339" s="24" t="s">
        <v>6</v>
      </c>
      <c r="D4339" s="24" t="s">
        <v>3389</v>
      </c>
      <c r="E4339" s="24" t="s">
        <v>8</v>
      </c>
      <c r="F4339" s="24" t="s">
        <v>42</v>
      </c>
      <c r="G4339" s="24" t="s">
        <v>8</v>
      </c>
      <c r="H4339" s="24" t="s">
        <v>3390</v>
      </c>
      <c r="I4339" s="27">
        <v>138.01</v>
      </c>
    </row>
    <row r="4340" spans="1:9" ht="16">
      <c r="A4340" s="35" t="s">
        <v>3391</v>
      </c>
      <c r="I4340" s="28">
        <f>I4334+I4335+I4336+I4337+I4338+I4339</f>
        <v>818.3599999999999</v>
      </c>
    </row>
    <row r="4341" spans="1:1" ht="16">
      <c r="A4341" s="34" t="s">
        <v>3372</v>
      </c>
    </row>
    <row r="4342" spans="2:9" ht="16">
      <c r="B4342" s="24" t="s">
        <v>3392</v>
      </c>
      <c r="C4342" s="24" t="s">
        <v>6</v>
      </c>
      <c r="D4342" s="24" t="s">
        <v>115</v>
      </c>
      <c r="E4342" s="24" t="s">
        <v>8</v>
      </c>
      <c r="F4342" s="24" t="s">
        <v>42</v>
      </c>
      <c r="G4342" s="24" t="s">
        <v>8</v>
      </c>
      <c r="H4342" s="24" t="s">
        <v>3393</v>
      </c>
      <c r="I4342" s="27">
        <v>1057.03</v>
      </c>
    </row>
    <row r="4343" spans="1:9" ht="16">
      <c r="A4343" s="35" t="s">
        <v>956</v>
      </c>
      <c r="I4343" s="28">
        <f>I4341+I4342</f>
        <v>1057.03</v>
      </c>
    </row>
    <row r="4344" spans="1:1" ht="16">
      <c r="A4344" s="34" t="s">
        <v>3372</v>
      </c>
    </row>
    <row r="4345" spans="2:9" ht="16">
      <c r="B4345" s="24" t="s">
        <v>3394</v>
      </c>
      <c r="C4345" s="24" t="s">
        <v>150</v>
      </c>
      <c r="D4345" s="24" t="s">
        <v>924</v>
      </c>
      <c r="E4345" s="24" t="s">
        <v>3395</v>
      </c>
      <c r="F4345" s="24" t="s">
        <v>42</v>
      </c>
      <c r="G4345" s="24" t="s">
        <v>8</v>
      </c>
      <c r="H4345" s="24" t="s">
        <v>3396</v>
      </c>
      <c r="I4345" s="27">
        <v>2500.0</v>
      </c>
    </row>
    <row r="4346" spans="1:9" ht="16">
      <c r="A4346" s="35" t="s">
        <v>3397</v>
      </c>
      <c r="I4346" s="28">
        <f>I4344+I4345</f>
        <v>2500.0</v>
      </c>
    </row>
    <row r="4347" spans="1:1" ht="16">
      <c r="A4347" s="34" t="s">
        <v>3372</v>
      </c>
    </row>
    <row r="4348" spans="2:9" ht="16">
      <c r="B4348" s="24" t="s">
        <v>3398</v>
      </c>
      <c r="C4348" s="24" t="s">
        <v>6</v>
      </c>
      <c r="D4348" s="24" t="s">
        <v>18</v>
      </c>
      <c r="E4348" s="24" t="s">
        <v>8</v>
      </c>
      <c r="F4348" s="24" t="s">
        <v>42</v>
      </c>
      <c r="G4348" s="24" t="s">
        <v>8</v>
      </c>
      <c r="H4348" s="24" t="s">
        <v>3399</v>
      </c>
      <c r="I4348" s="27">
        <v>107.35</v>
      </c>
    </row>
    <row r="4349" spans="2:9" ht="16">
      <c r="B4349" s="24" t="s">
        <v>3400</v>
      </c>
      <c r="C4349" s="24" t="s">
        <v>6</v>
      </c>
      <c r="D4349" s="24" t="s">
        <v>533</v>
      </c>
      <c r="E4349" s="24" t="s">
        <v>8</v>
      </c>
      <c r="F4349" s="24" t="s">
        <v>42</v>
      </c>
      <c r="G4349" s="24" t="s">
        <v>8</v>
      </c>
      <c r="H4349" s="24" t="s">
        <v>3401</v>
      </c>
      <c r="I4349" s="27">
        <v>115.0</v>
      </c>
    </row>
    <row r="4350" spans="2:9" ht="16">
      <c r="B4350" s="24" t="s">
        <v>3402</v>
      </c>
      <c r="C4350" s="24" t="s">
        <v>6</v>
      </c>
      <c r="D4350" s="24" t="s">
        <v>142</v>
      </c>
      <c r="E4350" s="24" t="s">
        <v>8</v>
      </c>
      <c r="F4350" s="24" t="s">
        <v>42</v>
      </c>
      <c r="G4350" s="24" t="s">
        <v>8</v>
      </c>
      <c r="H4350" s="24" t="s">
        <v>3403</v>
      </c>
      <c r="I4350" s="27">
        <v>297.0</v>
      </c>
    </row>
    <row r="4351" spans="2:9" ht="16">
      <c r="B4351" s="24" t="s">
        <v>3404</v>
      </c>
      <c r="C4351" s="24" t="s">
        <v>6</v>
      </c>
      <c r="D4351" s="24" t="s">
        <v>18</v>
      </c>
      <c r="E4351" s="24" t="s">
        <v>8</v>
      </c>
      <c r="F4351" s="24" t="s">
        <v>42</v>
      </c>
      <c r="G4351" s="24" t="s">
        <v>8</v>
      </c>
      <c r="H4351" s="24" t="s">
        <v>3405</v>
      </c>
      <c r="I4351" s="27">
        <v>125.0</v>
      </c>
    </row>
    <row r="4352" spans="1:9" ht="16">
      <c r="A4352" s="35" t="s">
        <v>3406</v>
      </c>
      <c r="I4352" s="28">
        <f>I4347+I4348+I4349+I4350+I4351</f>
        <v>644.35</v>
      </c>
    </row>
    <row r="4353" spans="1:1" ht="16">
      <c r="A4353" s="34" t="s">
        <v>3372</v>
      </c>
    </row>
    <row r="4354" spans="2:9" ht="16">
      <c r="B4354" s="24" t="s">
        <v>585</v>
      </c>
      <c r="C4354" s="24" t="s">
        <v>6</v>
      </c>
      <c r="D4354" s="24" t="s">
        <v>597</v>
      </c>
      <c r="E4354" s="24" t="s">
        <v>8</v>
      </c>
      <c r="F4354" s="24" t="s">
        <v>42</v>
      </c>
      <c r="G4354" s="24" t="s">
        <v>8</v>
      </c>
      <c r="H4354" s="24" t="s">
        <v>3407</v>
      </c>
      <c r="I4354" s="27">
        <v>195.96</v>
      </c>
    </row>
    <row r="4355" spans="2:9" ht="16">
      <c r="B4355" s="24" t="s">
        <v>585</v>
      </c>
      <c r="C4355" s="24" t="s">
        <v>6</v>
      </c>
      <c r="D4355" s="24" t="s">
        <v>3408</v>
      </c>
      <c r="E4355" s="24" t="s">
        <v>8</v>
      </c>
      <c r="F4355" s="24" t="s">
        <v>42</v>
      </c>
      <c r="G4355" s="24" t="s">
        <v>8</v>
      </c>
      <c r="H4355" s="24" t="s">
        <v>3407</v>
      </c>
      <c r="I4355" s="27">
        <v>53.74</v>
      </c>
    </row>
    <row r="4356" spans="1:9" ht="16">
      <c r="A4356" s="35" t="s">
        <v>588</v>
      </c>
      <c r="I4356" s="28">
        <f>I4353+I4354+I4355</f>
        <v>249.70000000000002</v>
      </c>
    </row>
    <row r="4357" spans="1:1" ht="16">
      <c r="A4357" s="34" t="s">
        <v>3372</v>
      </c>
    </row>
    <row r="4358" spans="2:9" ht="16">
      <c r="B4358" s="24" t="s">
        <v>250</v>
      </c>
      <c r="C4358" s="24" t="s">
        <v>6</v>
      </c>
      <c r="D4358" s="24" t="s">
        <v>95</v>
      </c>
      <c r="E4358" s="24" t="s">
        <v>8</v>
      </c>
      <c r="F4358" s="24" t="s">
        <v>42</v>
      </c>
      <c r="G4358" s="24" t="s">
        <v>8</v>
      </c>
      <c r="H4358" s="24" t="s">
        <v>3409</v>
      </c>
      <c r="I4358" s="27">
        <v>60.0</v>
      </c>
    </row>
    <row r="4359" spans="2:9" ht="16">
      <c r="B4359" s="24" t="s">
        <v>250</v>
      </c>
      <c r="C4359" s="24" t="s">
        <v>6</v>
      </c>
      <c r="D4359" s="24" t="s">
        <v>709</v>
      </c>
      <c r="E4359" s="24" t="s">
        <v>8</v>
      </c>
      <c r="F4359" s="24" t="s">
        <v>42</v>
      </c>
      <c r="G4359" s="24" t="s">
        <v>8</v>
      </c>
      <c r="H4359" s="24" t="s">
        <v>3410</v>
      </c>
      <c r="I4359" s="27">
        <v>50.64</v>
      </c>
    </row>
    <row r="4360" spans="2:9" ht="16">
      <c r="B4360" s="24" t="s">
        <v>250</v>
      </c>
      <c r="C4360" s="24" t="s">
        <v>6</v>
      </c>
      <c r="D4360" s="24" t="s">
        <v>3411</v>
      </c>
      <c r="E4360" s="24" t="s">
        <v>8</v>
      </c>
      <c r="F4360" s="24" t="s">
        <v>42</v>
      </c>
      <c r="G4360" s="24" t="s">
        <v>8</v>
      </c>
      <c r="H4360" s="24" t="s">
        <v>794</v>
      </c>
      <c r="I4360" s="27">
        <v>65.56</v>
      </c>
    </row>
    <row r="4361" spans="1:9" ht="16">
      <c r="A4361" s="35" t="s">
        <v>797</v>
      </c>
      <c r="I4361" s="28">
        <f>I4357+I4358+I4359+I4360</f>
        <v>176.2</v>
      </c>
    </row>
    <row r="4362" spans="1:1" ht="16">
      <c r="A4362" s="34" t="s">
        <v>3372</v>
      </c>
    </row>
    <row r="4363" spans="2:9" ht="16">
      <c r="B4363" s="24" t="s">
        <v>3412</v>
      </c>
      <c r="C4363" s="24" t="s">
        <v>13</v>
      </c>
      <c r="D4363" s="24" t="s">
        <v>48</v>
      </c>
      <c r="E4363" s="24" t="s">
        <v>3413</v>
      </c>
      <c r="F4363" s="24" t="s">
        <v>42</v>
      </c>
      <c r="G4363" s="24" t="s">
        <v>8</v>
      </c>
      <c r="H4363" s="24" t="s">
        <v>3414</v>
      </c>
      <c r="I4363" s="27">
        <v>1699.5</v>
      </c>
    </row>
    <row r="4364" spans="1:9" ht="16">
      <c r="A4364" s="35" t="s">
        <v>3415</v>
      </c>
      <c r="I4364" s="28">
        <f>I4362+I4363</f>
        <v>1699.5</v>
      </c>
    </row>
    <row r="4365" spans="1:1" ht="16">
      <c r="A4365" s="34" t="s">
        <v>3372</v>
      </c>
    </row>
    <row r="4366" spans="2:9" ht="16">
      <c r="B4366" s="24" t="s">
        <v>3416</v>
      </c>
      <c r="C4366" s="24" t="s">
        <v>6</v>
      </c>
      <c r="D4366" s="24" t="s">
        <v>215</v>
      </c>
      <c r="E4366" s="24" t="s">
        <v>8</v>
      </c>
      <c r="F4366" s="24" t="s">
        <v>42</v>
      </c>
      <c r="G4366" s="24" t="s">
        <v>8</v>
      </c>
      <c r="H4366" s="24" t="s">
        <v>3417</v>
      </c>
      <c r="I4366" s="27">
        <v>36.28</v>
      </c>
    </row>
    <row r="4367" spans="1:9" ht="16">
      <c r="A4367" s="35" t="s">
        <v>922</v>
      </c>
      <c r="I4367" s="28">
        <f>I4365+I4366</f>
        <v>36.28</v>
      </c>
    </row>
    <row r="4368" spans="1:1" ht="16">
      <c r="A4368" s="34" t="s">
        <v>3372</v>
      </c>
    </row>
    <row r="4369" spans="2:9" ht="16">
      <c r="B4369" s="24" t="s">
        <v>3418</v>
      </c>
      <c r="C4369" s="24" t="s">
        <v>6</v>
      </c>
      <c r="D4369" s="24" t="s">
        <v>251</v>
      </c>
      <c r="E4369" s="24" t="s">
        <v>8</v>
      </c>
      <c r="F4369" s="24" t="s">
        <v>42</v>
      </c>
      <c r="G4369" s="24" t="s">
        <v>8</v>
      </c>
      <c r="H4369" s="24" t="s">
        <v>3419</v>
      </c>
      <c r="I4369" s="27">
        <v>62.07</v>
      </c>
    </row>
    <row r="4370" spans="2:9" ht="16">
      <c r="B4370" s="24" t="s">
        <v>3420</v>
      </c>
      <c r="C4370" s="24" t="s">
        <v>6</v>
      </c>
      <c r="D4370" s="24" t="s">
        <v>52</v>
      </c>
      <c r="E4370" s="24" t="s">
        <v>8</v>
      </c>
      <c r="F4370" s="24" t="s">
        <v>42</v>
      </c>
      <c r="G4370" s="24" t="s">
        <v>8</v>
      </c>
      <c r="H4370" s="24" t="s">
        <v>3421</v>
      </c>
      <c r="I4370" s="27">
        <v>41.5</v>
      </c>
    </row>
    <row r="4371" spans="2:9" ht="16">
      <c r="B4371" s="24" t="s">
        <v>3422</v>
      </c>
      <c r="C4371" s="24" t="s">
        <v>6</v>
      </c>
      <c r="D4371" s="24" t="s">
        <v>3423</v>
      </c>
      <c r="E4371" s="24" t="s">
        <v>8</v>
      </c>
      <c r="F4371" s="24" t="s">
        <v>42</v>
      </c>
      <c r="G4371" s="24" t="s">
        <v>8</v>
      </c>
      <c r="H4371" s="24" t="s">
        <v>3424</v>
      </c>
      <c r="I4371" s="27">
        <v>134.54</v>
      </c>
    </row>
    <row r="4372" spans="2:9" ht="16">
      <c r="B4372" s="24" t="s">
        <v>3425</v>
      </c>
      <c r="C4372" s="24" t="s">
        <v>6</v>
      </c>
      <c r="D4372" s="24" t="s">
        <v>3426</v>
      </c>
      <c r="E4372" s="24" t="s">
        <v>8</v>
      </c>
      <c r="F4372" s="24" t="s">
        <v>42</v>
      </c>
      <c r="G4372" s="24" t="s">
        <v>8</v>
      </c>
      <c r="H4372" s="24" t="s">
        <v>3427</v>
      </c>
      <c r="I4372" s="27">
        <v>32.19</v>
      </c>
    </row>
    <row r="4373" spans="2:9" ht="16">
      <c r="B4373" s="24" t="s">
        <v>3416</v>
      </c>
      <c r="C4373" s="24" t="s">
        <v>6</v>
      </c>
      <c r="D4373" s="24" t="s">
        <v>197</v>
      </c>
      <c r="E4373" s="24" t="s">
        <v>8</v>
      </c>
      <c r="F4373" s="24" t="s">
        <v>42</v>
      </c>
      <c r="G4373" s="24" t="s">
        <v>8</v>
      </c>
      <c r="H4373" s="24" t="s">
        <v>3428</v>
      </c>
      <c r="I4373" s="27">
        <v>69.05</v>
      </c>
    </row>
    <row r="4374" spans="2:9" ht="16">
      <c r="B4374" s="24" t="s">
        <v>3429</v>
      </c>
      <c r="C4374" s="24" t="s">
        <v>6</v>
      </c>
      <c r="D4374" s="24" t="s">
        <v>166</v>
      </c>
      <c r="E4374" s="24" t="s">
        <v>8</v>
      </c>
      <c r="F4374" s="24" t="s">
        <v>42</v>
      </c>
      <c r="G4374" s="24" t="s">
        <v>8</v>
      </c>
      <c r="H4374" s="24" t="s">
        <v>3430</v>
      </c>
      <c r="I4374" s="27">
        <v>31.94</v>
      </c>
    </row>
    <row r="4375" spans="2:9" ht="16">
      <c r="B4375" s="24" t="s">
        <v>258</v>
      </c>
      <c r="C4375" s="24" t="s">
        <v>6</v>
      </c>
      <c r="D4375" s="24" t="s">
        <v>597</v>
      </c>
      <c r="E4375" s="24" t="s">
        <v>8</v>
      </c>
      <c r="F4375" s="24" t="s">
        <v>42</v>
      </c>
      <c r="G4375" s="24" t="s">
        <v>8</v>
      </c>
      <c r="H4375" s="24" t="s">
        <v>3431</v>
      </c>
      <c r="I4375" s="27">
        <v>51.58</v>
      </c>
    </row>
    <row r="4376" spans="2:9" ht="16">
      <c r="B4376" s="24" t="s">
        <v>8</v>
      </c>
      <c r="C4376" s="24" t="s">
        <v>6</v>
      </c>
      <c r="D4376" s="24" t="s">
        <v>3432</v>
      </c>
      <c r="E4376" s="24" t="s">
        <v>8</v>
      </c>
      <c r="F4376" s="24" t="s">
        <v>42</v>
      </c>
      <c r="G4376" s="24" t="s">
        <v>8</v>
      </c>
      <c r="H4376" s="24" t="s">
        <v>3433</v>
      </c>
      <c r="I4376" s="27">
        <v>28.0</v>
      </c>
    </row>
    <row r="4377" spans="2:9" ht="16">
      <c r="B4377" s="24" t="s">
        <v>1120</v>
      </c>
      <c r="C4377" s="24" t="s">
        <v>6</v>
      </c>
      <c r="D4377" s="24" t="s">
        <v>3434</v>
      </c>
      <c r="E4377" s="24" t="s">
        <v>8</v>
      </c>
      <c r="F4377" s="24" t="s">
        <v>42</v>
      </c>
      <c r="G4377" s="24" t="s">
        <v>8</v>
      </c>
      <c r="H4377" s="24" t="s">
        <v>3435</v>
      </c>
      <c r="I4377" s="27">
        <v>24.4</v>
      </c>
    </row>
    <row r="4378" spans="2:9" ht="16">
      <c r="B4378" s="24" t="s">
        <v>3436</v>
      </c>
      <c r="C4378" s="24" t="s">
        <v>6</v>
      </c>
      <c r="D4378" s="24" t="s">
        <v>206</v>
      </c>
      <c r="E4378" s="24" t="s">
        <v>8</v>
      </c>
      <c r="F4378" s="24" t="s">
        <v>42</v>
      </c>
      <c r="G4378" s="24" t="s">
        <v>8</v>
      </c>
      <c r="H4378" s="24" t="s">
        <v>3437</v>
      </c>
      <c r="I4378" s="27">
        <v>80.81</v>
      </c>
    </row>
    <row r="4379" spans="2:9" ht="16">
      <c r="B4379" s="24" t="s">
        <v>3438</v>
      </c>
      <c r="C4379" s="24" t="s">
        <v>6</v>
      </c>
      <c r="D4379" s="24" t="s">
        <v>3439</v>
      </c>
      <c r="E4379" s="24" t="s">
        <v>8</v>
      </c>
      <c r="F4379" s="24" t="s">
        <v>42</v>
      </c>
      <c r="G4379" s="24" t="s">
        <v>8</v>
      </c>
      <c r="H4379" s="24" t="s">
        <v>3440</v>
      </c>
      <c r="I4379" s="27">
        <v>120.74</v>
      </c>
    </row>
    <row r="4380" spans="2:9" ht="16">
      <c r="B4380" s="24" t="s">
        <v>8</v>
      </c>
      <c r="C4380" s="24" t="s">
        <v>6</v>
      </c>
      <c r="D4380" s="24" t="s">
        <v>3432</v>
      </c>
      <c r="E4380" s="24" t="s">
        <v>8</v>
      </c>
      <c r="F4380" s="24" t="s">
        <v>42</v>
      </c>
      <c r="G4380" s="24" t="s">
        <v>8</v>
      </c>
      <c r="H4380" s="24" t="s">
        <v>3441</v>
      </c>
      <c r="I4380" s="27">
        <v>48.67</v>
      </c>
    </row>
    <row r="4381" spans="1:9" ht="16">
      <c r="A4381" s="35" t="s">
        <v>149</v>
      </c>
      <c r="I4381" s="28">
        <f>I4368+I4369+I4370+I4371+I4372+I4373+I4374+I4375+I4376+I4377+I4378+I4379+I4380</f>
        <v>725.4899999999999</v>
      </c>
    </row>
    <row r="4382" spans="1:1" ht="16">
      <c r="A4382" s="34" t="s">
        <v>3372</v>
      </c>
    </row>
    <row r="4383" spans="2:9" ht="16">
      <c r="B4383" s="24" t="s">
        <v>3442</v>
      </c>
      <c r="C4383" s="24" t="s">
        <v>6</v>
      </c>
      <c r="D4383" s="24" t="s">
        <v>110</v>
      </c>
      <c r="E4383" s="24" t="s">
        <v>8</v>
      </c>
      <c r="F4383" s="24" t="s">
        <v>42</v>
      </c>
      <c r="G4383" s="24" t="s">
        <v>8</v>
      </c>
      <c r="H4383" s="24" t="s">
        <v>3443</v>
      </c>
      <c r="I4383" s="27">
        <v>75.0</v>
      </c>
    </row>
    <row r="4384" spans="2:9" ht="16">
      <c r="B4384" s="24" t="s">
        <v>117</v>
      </c>
      <c r="C4384" s="24" t="s">
        <v>6</v>
      </c>
      <c r="D4384" s="24" t="s">
        <v>110</v>
      </c>
      <c r="E4384" s="24" t="s">
        <v>8</v>
      </c>
      <c r="F4384" s="24" t="s">
        <v>42</v>
      </c>
      <c r="G4384" s="24" t="s">
        <v>8</v>
      </c>
      <c r="H4384" s="24" t="s">
        <v>3444</v>
      </c>
      <c r="I4384" s="27">
        <v>7.95</v>
      </c>
    </row>
    <row r="4385" spans="1:9" ht="16">
      <c r="A4385" s="35" t="s">
        <v>3445</v>
      </c>
      <c r="I4385" s="28">
        <f>I4382+I4383+I4384</f>
        <v>82.95</v>
      </c>
    </row>
    <row r="4386" spans="1:1" ht="16">
      <c r="A4386" s="34" t="s">
        <v>3372</v>
      </c>
    </row>
    <row r="4387" spans="2:9" ht="16">
      <c r="B4387" s="24" t="s">
        <v>3446</v>
      </c>
      <c r="C4387" s="24" t="s">
        <v>6</v>
      </c>
      <c r="D4387" s="24" t="s">
        <v>417</v>
      </c>
      <c r="E4387" s="24" t="s">
        <v>8</v>
      </c>
      <c r="F4387" s="24" t="s">
        <v>42</v>
      </c>
      <c r="G4387" s="24" t="s">
        <v>8</v>
      </c>
      <c r="H4387" s="24" t="s">
        <v>3447</v>
      </c>
      <c r="I4387" s="27">
        <v>24.89</v>
      </c>
    </row>
    <row r="4388" spans="2:9" ht="16">
      <c r="B4388" s="24" t="s">
        <v>3446</v>
      </c>
      <c r="C4388" s="24" t="s">
        <v>6</v>
      </c>
      <c r="D4388" s="24" t="s">
        <v>469</v>
      </c>
      <c r="E4388" s="24" t="s">
        <v>8</v>
      </c>
      <c r="F4388" s="24" t="s">
        <v>42</v>
      </c>
      <c r="G4388" s="24" t="s">
        <v>8</v>
      </c>
      <c r="H4388" s="24" t="s">
        <v>3447</v>
      </c>
      <c r="I4388" s="27">
        <v>24.89</v>
      </c>
    </row>
    <row r="4389" spans="2:9" ht="16">
      <c r="B4389" s="24" t="s">
        <v>3446</v>
      </c>
      <c r="C4389" s="24" t="s">
        <v>6</v>
      </c>
      <c r="D4389" s="24" t="s">
        <v>102</v>
      </c>
      <c r="E4389" s="24" t="s">
        <v>8</v>
      </c>
      <c r="F4389" s="24" t="s">
        <v>42</v>
      </c>
      <c r="G4389" s="24" t="s">
        <v>8</v>
      </c>
      <c r="H4389" s="24" t="s">
        <v>3447</v>
      </c>
      <c r="I4389" s="27">
        <v>24.89</v>
      </c>
    </row>
    <row r="4390" spans="2:9" ht="16">
      <c r="B4390" s="24" t="s">
        <v>3446</v>
      </c>
      <c r="C4390" s="24" t="s">
        <v>6</v>
      </c>
      <c r="D4390" s="24" t="s">
        <v>3423</v>
      </c>
      <c r="E4390" s="24" t="s">
        <v>8</v>
      </c>
      <c r="F4390" s="24" t="s">
        <v>42</v>
      </c>
      <c r="G4390" s="24" t="s">
        <v>8</v>
      </c>
      <c r="H4390" s="24" t="s">
        <v>3448</v>
      </c>
      <c r="I4390" s="27">
        <v>24.89</v>
      </c>
    </row>
    <row r="4391" spans="1:9" ht="16">
      <c r="A4391" s="35" t="s">
        <v>3449</v>
      </c>
      <c r="I4391" s="28">
        <f>I4386+I4387+I4388+I4389+I4390</f>
        <v>99.56</v>
      </c>
    </row>
    <row r="4392" spans="1:1" ht="16">
      <c r="A4392" s="34" t="s">
        <v>3372</v>
      </c>
    </row>
    <row r="4393" spans="2:9" ht="16">
      <c r="B4393" s="24" t="s">
        <v>589</v>
      </c>
      <c r="C4393" s="24" t="s">
        <v>6</v>
      </c>
      <c r="D4393" s="24" t="s">
        <v>52</v>
      </c>
      <c r="E4393" s="24" t="s">
        <v>8</v>
      </c>
      <c r="F4393" s="24" t="s">
        <v>42</v>
      </c>
      <c r="G4393" s="24" t="s">
        <v>8</v>
      </c>
      <c r="H4393" s="24" t="s">
        <v>3450</v>
      </c>
      <c r="I4393" s="27">
        <v>108.41</v>
      </c>
    </row>
    <row r="4394" spans="2:9" ht="16">
      <c r="B4394" s="24" t="s">
        <v>589</v>
      </c>
      <c r="C4394" s="24" t="s">
        <v>6</v>
      </c>
      <c r="D4394" s="24" t="s">
        <v>3451</v>
      </c>
      <c r="E4394" s="24" t="s">
        <v>8</v>
      </c>
      <c r="F4394" s="24" t="s">
        <v>42</v>
      </c>
      <c r="G4394" s="24" t="s">
        <v>8</v>
      </c>
      <c r="H4394" s="24" t="s">
        <v>3450</v>
      </c>
      <c r="I4394" s="27">
        <v>437.95</v>
      </c>
    </row>
    <row r="4395" spans="2:9" ht="16">
      <c r="B4395" s="24" t="s">
        <v>3452</v>
      </c>
      <c r="C4395" s="24" t="s">
        <v>6</v>
      </c>
      <c r="D4395" s="24" t="s">
        <v>509</v>
      </c>
      <c r="E4395" s="24" t="s">
        <v>8</v>
      </c>
      <c r="F4395" s="24" t="s">
        <v>42</v>
      </c>
      <c r="G4395" s="24" t="s">
        <v>8</v>
      </c>
      <c r="H4395" s="24" t="s">
        <v>3453</v>
      </c>
      <c r="I4395" s="27">
        <v>269.54</v>
      </c>
    </row>
    <row r="4396" spans="2:9" ht="16">
      <c r="B4396" s="24" t="s">
        <v>3454</v>
      </c>
      <c r="C4396" s="24" t="s">
        <v>6</v>
      </c>
      <c r="D4396" s="24" t="s">
        <v>174</v>
      </c>
      <c r="E4396" s="24" t="s">
        <v>8</v>
      </c>
      <c r="F4396" s="24" t="s">
        <v>42</v>
      </c>
      <c r="G4396" s="24" t="s">
        <v>8</v>
      </c>
      <c r="H4396" s="24" t="s">
        <v>3455</v>
      </c>
      <c r="I4396" s="27">
        <v>43.01</v>
      </c>
    </row>
    <row r="4397" spans="1:9" ht="16">
      <c r="A4397" s="35" t="s">
        <v>663</v>
      </c>
      <c r="I4397" s="28">
        <f>I4392+I4393+I4394+I4395+I4396</f>
        <v>858.9100000000001</v>
      </c>
    </row>
    <row r="4398" spans="1:1" ht="16">
      <c r="A4398" s="34" t="s">
        <v>3372</v>
      </c>
    </row>
    <row r="4399" spans="2:9" ht="16">
      <c r="B4399" s="24" t="s">
        <v>600</v>
      </c>
      <c r="C4399" s="24" t="s">
        <v>6</v>
      </c>
      <c r="D4399" s="24" t="s">
        <v>728</v>
      </c>
      <c r="E4399" s="24" t="s">
        <v>8</v>
      </c>
      <c r="F4399" s="24" t="s">
        <v>42</v>
      </c>
      <c r="G4399" s="24" t="s">
        <v>8</v>
      </c>
      <c r="H4399" s="24" t="s">
        <v>3456</v>
      </c>
      <c r="I4399" s="27">
        <v>150.8</v>
      </c>
    </row>
    <row r="4400" spans="2:9" ht="16">
      <c r="B4400" s="24" t="s">
        <v>658</v>
      </c>
      <c r="C4400" s="24" t="s">
        <v>6</v>
      </c>
      <c r="D4400" s="24" t="s">
        <v>93</v>
      </c>
      <c r="E4400" s="24" t="s">
        <v>8</v>
      </c>
      <c r="F4400" s="24" t="s">
        <v>42</v>
      </c>
      <c r="G4400" s="24" t="s">
        <v>8</v>
      </c>
      <c r="H4400" s="24" t="s">
        <v>3457</v>
      </c>
      <c r="I4400" s="27">
        <v>378.75</v>
      </c>
    </row>
    <row r="4401" spans="2:9" ht="16">
      <c r="B4401" s="24" t="s">
        <v>600</v>
      </c>
      <c r="C4401" s="24" t="s">
        <v>6</v>
      </c>
      <c r="D4401" s="24" t="s">
        <v>603</v>
      </c>
      <c r="E4401" s="24" t="s">
        <v>8</v>
      </c>
      <c r="F4401" s="24" t="s">
        <v>42</v>
      </c>
      <c r="G4401" s="24" t="s">
        <v>8</v>
      </c>
      <c r="H4401" s="24" t="s">
        <v>3458</v>
      </c>
      <c r="I4401" s="27">
        <v>15.97</v>
      </c>
    </row>
    <row r="4402" spans="2:9" ht="16">
      <c r="B4402" s="24" t="s">
        <v>658</v>
      </c>
      <c r="C4402" s="24" t="s">
        <v>6</v>
      </c>
      <c r="D4402" s="24" t="s">
        <v>404</v>
      </c>
      <c r="E4402" s="24" t="s">
        <v>8</v>
      </c>
      <c r="F4402" s="24" t="s">
        <v>42</v>
      </c>
      <c r="G4402" s="24" t="s">
        <v>8</v>
      </c>
      <c r="H4402" s="24" t="s">
        <v>3459</v>
      </c>
      <c r="I4402" s="27">
        <v>56.59</v>
      </c>
    </row>
    <row r="4403" spans="2:9" ht="16">
      <c r="B4403" s="24" t="s">
        <v>589</v>
      </c>
      <c r="C4403" s="24" t="s">
        <v>6</v>
      </c>
      <c r="D4403" s="24" t="s">
        <v>3460</v>
      </c>
      <c r="E4403" s="24" t="s">
        <v>3461</v>
      </c>
      <c r="F4403" s="24" t="s">
        <v>42</v>
      </c>
      <c r="G4403" s="24" t="s">
        <v>8</v>
      </c>
      <c r="H4403" s="24" t="s">
        <v>3462</v>
      </c>
      <c r="I4403" s="27">
        <v>50.24</v>
      </c>
    </row>
    <row r="4404" spans="2:9" ht="16">
      <c r="B4404" s="24" t="s">
        <v>3463</v>
      </c>
      <c r="C4404" s="24" t="s">
        <v>6</v>
      </c>
      <c r="D4404" s="24" t="s">
        <v>22</v>
      </c>
      <c r="E4404" s="24" t="s">
        <v>8</v>
      </c>
      <c r="F4404" s="24" t="s">
        <v>42</v>
      </c>
      <c r="G4404" s="24" t="s">
        <v>8</v>
      </c>
      <c r="H4404" s="24" t="s">
        <v>3464</v>
      </c>
      <c r="I4404" s="27">
        <v>230.0</v>
      </c>
    </row>
    <row r="4405" spans="2:9" ht="16">
      <c r="B4405" s="24" t="s">
        <v>589</v>
      </c>
      <c r="C4405" s="24" t="s">
        <v>6</v>
      </c>
      <c r="D4405" s="24" t="s">
        <v>728</v>
      </c>
      <c r="E4405" s="24" t="s">
        <v>8</v>
      </c>
      <c r="F4405" s="24" t="s">
        <v>42</v>
      </c>
      <c r="G4405" s="24" t="s">
        <v>8</v>
      </c>
      <c r="H4405" s="24" t="s">
        <v>3465</v>
      </c>
      <c r="I4405" s="27">
        <v>-37.58</v>
      </c>
    </row>
    <row r="4406" spans="2:9" ht="16">
      <c r="B4406" s="24" t="s">
        <v>589</v>
      </c>
      <c r="C4406" s="24" t="s">
        <v>6</v>
      </c>
      <c r="D4406" s="24" t="s">
        <v>728</v>
      </c>
      <c r="E4406" s="24" t="s">
        <v>8</v>
      </c>
      <c r="F4406" s="24" t="s">
        <v>42</v>
      </c>
      <c r="G4406" s="24" t="s">
        <v>8</v>
      </c>
      <c r="H4406" s="24" t="s">
        <v>3465</v>
      </c>
      <c r="I4406" s="27">
        <v>37.58</v>
      </c>
    </row>
    <row r="4407" spans="2:9" ht="16">
      <c r="B4407" s="24" t="s">
        <v>2382</v>
      </c>
      <c r="C4407" s="24" t="s">
        <v>6</v>
      </c>
      <c r="D4407" s="24" t="s">
        <v>226</v>
      </c>
      <c r="E4407" s="24" t="s">
        <v>8</v>
      </c>
      <c r="F4407" s="24" t="s">
        <v>42</v>
      </c>
      <c r="G4407" s="24" t="s">
        <v>8</v>
      </c>
      <c r="H4407" s="24" t="s">
        <v>3466</v>
      </c>
      <c r="I4407" s="27">
        <v>32.87</v>
      </c>
    </row>
    <row r="4408" spans="2:9" ht="16">
      <c r="B4408" s="24" t="s">
        <v>3467</v>
      </c>
      <c r="C4408" s="24" t="s">
        <v>6</v>
      </c>
      <c r="D4408" s="24" t="s">
        <v>48</v>
      </c>
      <c r="E4408" s="24" t="s">
        <v>8</v>
      </c>
      <c r="F4408" s="24" t="s">
        <v>42</v>
      </c>
      <c r="G4408" s="24" t="s">
        <v>8</v>
      </c>
      <c r="H4408" s="24" t="s">
        <v>3468</v>
      </c>
      <c r="I4408" s="27">
        <v>255.11</v>
      </c>
    </row>
    <row r="4409" spans="2:9" ht="16">
      <c r="B4409" s="24" t="s">
        <v>3469</v>
      </c>
      <c r="C4409" s="24" t="s">
        <v>6</v>
      </c>
      <c r="D4409" s="24" t="s">
        <v>3470</v>
      </c>
      <c r="E4409" s="24" t="s">
        <v>8</v>
      </c>
      <c r="F4409" s="24" t="s">
        <v>42</v>
      </c>
      <c r="G4409" s="24" t="s">
        <v>8</v>
      </c>
      <c r="H4409" s="24" t="s">
        <v>3471</v>
      </c>
      <c r="I4409" s="27">
        <v>226.18</v>
      </c>
    </row>
    <row r="4410" spans="2:9" ht="16">
      <c r="B4410" s="24" t="s">
        <v>3472</v>
      </c>
      <c r="C4410" s="24" t="s">
        <v>6</v>
      </c>
      <c r="D4410" s="24" t="s">
        <v>3473</v>
      </c>
      <c r="E4410" s="24" t="s">
        <v>8</v>
      </c>
      <c r="F4410" s="24" t="s">
        <v>42</v>
      </c>
      <c r="G4410" s="24" t="s">
        <v>8</v>
      </c>
      <c r="H4410" s="24" t="s">
        <v>3474</v>
      </c>
      <c r="I4410" s="27">
        <v>18.55</v>
      </c>
    </row>
    <row r="4411" spans="2:9" ht="16">
      <c r="B4411" s="24" t="s">
        <v>117</v>
      </c>
      <c r="C4411" s="24" t="s">
        <v>6</v>
      </c>
      <c r="D4411" s="24" t="s">
        <v>3475</v>
      </c>
      <c r="E4411" s="24" t="s">
        <v>8</v>
      </c>
      <c r="F4411" s="24" t="s">
        <v>42</v>
      </c>
      <c r="G4411" s="24" t="s">
        <v>8</v>
      </c>
      <c r="H4411" s="24" t="s">
        <v>3476</v>
      </c>
      <c r="I4411" s="27">
        <v>27.79</v>
      </c>
    </row>
    <row r="4412" spans="1:9" ht="16">
      <c r="A4412" s="35" t="s">
        <v>666</v>
      </c>
      <c r="I4412" s="28">
        <f>I4398+I4399+I4400+I4401+I4402+I4403+I4404+I4405+I4406+I4407+I4408+I4409+I4410+I4411</f>
        <v>1442.85</v>
      </c>
    </row>
    <row r="4413" spans="1:1" ht="16">
      <c r="A4413" s="34" t="s">
        <v>3372</v>
      </c>
    </row>
    <row r="4414" spans="2:9" ht="16">
      <c r="B4414" s="24" t="s">
        <v>8</v>
      </c>
      <c r="C4414" s="24" t="s">
        <v>6</v>
      </c>
      <c r="D4414" s="24" t="s">
        <v>55</v>
      </c>
      <c r="E4414" s="24" t="s">
        <v>8</v>
      </c>
      <c r="F4414" s="24" t="s">
        <v>42</v>
      </c>
      <c r="G4414" s="24" t="s">
        <v>8</v>
      </c>
      <c r="H4414" s="24" t="s">
        <v>43</v>
      </c>
      <c r="I4414" s="27">
        <v>2.0</v>
      </c>
    </row>
    <row r="4415" spans="1:9" ht="16">
      <c r="A4415" s="35" t="s">
        <v>44</v>
      </c>
      <c r="I4415" s="28">
        <f>I4413+I4414</f>
        <v>2.0</v>
      </c>
    </row>
    <row r="4416" spans="1:1" ht="16">
      <c r="A4416" s="34" t="s">
        <v>3372</v>
      </c>
    </row>
    <row r="4417" spans="2:9" ht="16">
      <c r="B4417" s="24" t="s">
        <v>961</v>
      </c>
      <c r="C4417" s="24" t="s">
        <v>6</v>
      </c>
      <c r="D4417" s="24" t="s">
        <v>178</v>
      </c>
      <c r="E4417" s="24" t="s">
        <v>8</v>
      </c>
      <c r="F4417" s="24" t="s">
        <v>42</v>
      </c>
      <c r="G4417" s="24" t="s">
        <v>8</v>
      </c>
      <c r="H4417" s="24" t="s">
        <v>3477</v>
      </c>
      <c r="I4417" s="27">
        <v>89.96</v>
      </c>
    </row>
    <row r="4418" spans="2:9" ht="16">
      <c r="B4418" s="24" t="s">
        <v>961</v>
      </c>
      <c r="C4418" s="24" t="s">
        <v>6</v>
      </c>
      <c r="D4418" s="24" t="s">
        <v>691</v>
      </c>
      <c r="E4418" s="24" t="s">
        <v>8</v>
      </c>
      <c r="F4418" s="24" t="s">
        <v>42</v>
      </c>
      <c r="G4418" s="24" t="s">
        <v>8</v>
      </c>
      <c r="H4418" s="24" t="s">
        <v>3478</v>
      </c>
      <c r="I4418" s="27">
        <v>77.22</v>
      </c>
    </row>
    <row r="4419" spans="2:9" ht="16">
      <c r="B4419" s="24" t="s">
        <v>961</v>
      </c>
      <c r="C4419" s="24" t="s">
        <v>6</v>
      </c>
      <c r="D4419" s="24" t="s">
        <v>102</v>
      </c>
      <c r="E4419" s="24" t="s">
        <v>8</v>
      </c>
      <c r="F4419" s="24" t="s">
        <v>42</v>
      </c>
      <c r="G4419" s="24" t="s">
        <v>8</v>
      </c>
      <c r="H4419" s="24" t="s">
        <v>3479</v>
      </c>
      <c r="I4419" s="27">
        <v>69.45</v>
      </c>
    </row>
    <row r="4420" spans="2:9" ht="16">
      <c r="B4420" s="24" t="s">
        <v>961</v>
      </c>
      <c r="C4420" s="24" t="s">
        <v>6</v>
      </c>
      <c r="D4420" s="24" t="s">
        <v>57</v>
      </c>
      <c r="E4420" s="24" t="s">
        <v>8</v>
      </c>
      <c r="F4420" s="24" t="s">
        <v>42</v>
      </c>
      <c r="G4420" s="24" t="s">
        <v>8</v>
      </c>
      <c r="H4420" s="24" t="s">
        <v>3479</v>
      </c>
      <c r="I4420" s="27">
        <v>66.46</v>
      </c>
    </row>
    <row r="4421" spans="2:9" ht="16">
      <c r="B4421" s="24" t="s">
        <v>961</v>
      </c>
      <c r="C4421" s="24" t="s">
        <v>6</v>
      </c>
      <c r="D4421" s="24" t="s">
        <v>287</v>
      </c>
      <c r="E4421" s="24" t="s">
        <v>8</v>
      </c>
      <c r="F4421" s="24" t="s">
        <v>42</v>
      </c>
      <c r="G4421" s="24" t="s">
        <v>8</v>
      </c>
      <c r="H4421" s="24" t="s">
        <v>3479</v>
      </c>
      <c r="I4421" s="27">
        <v>8.95</v>
      </c>
    </row>
    <row r="4422" spans="2:9" ht="16">
      <c r="B4422" s="24" t="s">
        <v>961</v>
      </c>
      <c r="C4422" s="24" t="s">
        <v>6</v>
      </c>
      <c r="D4422" s="24" t="s">
        <v>52</v>
      </c>
      <c r="E4422" s="24" t="s">
        <v>8</v>
      </c>
      <c r="F4422" s="24" t="s">
        <v>42</v>
      </c>
      <c r="G4422" s="24" t="s">
        <v>8</v>
      </c>
      <c r="H4422" s="24" t="s">
        <v>3479</v>
      </c>
      <c r="I4422" s="27">
        <v>66.46</v>
      </c>
    </row>
    <row r="4423" spans="2:9" ht="16">
      <c r="B4423" s="24" t="s">
        <v>961</v>
      </c>
      <c r="C4423" s="24" t="s">
        <v>6</v>
      </c>
      <c r="D4423" s="24" t="s">
        <v>60</v>
      </c>
      <c r="E4423" s="24" t="s">
        <v>8</v>
      </c>
      <c r="F4423" s="24" t="s">
        <v>42</v>
      </c>
      <c r="G4423" s="24" t="s">
        <v>8</v>
      </c>
      <c r="H4423" s="24" t="s">
        <v>3479</v>
      </c>
      <c r="I4423" s="27">
        <v>129.92</v>
      </c>
    </row>
    <row r="4424" spans="2:9" ht="16">
      <c r="B4424" s="24" t="s">
        <v>961</v>
      </c>
      <c r="C4424" s="24" t="s">
        <v>6</v>
      </c>
      <c r="D4424" s="24" t="s">
        <v>137</v>
      </c>
      <c r="E4424" s="24" t="s">
        <v>8</v>
      </c>
      <c r="F4424" s="24" t="s">
        <v>42</v>
      </c>
      <c r="G4424" s="24" t="s">
        <v>8</v>
      </c>
      <c r="H4424" s="24" t="s">
        <v>3479</v>
      </c>
      <c r="I4424" s="27">
        <v>77.22</v>
      </c>
    </row>
    <row r="4425" spans="2:9" ht="16">
      <c r="B4425" s="24" t="s">
        <v>961</v>
      </c>
      <c r="C4425" s="24" t="s">
        <v>6</v>
      </c>
      <c r="D4425" s="24" t="s">
        <v>7</v>
      </c>
      <c r="E4425" s="24" t="s">
        <v>8</v>
      </c>
      <c r="F4425" s="24" t="s">
        <v>42</v>
      </c>
      <c r="G4425" s="24" t="s">
        <v>8</v>
      </c>
      <c r="H4425" s="24" t="s">
        <v>3479</v>
      </c>
      <c r="I4425" s="27">
        <v>75.41</v>
      </c>
    </row>
    <row r="4426" spans="1:9" ht="16">
      <c r="A4426" s="35" t="s">
        <v>3480</v>
      </c>
      <c r="I4426" s="28">
        <f>I4416+I4417+I4418+I4419+I4420+I4421+I4422+I4423+I4424+I4425</f>
        <v>661.05</v>
      </c>
    </row>
    <row r="4427" spans="1:1" ht="16">
      <c r="A4427" s="34" t="s">
        <v>3372</v>
      </c>
    </row>
    <row r="4428" spans="2:9" ht="16">
      <c r="B4428" s="24" t="s">
        <v>51</v>
      </c>
      <c r="C4428" s="24" t="s">
        <v>6</v>
      </c>
      <c r="D4428" s="24" t="s">
        <v>281</v>
      </c>
      <c r="E4428" s="24" t="s">
        <v>8</v>
      </c>
      <c r="F4428" s="24" t="s">
        <v>42</v>
      </c>
      <c r="G4428" s="24" t="s">
        <v>8</v>
      </c>
      <c r="H4428" s="24" t="s">
        <v>3481</v>
      </c>
      <c r="I4428" s="27">
        <v>45.0</v>
      </c>
    </row>
    <row r="4429" spans="2:9" ht="16">
      <c r="B4429" s="24" t="s">
        <v>51</v>
      </c>
      <c r="C4429" s="24" t="s">
        <v>6</v>
      </c>
      <c r="D4429" s="24" t="s">
        <v>166</v>
      </c>
      <c r="E4429" s="24" t="s">
        <v>8</v>
      </c>
      <c r="F4429" s="24" t="s">
        <v>42</v>
      </c>
      <c r="G4429" s="24" t="s">
        <v>8</v>
      </c>
      <c r="H4429" s="24" t="s">
        <v>3482</v>
      </c>
      <c r="I4429" s="27">
        <v>10.0</v>
      </c>
    </row>
    <row r="4430" spans="2:9" ht="16">
      <c r="B4430" s="24" t="s">
        <v>51</v>
      </c>
      <c r="C4430" s="24" t="s">
        <v>6</v>
      </c>
      <c r="D4430" s="24" t="s">
        <v>740</v>
      </c>
      <c r="E4430" s="24" t="s">
        <v>8</v>
      </c>
      <c r="F4430" s="24" t="s">
        <v>42</v>
      </c>
      <c r="G4430" s="24" t="s">
        <v>8</v>
      </c>
      <c r="H4430" s="24" t="s">
        <v>3482</v>
      </c>
      <c r="I4430" s="27">
        <v>65.0</v>
      </c>
    </row>
    <row r="4431" spans="2:9" ht="16">
      <c r="B4431" s="24" t="s">
        <v>51</v>
      </c>
      <c r="C4431" s="24" t="s">
        <v>6</v>
      </c>
      <c r="D4431" s="24" t="s">
        <v>168</v>
      </c>
      <c r="E4431" s="24" t="s">
        <v>8</v>
      </c>
      <c r="F4431" s="24" t="s">
        <v>42</v>
      </c>
      <c r="G4431" s="24" t="s">
        <v>8</v>
      </c>
      <c r="H4431" s="24" t="s">
        <v>3482</v>
      </c>
      <c r="I4431" s="27">
        <v>10.0</v>
      </c>
    </row>
    <row r="4432" spans="2:9" ht="16">
      <c r="B4432" s="24" t="s">
        <v>51</v>
      </c>
      <c r="C4432" s="24" t="s">
        <v>6</v>
      </c>
      <c r="D4432" s="24" t="s">
        <v>287</v>
      </c>
      <c r="E4432" s="24" t="s">
        <v>8</v>
      </c>
      <c r="F4432" s="24" t="s">
        <v>42</v>
      </c>
      <c r="G4432" s="24" t="s">
        <v>8</v>
      </c>
      <c r="H4432" s="24" t="s">
        <v>3482</v>
      </c>
      <c r="I4432" s="27">
        <v>45.0</v>
      </c>
    </row>
    <row r="4433" spans="2:9" ht="16">
      <c r="B4433" s="24" t="s">
        <v>51</v>
      </c>
      <c r="C4433" s="24" t="s">
        <v>6</v>
      </c>
      <c r="D4433" s="24" t="s">
        <v>738</v>
      </c>
      <c r="E4433" s="24" t="s">
        <v>8</v>
      </c>
      <c r="F4433" s="24" t="s">
        <v>42</v>
      </c>
      <c r="G4433" s="24" t="s">
        <v>8</v>
      </c>
      <c r="H4433" s="24" t="s">
        <v>3483</v>
      </c>
      <c r="I4433" s="27">
        <v>65.0</v>
      </c>
    </row>
    <row r="4434" spans="1:9" ht="16">
      <c r="A4434" s="35" t="s">
        <v>3484</v>
      </c>
      <c r="I4434" s="28">
        <f>I4427+I4428+I4429+I4430+I4431+I4432+I4433</f>
        <v>240.0</v>
      </c>
    </row>
    <row r="4435" spans="1:1" ht="16">
      <c r="A4435" s="34" t="s">
        <v>3372</v>
      </c>
    </row>
    <row r="4436" spans="2:9" ht="16">
      <c r="B4436" s="24" t="s">
        <v>3485</v>
      </c>
      <c r="C4436" s="24" t="s">
        <v>6</v>
      </c>
      <c r="D4436" s="24" t="s">
        <v>651</v>
      </c>
      <c r="E4436" s="24" t="s">
        <v>8</v>
      </c>
      <c r="F4436" s="24" t="s">
        <v>42</v>
      </c>
      <c r="G4436" s="24" t="s">
        <v>8</v>
      </c>
      <c r="H4436" s="24" t="s">
        <v>3486</v>
      </c>
      <c r="I4436" s="27">
        <v>421.8</v>
      </c>
    </row>
    <row r="4437" spans="1:9" ht="16">
      <c r="A4437" s="35" t="s">
        <v>158</v>
      </c>
      <c r="I4437" s="28">
        <f>I4435+I4436</f>
        <v>421.8</v>
      </c>
    </row>
    <row r="4438" spans="1:1" ht="16">
      <c r="A4438" s="34" t="s">
        <v>3372</v>
      </c>
    </row>
    <row r="4439" spans="2:9" ht="16">
      <c r="B4439" s="24" t="s">
        <v>3487</v>
      </c>
      <c r="C4439" s="24" t="s">
        <v>6</v>
      </c>
      <c r="D4439" s="24" t="s">
        <v>659</v>
      </c>
      <c r="E4439" s="24" t="s">
        <v>8</v>
      </c>
      <c r="F4439" s="24" t="s">
        <v>42</v>
      </c>
      <c r="G4439" s="24" t="s">
        <v>8</v>
      </c>
      <c r="H4439" s="24" t="s">
        <v>3488</v>
      </c>
      <c r="I4439" s="27">
        <v>99.0</v>
      </c>
    </row>
    <row r="4440" spans="2:9" ht="16">
      <c r="B4440" s="24" t="s">
        <v>3487</v>
      </c>
      <c r="C4440" s="24" t="s">
        <v>6</v>
      </c>
      <c r="D4440" s="24" t="s">
        <v>417</v>
      </c>
      <c r="E4440" s="24" t="s">
        <v>8</v>
      </c>
      <c r="F4440" s="24" t="s">
        <v>42</v>
      </c>
      <c r="G4440" s="24" t="s">
        <v>8</v>
      </c>
      <c r="H4440" s="24" t="s">
        <v>3488</v>
      </c>
      <c r="I4440" s="27">
        <v>90.0</v>
      </c>
    </row>
    <row r="4441" spans="1:9" ht="16">
      <c r="A4441" s="35" t="s">
        <v>3489</v>
      </c>
      <c r="I4441" s="28">
        <f>I4438+I4439+I4440</f>
        <v>189.0</v>
      </c>
    </row>
    <row r="4442" spans="1:1" ht="16">
      <c r="A4442" s="34" t="s">
        <v>3372</v>
      </c>
    </row>
    <row r="4443" spans="2:9" ht="16">
      <c r="B4443" s="24" t="s">
        <v>51</v>
      </c>
      <c r="C4443" s="24" t="s">
        <v>6</v>
      </c>
      <c r="D4443" s="24" t="s">
        <v>57</v>
      </c>
      <c r="E4443" s="24" t="s">
        <v>8</v>
      </c>
      <c r="F4443" s="24" t="s">
        <v>42</v>
      </c>
      <c r="G4443" s="24" t="s">
        <v>8</v>
      </c>
      <c r="H4443" s="24" t="s">
        <v>53</v>
      </c>
      <c r="I4443" s="27">
        <v>1008.94</v>
      </c>
    </row>
    <row r="4444" spans="2:9" ht="16">
      <c r="B4444" s="24" t="s">
        <v>51</v>
      </c>
      <c r="C4444" s="24" t="s">
        <v>6</v>
      </c>
      <c r="D4444" s="24" t="s">
        <v>93</v>
      </c>
      <c r="E4444" s="24" t="s">
        <v>8</v>
      </c>
      <c r="F4444" s="24" t="s">
        <v>42</v>
      </c>
      <c r="G4444" s="24" t="s">
        <v>8</v>
      </c>
      <c r="H4444" s="24" t="s">
        <v>53</v>
      </c>
      <c r="I4444" s="27">
        <v>672.62</v>
      </c>
    </row>
    <row r="4445" spans="2:9" ht="16">
      <c r="B4445" s="24" t="s">
        <v>51</v>
      </c>
      <c r="C4445" s="24" t="s">
        <v>6</v>
      </c>
      <c r="D4445" s="24" t="s">
        <v>93</v>
      </c>
      <c r="E4445" s="24" t="s">
        <v>8</v>
      </c>
      <c r="F4445" s="24" t="s">
        <v>42</v>
      </c>
      <c r="G4445" s="24" t="s">
        <v>8</v>
      </c>
      <c r="H4445" s="24" t="s">
        <v>53</v>
      </c>
      <c r="I4445" s="27">
        <v>219.71</v>
      </c>
    </row>
    <row r="4446" spans="2:9" ht="16">
      <c r="B4446" s="24" t="s">
        <v>51</v>
      </c>
      <c r="C4446" s="24" t="s">
        <v>6</v>
      </c>
      <c r="D4446" s="24" t="s">
        <v>3490</v>
      </c>
      <c r="E4446" s="24" t="s">
        <v>8</v>
      </c>
      <c r="F4446" s="24" t="s">
        <v>42</v>
      </c>
      <c r="G4446" s="24" t="s">
        <v>8</v>
      </c>
      <c r="H4446" s="24" t="s">
        <v>3491</v>
      </c>
      <c r="I4446" s="27">
        <v>2543.79</v>
      </c>
    </row>
    <row r="4447" spans="2:9" ht="16">
      <c r="B4447" s="24" t="s">
        <v>51</v>
      </c>
      <c r="C4447" s="24" t="s">
        <v>6</v>
      </c>
      <c r="D4447" s="24" t="s">
        <v>3492</v>
      </c>
      <c r="E4447" s="24" t="s">
        <v>8</v>
      </c>
      <c r="F4447" s="24" t="s">
        <v>42</v>
      </c>
      <c r="G4447" s="24" t="s">
        <v>8</v>
      </c>
      <c r="H4447" s="24" t="s">
        <v>3491</v>
      </c>
      <c r="I4447" s="27">
        <v>2137.45</v>
      </c>
    </row>
    <row r="4448" spans="2:9" ht="16">
      <c r="B4448" s="24" t="s">
        <v>8</v>
      </c>
      <c r="C4448" s="24" t="s">
        <v>6</v>
      </c>
      <c r="D4448" s="24" t="s">
        <v>58</v>
      </c>
      <c r="E4448" s="24" t="s">
        <v>8</v>
      </c>
      <c r="F4448" s="24" t="s">
        <v>42</v>
      </c>
      <c r="G4448" s="24" t="s">
        <v>8</v>
      </c>
      <c r="H4448" s="24" t="s">
        <v>3493</v>
      </c>
      <c r="I4448" s="27">
        <v>192.18</v>
      </c>
    </row>
    <row r="4449" spans="2:9" ht="16">
      <c r="B4449" s="24" t="s">
        <v>51</v>
      </c>
      <c r="C4449" s="24" t="s">
        <v>6</v>
      </c>
      <c r="D4449" s="24" t="s">
        <v>55</v>
      </c>
      <c r="E4449" s="24" t="s">
        <v>8</v>
      </c>
      <c r="F4449" s="24" t="s">
        <v>42</v>
      </c>
      <c r="G4449" s="24" t="s">
        <v>8</v>
      </c>
      <c r="H4449" s="24" t="s">
        <v>3494</v>
      </c>
      <c r="I4449" s="27">
        <v>557.95</v>
      </c>
    </row>
    <row r="4450" spans="2:9" ht="16">
      <c r="B4450" s="24" t="s">
        <v>51</v>
      </c>
      <c r="C4450" s="24" t="s">
        <v>6</v>
      </c>
      <c r="D4450" s="24" t="s">
        <v>59</v>
      </c>
      <c r="E4450" s="24" t="s">
        <v>8</v>
      </c>
      <c r="F4450" s="24" t="s">
        <v>42</v>
      </c>
      <c r="G4450" s="24" t="s">
        <v>8</v>
      </c>
      <c r="H4450" s="24" t="s">
        <v>3494</v>
      </c>
      <c r="I4450" s="27">
        <v>963.73</v>
      </c>
    </row>
    <row r="4451" spans="2:9" ht="16">
      <c r="B4451" s="24" t="s">
        <v>51</v>
      </c>
      <c r="C4451" s="24" t="s">
        <v>6</v>
      </c>
      <c r="D4451" s="24" t="s">
        <v>22</v>
      </c>
      <c r="E4451" s="24" t="s">
        <v>8</v>
      </c>
      <c r="F4451" s="24" t="s">
        <v>42</v>
      </c>
      <c r="G4451" s="24" t="s">
        <v>8</v>
      </c>
      <c r="H4451" s="24" t="s">
        <v>3494</v>
      </c>
      <c r="I4451" s="27">
        <v>480.44</v>
      </c>
    </row>
    <row r="4452" spans="2:9" ht="16">
      <c r="B4452" s="24" t="s">
        <v>51</v>
      </c>
      <c r="C4452" s="24" t="s">
        <v>6</v>
      </c>
      <c r="D4452" s="24" t="s">
        <v>52</v>
      </c>
      <c r="E4452" s="24" t="s">
        <v>8</v>
      </c>
      <c r="F4452" s="24" t="s">
        <v>42</v>
      </c>
      <c r="G4452" s="24" t="s">
        <v>8</v>
      </c>
      <c r="H4452" s="24" t="s">
        <v>3494</v>
      </c>
      <c r="I4452" s="27">
        <v>720.67</v>
      </c>
    </row>
    <row r="4453" spans="2:9" ht="16">
      <c r="B4453" s="24" t="s">
        <v>51</v>
      </c>
      <c r="C4453" s="24" t="s">
        <v>6</v>
      </c>
      <c r="D4453" s="24" t="s">
        <v>61</v>
      </c>
      <c r="E4453" s="24" t="s">
        <v>8</v>
      </c>
      <c r="F4453" s="24" t="s">
        <v>42</v>
      </c>
      <c r="G4453" s="24" t="s">
        <v>8</v>
      </c>
      <c r="H4453" s="24" t="s">
        <v>3494</v>
      </c>
      <c r="I4453" s="27">
        <v>1869.99</v>
      </c>
    </row>
    <row r="4454" spans="2:9" ht="16">
      <c r="B4454" s="24" t="s">
        <v>51</v>
      </c>
      <c r="C4454" s="24" t="s">
        <v>6</v>
      </c>
      <c r="D4454" s="24" t="s">
        <v>376</v>
      </c>
      <c r="E4454" s="24" t="s">
        <v>8</v>
      </c>
      <c r="F4454" s="24" t="s">
        <v>42</v>
      </c>
      <c r="G4454" s="24" t="s">
        <v>8</v>
      </c>
      <c r="H4454" s="24" t="s">
        <v>3494</v>
      </c>
      <c r="I4454" s="27">
        <v>251.32</v>
      </c>
    </row>
    <row r="4455" spans="2:9" ht="16">
      <c r="B4455" s="24" t="s">
        <v>51</v>
      </c>
      <c r="C4455" s="24" t="s">
        <v>6</v>
      </c>
      <c r="D4455" s="24" t="s">
        <v>322</v>
      </c>
      <c r="E4455" s="24" t="s">
        <v>8</v>
      </c>
      <c r="F4455" s="24" t="s">
        <v>42</v>
      </c>
      <c r="G4455" s="24" t="s">
        <v>8</v>
      </c>
      <c r="H4455" s="24" t="s">
        <v>3494</v>
      </c>
      <c r="I4455" s="27">
        <v>196.75</v>
      </c>
    </row>
    <row r="4456" spans="2:9" ht="16">
      <c r="B4456" s="24" t="s">
        <v>51</v>
      </c>
      <c r="C4456" s="24" t="s">
        <v>6</v>
      </c>
      <c r="D4456" s="24" t="s">
        <v>170</v>
      </c>
      <c r="E4456" s="24" t="s">
        <v>8</v>
      </c>
      <c r="F4456" s="24" t="s">
        <v>42</v>
      </c>
      <c r="G4456" s="24" t="s">
        <v>8</v>
      </c>
      <c r="H4456" s="24" t="s">
        <v>3495</v>
      </c>
      <c r="I4456" s="27">
        <v>1537.42</v>
      </c>
    </row>
    <row r="4457" spans="2:9" ht="16">
      <c r="B4457" s="24" t="s">
        <v>51</v>
      </c>
      <c r="C4457" s="24" t="s">
        <v>6</v>
      </c>
      <c r="D4457" s="24" t="s">
        <v>281</v>
      </c>
      <c r="E4457" s="24" t="s">
        <v>8</v>
      </c>
      <c r="F4457" s="24" t="s">
        <v>42</v>
      </c>
      <c r="G4457" s="24" t="s">
        <v>8</v>
      </c>
      <c r="H4457" s="24" t="s">
        <v>3495</v>
      </c>
      <c r="I4457" s="27">
        <v>1297.19</v>
      </c>
    </row>
    <row r="4458" spans="2:9" ht="16">
      <c r="B4458" s="24" t="s">
        <v>51</v>
      </c>
      <c r="C4458" s="24" t="s">
        <v>6</v>
      </c>
      <c r="D4458" s="24" t="s">
        <v>56</v>
      </c>
      <c r="E4458" s="24" t="s">
        <v>8</v>
      </c>
      <c r="F4458" s="24" t="s">
        <v>42</v>
      </c>
      <c r="G4458" s="24" t="s">
        <v>8</v>
      </c>
      <c r="H4458" s="24" t="s">
        <v>3495</v>
      </c>
      <c r="I4458" s="27">
        <v>1152.45</v>
      </c>
    </row>
    <row r="4459" spans="2:9" ht="16">
      <c r="B4459" s="24" t="s">
        <v>51</v>
      </c>
      <c r="C4459" s="24" t="s">
        <v>6</v>
      </c>
      <c r="D4459" s="24" t="s">
        <v>740</v>
      </c>
      <c r="E4459" s="24" t="s">
        <v>8</v>
      </c>
      <c r="F4459" s="24" t="s">
        <v>42</v>
      </c>
      <c r="G4459" s="24" t="s">
        <v>8</v>
      </c>
      <c r="H4459" s="24" t="s">
        <v>3495</v>
      </c>
      <c r="I4459" s="27">
        <v>1537.42</v>
      </c>
    </row>
    <row r="4460" spans="2:9" ht="16">
      <c r="B4460" s="24" t="s">
        <v>51</v>
      </c>
      <c r="C4460" s="24" t="s">
        <v>6</v>
      </c>
      <c r="D4460" s="24" t="s">
        <v>168</v>
      </c>
      <c r="E4460" s="24" t="s">
        <v>8</v>
      </c>
      <c r="F4460" s="24" t="s">
        <v>42</v>
      </c>
      <c r="G4460" s="24" t="s">
        <v>8</v>
      </c>
      <c r="H4460" s="24" t="s">
        <v>3495</v>
      </c>
      <c r="I4460" s="27">
        <v>528.49</v>
      </c>
    </row>
    <row r="4461" spans="2:9" ht="16">
      <c r="B4461" s="24" t="s">
        <v>51</v>
      </c>
      <c r="C4461" s="24" t="s">
        <v>6</v>
      </c>
      <c r="D4461" s="24" t="s">
        <v>54</v>
      </c>
      <c r="E4461" s="24" t="s">
        <v>8</v>
      </c>
      <c r="F4461" s="24" t="s">
        <v>42</v>
      </c>
      <c r="G4461" s="24" t="s">
        <v>8</v>
      </c>
      <c r="H4461" s="24" t="s">
        <v>3495</v>
      </c>
      <c r="I4461" s="27">
        <v>528.49</v>
      </c>
    </row>
    <row r="4462" spans="2:9" ht="16">
      <c r="B4462" s="24" t="s">
        <v>51</v>
      </c>
      <c r="C4462" s="24" t="s">
        <v>6</v>
      </c>
      <c r="D4462" s="24" t="s">
        <v>110</v>
      </c>
      <c r="E4462" s="24" t="s">
        <v>8</v>
      </c>
      <c r="F4462" s="24" t="s">
        <v>42</v>
      </c>
      <c r="G4462" s="24" t="s">
        <v>8</v>
      </c>
      <c r="H4462" s="24" t="s">
        <v>3495</v>
      </c>
      <c r="I4462" s="27">
        <v>384.35</v>
      </c>
    </row>
    <row r="4463" spans="2:9" ht="16">
      <c r="B4463" s="24" t="s">
        <v>51</v>
      </c>
      <c r="C4463" s="24" t="s">
        <v>6</v>
      </c>
      <c r="D4463" s="24" t="s">
        <v>165</v>
      </c>
      <c r="E4463" s="24" t="s">
        <v>8</v>
      </c>
      <c r="F4463" s="24" t="s">
        <v>42</v>
      </c>
      <c r="G4463" s="24" t="s">
        <v>8</v>
      </c>
      <c r="H4463" s="24" t="s">
        <v>3495</v>
      </c>
      <c r="I4463" s="27">
        <v>528.49</v>
      </c>
    </row>
    <row r="4464" spans="2:9" ht="16">
      <c r="B4464" s="24" t="s">
        <v>51</v>
      </c>
      <c r="C4464" s="24" t="s">
        <v>6</v>
      </c>
      <c r="D4464" s="24" t="s">
        <v>285</v>
      </c>
      <c r="E4464" s="24" t="s">
        <v>8</v>
      </c>
      <c r="F4464" s="24" t="s">
        <v>42</v>
      </c>
      <c r="G4464" s="24" t="s">
        <v>8</v>
      </c>
      <c r="H4464" s="24" t="s">
        <v>3495</v>
      </c>
      <c r="I4464" s="27">
        <v>384.36</v>
      </c>
    </row>
    <row r="4465" spans="2:9" ht="16">
      <c r="B4465" s="24" t="s">
        <v>51</v>
      </c>
      <c r="C4465" s="24" t="s">
        <v>6</v>
      </c>
      <c r="D4465" s="24" t="s">
        <v>283</v>
      </c>
      <c r="E4465" s="24" t="s">
        <v>8</v>
      </c>
      <c r="F4465" s="24" t="s">
        <v>42</v>
      </c>
      <c r="G4465" s="24" t="s">
        <v>8</v>
      </c>
      <c r="H4465" s="24" t="s">
        <v>3495</v>
      </c>
      <c r="I4465" s="27">
        <v>960.88</v>
      </c>
    </row>
    <row r="4466" spans="2:9" ht="16">
      <c r="B4466" s="24" t="s">
        <v>51</v>
      </c>
      <c r="C4466" s="24" t="s">
        <v>6</v>
      </c>
      <c r="D4466" s="24" t="s">
        <v>34</v>
      </c>
      <c r="E4466" s="24" t="s">
        <v>8</v>
      </c>
      <c r="F4466" s="24" t="s">
        <v>42</v>
      </c>
      <c r="G4466" s="24" t="s">
        <v>8</v>
      </c>
      <c r="H4466" s="24" t="s">
        <v>3495</v>
      </c>
      <c r="I4466" s="27">
        <v>1776.72</v>
      </c>
    </row>
    <row r="4467" spans="2:9" ht="16">
      <c r="B4467" s="24" t="s">
        <v>51</v>
      </c>
      <c r="C4467" s="24" t="s">
        <v>6</v>
      </c>
      <c r="D4467" s="24" t="s">
        <v>280</v>
      </c>
      <c r="E4467" s="24" t="s">
        <v>8</v>
      </c>
      <c r="F4467" s="24" t="s">
        <v>42</v>
      </c>
      <c r="G4467" s="24" t="s">
        <v>8</v>
      </c>
      <c r="H4467" s="24" t="s">
        <v>3495</v>
      </c>
      <c r="I4467" s="27">
        <v>432.41</v>
      </c>
    </row>
    <row r="4468" spans="2:9" ht="16">
      <c r="B4468" s="24" t="s">
        <v>51</v>
      </c>
      <c r="C4468" s="24" t="s">
        <v>6</v>
      </c>
      <c r="D4468" s="24" t="s">
        <v>235</v>
      </c>
      <c r="E4468" s="24" t="s">
        <v>8</v>
      </c>
      <c r="F4468" s="24" t="s">
        <v>42</v>
      </c>
      <c r="G4468" s="24" t="s">
        <v>8</v>
      </c>
      <c r="H4468" s="24" t="s">
        <v>3495</v>
      </c>
      <c r="I4468" s="27">
        <v>96.08</v>
      </c>
    </row>
    <row r="4469" spans="2:9" ht="16">
      <c r="B4469" s="24" t="s">
        <v>51</v>
      </c>
      <c r="C4469" s="24" t="s">
        <v>6</v>
      </c>
      <c r="D4469" s="24" t="s">
        <v>670</v>
      </c>
      <c r="E4469" s="24" t="s">
        <v>8</v>
      </c>
      <c r="F4469" s="24" t="s">
        <v>42</v>
      </c>
      <c r="G4469" s="24" t="s">
        <v>8</v>
      </c>
      <c r="H4469" s="24" t="s">
        <v>3495</v>
      </c>
      <c r="I4469" s="27">
        <v>1441.34</v>
      </c>
    </row>
    <row r="4470" spans="2:9" ht="16">
      <c r="B4470" s="24" t="s">
        <v>51</v>
      </c>
      <c r="C4470" s="24" t="s">
        <v>6</v>
      </c>
      <c r="D4470" s="24" t="s">
        <v>419</v>
      </c>
      <c r="E4470" s="24" t="s">
        <v>8</v>
      </c>
      <c r="F4470" s="24" t="s">
        <v>42</v>
      </c>
      <c r="G4470" s="24" t="s">
        <v>8</v>
      </c>
      <c r="H4470" s="24" t="s">
        <v>3495</v>
      </c>
      <c r="I4470" s="27">
        <v>1201.1</v>
      </c>
    </row>
    <row r="4471" spans="2:9" ht="16">
      <c r="B4471" s="24" t="s">
        <v>51</v>
      </c>
      <c r="C4471" s="24" t="s">
        <v>6</v>
      </c>
      <c r="D4471" s="24" t="s">
        <v>738</v>
      </c>
      <c r="E4471" s="24" t="s">
        <v>8</v>
      </c>
      <c r="F4471" s="24" t="s">
        <v>42</v>
      </c>
      <c r="G4471" s="24" t="s">
        <v>8</v>
      </c>
      <c r="H4471" s="24" t="s">
        <v>3495</v>
      </c>
      <c r="I4471" s="27">
        <v>1537.42</v>
      </c>
    </row>
    <row r="4472" spans="2:9" ht="16">
      <c r="B4472" s="24" t="s">
        <v>51</v>
      </c>
      <c r="C4472" s="24" t="s">
        <v>6</v>
      </c>
      <c r="D4472" s="24" t="s">
        <v>166</v>
      </c>
      <c r="E4472" s="24" t="s">
        <v>8</v>
      </c>
      <c r="F4472" s="24" t="s">
        <v>42</v>
      </c>
      <c r="G4472" s="24" t="s">
        <v>8</v>
      </c>
      <c r="H4472" s="24" t="s">
        <v>3496</v>
      </c>
      <c r="I4472" s="27">
        <v>1056.97</v>
      </c>
    </row>
    <row r="4473" spans="2:9" ht="16">
      <c r="B4473" s="24" t="s">
        <v>51</v>
      </c>
      <c r="C4473" s="24" t="s">
        <v>6</v>
      </c>
      <c r="D4473" s="24" t="s">
        <v>183</v>
      </c>
      <c r="E4473" s="24" t="s">
        <v>8</v>
      </c>
      <c r="F4473" s="24" t="s">
        <v>42</v>
      </c>
      <c r="G4473" s="24" t="s">
        <v>8</v>
      </c>
      <c r="H4473" s="24" t="s">
        <v>3497</v>
      </c>
      <c r="I4473" s="27">
        <v>1537.42</v>
      </c>
    </row>
    <row r="4474" spans="2:9" ht="16">
      <c r="B4474" s="24" t="s">
        <v>51</v>
      </c>
      <c r="C4474" s="24" t="s">
        <v>6</v>
      </c>
      <c r="D4474" s="24" t="s">
        <v>61</v>
      </c>
      <c r="E4474" s="24" t="s">
        <v>8</v>
      </c>
      <c r="F4474" s="24" t="s">
        <v>42</v>
      </c>
      <c r="G4474" s="24" t="s">
        <v>8</v>
      </c>
      <c r="H4474" s="24" t="s">
        <v>3498</v>
      </c>
      <c r="I4474" s="27">
        <v>527.31</v>
      </c>
    </row>
    <row r="4475" spans="2:9" ht="16">
      <c r="B4475" s="24" t="s">
        <v>51</v>
      </c>
      <c r="C4475" s="24" t="s">
        <v>6</v>
      </c>
      <c r="D4475" s="24" t="s">
        <v>322</v>
      </c>
      <c r="E4475" s="24" t="s">
        <v>8</v>
      </c>
      <c r="F4475" s="24" t="s">
        <v>42</v>
      </c>
      <c r="G4475" s="24" t="s">
        <v>8</v>
      </c>
      <c r="H4475" s="24" t="s">
        <v>3499</v>
      </c>
      <c r="I4475" s="27">
        <v>219.71</v>
      </c>
    </row>
    <row r="4476" spans="2:9" ht="16">
      <c r="B4476" s="24" t="s">
        <v>8</v>
      </c>
      <c r="C4476" s="24" t="s">
        <v>6</v>
      </c>
      <c r="D4476" s="24" t="s">
        <v>58</v>
      </c>
      <c r="E4476" s="24" t="s">
        <v>8</v>
      </c>
      <c r="F4476" s="24" t="s">
        <v>42</v>
      </c>
      <c r="G4476" s="24" t="s">
        <v>8</v>
      </c>
      <c r="H4476" s="24" t="s">
        <v>3499</v>
      </c>
      <c r="I4476" s="27">
        <v>219.71</v>
      </c>
    </row>
    <row r="4477" spans="2:9" ht="16">
      <c r="B4477" s="24" t="s">
        <v>51</v>
      </c>
      <c r="C4477" s="24" t="s">
        <v>6</v>
      </c>
      <c r="D4477" s="24" t="s">
        <v>55</v>
      </c>
      <c r="E4477" s="24" t="s">
        <v>8</v>
      </c>
      <c r="F4477" s="24" t="s">
        <v>42</v>
      </c>
      <c r="G4477" s="24" t="s">
        <v>8</v>
      </c>
      <c r="H4477" s="24" t="s">
        <v>3499</v>
      </c>
      <c r="I4477" s="27">
        <v>219.71</v>
      </c>
    </row>
    <row r="4478" spans="2:9" ht="16">
      <c r="B4478" s="24" t="s">
        <v>51</v>
      </c>
      <c r="C4478" s="24" t="s">
        <v>6</v>
      </c>
      <c r="D4478" s="24" t="s">
        <v>376</v>
      </c>
      <c r="E4478" s="24" t="s">
        <v>8</v>
      </c>
      <c r="F4478" s="24" t="s">
        <v>42</v>
      </c>
      <c r="G4478" s="24" t="s">
        <v>8</v>
      </c>
      <c r="H4478" s="24" t="s">
        <v>3499</v>
      </c>
      <c r="I4478" s="27">
        <v>219.71</v>
      </c>
    </row>
    <row r="4479" spans="2:9" ht="16">
      <c r="B4479" s="24" t="s">
        <v>51</v>
      </c>
      <c r="C4479" s="24" t="s">
        <v>6</v>
      </c>
      <c r="D4479" s="24" t="s">
        <v>52</v>
      </c>
      <c r="E4479" s="24" t="s">
        <v>8</v>
      </c>
      <c r="F4479" s="24" t="s">
        <v>42</v>
      </c>
      <c r="G4479" s="24" t="s">
        <v>8</v>
      </c>
      <c r="H4479" s="24" t="s">
        <v>3499</v>
      </c>
      <c r="I4479" s="27">
        <v>219.71</v>
      </c>
    </row>
    <row r="4480" spans="2:9" ht="16">
      <c r="B4480" s="24" t="s">
        <v>51</v>
      </c>
      <c r="C4480" s="24" t="s">
        <v>6</v>
      </c>
      <c r="D4480" s="24" t="s">
        <v>22</v>
      </c>
      <c r="E4480" s="24" t="s">
        <v>8</v>
      </c>
      <c r="F4480" s="24" t="s">
        <v>42</v>
      </c>
      <c r="G4480" s="24" t="s">
        <v>8</v>
      </c>
      <c r="H4480" s="24" t="s">
        <v>3499</v>
      </c>
      <c r="I4480" s="27">
        <v>219.71</v>
      </c>
    </row>
    <row r="4481" spans="2:9" ht="16">
      <c r="B4481" s="24" t="s">
        <v>51</v>
      </c>
      <c r="C4481" s="24" t="s">
        <v>6</v>
      </c>
      <c r="D4481" s="24" t="s">
        <v>59</v>
      </c>
      <c r="E4481" s="24" t="s">
        <v>8</v>
      </c>
      <c r="F4481" s="24" t="s">
        <v>42</v>
      </c>
      <c r="G4481" s="24" t="s">
        <v>8</v>
      </c>
      <c r="H4481" s="24" t="s">
        <v>3499</v>
      </c>
      <c r="I4481" s="27">
        <v>219.71</v>
      </c>
    </row>
    <row r="4482" spans="2:9" ht="16">
      <c r="B4482" s="24" t="s">
        <v>8</v>
      </c>
      <c r="C4482" s="24" t="s">
        <v>6</v>
      </c>
      <c r="D4482" s="24" t="s">
        <v>60</v>
      </c>
      <c r="E4482" s="24" t="s">
        <v>8</v>
      </c>
      <c r="F4482" s="24" t="s">
        <v>42</v>
      </c>
      <c r="G4482" s="24" t="s">
        <v>8</v>
      </c>
      <c r="H4482" s="24" t="s">
        <v>3500</v>
      </c>
      <c r="I4482" s="27">
        <v>219.71</v>
      </c>
    </row>
    <row r="4483" spans="2:9" ht="16">
      <c r="B4483" s="24" t="s">
        <v>51</v>
      </c>
      <c r="C4483" s="24" t="s">
        <v>6</v>
      </c>
      <c r="D4483" s="24" t="s">
        <v>281</v>
      </c>
      <c r="E4483" s="24" t="s">
        <v>8</v>
      </c>
      <c r="F4483" s="24" t="s">
        <v>42</v>
      </c>
      <c r="G4483" s="24" t="s">
        <v>8</v>
      </c>
      <c r="H4483" s="24" t="s">
        <v>3501</v>
      </c>
      <c r="I4483" s="27">
        <v>655.69</v>
      </c>
    </row>
    <row r="4484" spans="2:9" ht="16">
      <c r="B4484" s="24" t="s">
        <v>51</v>
      </c>
      <c r="C4484" s="24" t="s">
        <v>6</v>
      </c>
      <c r="D4484" s="24" t="s">
        <v>670</v>
      </c>
      <c r="E4484" s="24" t="s">
        <v>8</v>
      </c>
      <c r="F4484" s="24" t="s">
        <v>42</v>
      </c>
      <c r="G4484" s="24" t="s">
        <v>8</v>
      </c>
      <c r="H4484" s="24" t="s">
        <v>3501</v>
      </c>
      <c r="I4484" s="27">
        <v>621.07</v>
      </c>
    </row>
    <row r="4485" spans="2:9" ht="16">
      <c r="B4485" s="24" t="s">
        <v>51</v>
      </c>
      <c r="C4485" s="24" t="s">
        <v>6</v>
      </c>
      <c r="D4485" s="24" t="s">
        <v>283</v>
      </c>
      <c r="E4485" s="24" t="s">
        <v>8</v>
      </c>
      <c r="F4485" s="24" t="s">
        <v>42</v>
      </c>
      <c r="G4485" s="24" t="s">
        <v>8</v>
      </c>
      <c r="H4485" s="24" t="s">
        <v>3501</v>
      </c>
      <c r="I4485" s="27">
        <v>655.69</v>
      </c>
    </row>
    <row r="4486" spans="2:9" ht="16">
      <c r="B4486" s="24" t="s">
        <v>51</v>
      </c>
      <c r="C4486" s="24" t="s">
        <v>6</v>
      </c>
      <c r="D4486" s="24" t="s">
        <v>285</v>
      </c>
      <c r="E4486" s="24" t="s">
        <v>8</v>
      </c>
      <c r="F4486" s="24" t="s">
        <v>42</v>
      </c>
      <c r="G4486" s="24" t="s">
        <v>8</v>
      </c>
      <c r="H4486" s="24" t="s">
        <v>3501</v>
      </c>
      <c r="I4486" s="27">
        <v>655.68</v>
      </c>
    </row>
    <row r="4487" spans="2:9" ht="16">
      <c r="B4487" s="24" t="s">
        <v>51</v>
      </c>
      <c r="C4487" s="24" t="s">
        <v>6</v>
      </c>
      <c r="D4487" s="24" t="s">
        <v>56</v>
      </c>
      <c r="E4487" s="24" t="s">
        <v>8</v>
      </c>
      <c r="F4487" s="24" t="s">
        <v>42</v>
      </c>
      <c r="G4487" s="24" t="s">
        <v>8</v>
      </c>
      <c r="H4487" s="24" t="s">
        <v>3501</v>
      </c>
      <c r="I4487" s="27">
        <v>512.08</v>
      </c>
    </row>
    <row r="4488" spans="2:9" ht="16">
      <c r="B4488" s="24" t="s">
        <v>51</v>
      </c>
      <c r="C4488" s="24" t="s">
        <v>6</v>
      </c>
      <c r="D4488" s="24" t="s">
        <v>168</v>
      </c>
      <c r="E4488" s="24" t="s">
        <v>8</v>
      </c>
      <c r="F4488" s="24" t="s">
        <v>42</v>
      </c>
      <c r="G4488" s="24" t="s">
        <v>8</v>
      </c>
      <c r="H4488" s="24" t="s">
        <v>3501</v>
      </c>
      <c r="I4488" s="27">
        <v>218.56</v>
      </c>
    </row>
    <row r="4489" spans="2:9" ht="16">
      <c r="B4489" s="24" t="s">
        <v>51</v>
      </c>
      <c r="C4489" s="24" t="s">
        <v>6</v>
      </c>
      <c r="D4489" s="24" t="s">
        <v>170</v>
      </c>
      <c r="E4489" s="24" t="s">
        <v>8</v>
      </c>
      <c r="F4489" s="24" t="s">
        <v>42</v>
      </c>
      <c r="G4489" s="24" t="s">
        <v>8</v>
      </c>
      <c r="H4489" s="24" t="s">
        <v>3501</v>
      </c>
      <c r="I4489" s="27">
        <v>219.71</v>
      </c>
    </row>
    <row r="4490" spans="2:9" ht="16">
      <c r="B4490" s="24" t="s">
        <v>51</v>
      </c>
      <c r="C4490" s="24" t="s">
        <v>6</v>
      </c>
      <c r="D4490" s="24" t="s">
        <v>34</v>
      </c>
      <c r="E4490" s="24" t="s">
        <v>8</v>
      </c>
      <c r="F4490" s="24" t="s">
        <v>42</v>
      </c>
      <c r="G4490" s="24" t="s">
        <v>8</v>
      </c>
      <c r="H4490" s="24" t="s">
        <v>3501</v>
      </c>
      <c r="I4490" s="27">
        <v>512.08</v>
      </c>
    </row>
    <row r="4491" spans="2:9" ht="16">
      <c r="B4491" s="24" t="s">
        <v>51</v>
      </c>
      <c r="C4491" s="24" t="s">
        <v>6</v>
      </c>
      <c r="D4491" s="24" t="s">
        <v>419</v>
      </c>
      <c r="E4491" s="24" t="s">
        <v>8</v>
      </c>
      <c r="F4491" s="24" t="s">
        <v>42</v>
      </c>
      <c r="G4491" s="24" t="s">
        <v>8</v>
      </c>
      <c r="H4491" s="24" t="s">
        <v>3501</v>
      </c>
      <c r="I4491" s="27">
        <v>640.84</v>
      </c>
    </row>
    <row r="4492" spans="2:9" ht="16">
      <c r="B4492" s="24" t="s">
        <v>51</v>
      </c>
      <c r="C4492" s="24" t="s">
        <v>6</v>
      </c>
      <c r="D4492" s="24" t="s">
        <v>740</v>
      </c>
      <c r="E4492" s="24" t="s">
        <v>8</v>
      </c>
      <c r="F4492" s="24" t="s">
        <v>42</v>
      </c>
      <c r="G4492" s="24" t="s">
        <v>8</v>
      </c>
      <c r="H4492" s="24" t="s">
        <v>3501</v>
      </c>
      <c r="I4492" s="27">
        <v>621.06</v>
      </c>
    </row>
    <row r="4493" spans="2:9" ht="16">
      <c r="B4493" s="24" t="s">
        <v>51</v>
      </c>
      <c r="C4493" s="24" t="s">
        <v>6</v>
      </c>
      <c r="D4493" s="24" t="s">
        <v>122</v>
      </c>
      <c r="E4493" s="24" t="s">
        <v>8</v>
      </c>
      <c r="F4493" s="24" t="s">
        <v>42</v>
      </c>
      <c r="G4493" s="24" t="s">
        <v>8</v>
      </c>
      <c r="H4493" s="24" t="s">
        <v>3501</v>
      </c>
      <c r="I4493" s="27">
        <v>219.71</v>
      </c>
    </row>
    <row r="4494" spans="2:9" ht="16">
      <c r="B4494" s="24" t="s">
        <v>51</v>
      </c>
      <c r="C4494" s="24" t="s">
        <v>6</v>
      </c>
      <c r="D4494" s="24" t="s">
        <v>133</v>
      </c>
      <c r="E4494" s="24" t="s">
        <v>8</v>
      </c>
      <c r="F4494" s="24" t="s">
        <v>42</v>
      </c>
      <c r="G4494" s="24" t="s">
        <v>8</v>
      </c>
      <c r="H4494" s="24" t="s">
        <v>3501</v>
      </c>
      <c r="I4494" s="27">
        <v>219.04</v>
      </c>
    </row>
    <row r="4495" spans="2:9" ht="16">
      <c r="B4495" s="24" t="s">
        <v>51</v>
      </c>
      <c r="C4495" s="24" t="s">
        <v>6</v>
      </c>
      <c r="D4495" s="24" t="s">
        <v>54</v>
      </c>
      <c r="E4495" s="24" t="s">
        <v>8</v>
      </c>
      <c r="F4495" s="24" t="s">
        <v>42</v>
      </c>
      <c r="G4495" s="24" t="s">
        <v>8</v>
      </c>
      <c r="H4495" s="24" t="s">
        <v>3501</v>
      </c>
      <c r="I4495" s="27">
        <v>219.71</v>
      </c>
    </row>
    <row r="4496" spans="2:9" ht="16">
      <c r="B4496" s="24" t="s">
        <v>51</v>
      </c>
      <c r="C4496" s="24" t="s">
        <v>6</v>
      </c>
      <c r="D4496" s="24" t="s">
        <v>110</v>
      </c>
      <c r="E4496" s="24" t="s">
        <v>8</v>
      </c>
      <c r="F4496" s="24" t="s">
        <v>42</v>
      </c>
      <c r="G4496" s="24" t="s">
        <v>8</v>
      </c>
      <c r="H4496" s="24" t="s">
        <v>3501</v>
      </c>
      <c r="I4496" s="27">
        <v>219.73</v>
      </c>
    </row>
    <row r="4497" spans="2:9" ht="16">
      <c r="B4497" s="24" t="s">
        <v>51</v>
      </c>
      <c r="C4497" s="24" t="s">
        <v>6</v>
      </c>
      <c r="D4497" s="24" t="s">
        <v>165</v>
      </c>
      <c r="E4497" s="24" t="s">
        <v>8</v>
      </c>
      <c r="F4497" s="24" t="s">
        <v>42</v>
      </c>
      <c r="G4497" s="24" t="s">
        <v>8</v>
      </c>
      <c r="H4497" s="24" t="s">
        <v>3501</v>
      </c>
      <c r="I4497" s="27">
        <v>655.69</v>
      </c>
    </row>
    <row r="4498" spans="2:9" ht="16">
      <c r="B4498" s="24" t="s">
        <v>51</v>
      </c>
      <c r="C4498" s="24" t="s">
        <v>6</v>
      </c>
      <c r="D4498" s="24" t="s">
        <v>183</v>
      </c>
      <c r="E4498" s="24" t="s">
        <v>8</v>
      </c>
      <c r="F4498" s="24" t="s">
        <v>42</v>
      </c>
      <c r="G4498" s="24" t="s">
        <v>8</v>
      </c>
      <c r="H4498" s="24" t="s">
        <v>3501</v>
      </c>
      <c r="I4498" s="27">
        <v>655.69</v>
      </c>
    </row>
    <row r="4499" spans="2:9" ht="16">
      <c r="B4499" s="24" t="s">
        <v>51</v>
      </c>
      <c r="C4499" s="24" t="s">
        <v>6</v>
      </c>
      <c r="D4499" s="24" t="s">
        <v>284</v>
      </c>
      <c r="E4499" s="24" t="s">
        <v>8</v>
      </c>
      <c r="F4499" s="24" t="s">
        <v>42</v>
      </c>
      <c r="G4499" s="24" t="s">
        <v>8</v>
      </c>
      <c r="H4499" s="24" t="s">
        <v>3501</v>
      </c>
      <c r="I4499" s="27">
        <v>621.07</v>
      </c>
    </row>
    <row r="4500" spans="2:9" ht="16">
      <c r="B4500" s="24" t="s">
        <v>51</v>
      </c>
      <c r="C4500" s="24" t="s">
        <v>6</v>
      </c>
      <c r="D4500" s="24" t="s">
        <v>280</v>
      </c>
      <c r="E4500" s="24" t="s">
        <v>8</v>
      </c>
      <c r="F4500" s="24" t="s">
        <v>42</v>
      </c>
      <c r="G4500" s="24" t="s">
        <v>8</v>
      </c>
      <c r="H4500" s="24" t="s">
        <v>3501</v>
      </c>
      <c r="I4500" s="27">
        <v>621.07</v>
      </c>
    </row>
    <row r="4501" spans="2:9" ht="16">
      <c r="B4501" s="24" t="s">
        <v>51</v>
      </c>
      <c r="C4501" s="24" t="s">
        <v>6</v>
      </c>
      <c r="D4501" s="24" t="s">
        <v>235</v>
      </c>
      <c r="E4501" s="24" t="s">
        <v>8</v>
      </c>
      <c r="F4501" s="24" t="s">
        <v>42</v>
      </c>
      <c r="G4501" s="24" t="s">
        <v>8</v>
      </c>
      <c r="H4501" s="24" t="s">
        <v>3501</v>
      </c>
      <c r="I4501" s="27">
        <v>218.56</v>
      </c>
    </row>
    <row r="4502" spans="2:9" ht="16">
      <c r="B4502" s="24" t="s">
        <v>51</v>
      </c>
      <c r="C4502" s="24" t="s">
        <v>6</v>
      </c>
      <c r="D4502" s="24" t="s">
        <v>166</v>
      </c>
      <c r="E4502" s="24" t="s">
        <v>8</v>
      </c>
      <c r="F4502" s="24" t="s">
        <v>42</v>
      </c>
      <c r="G4502" s="24" t="s">
        <v>8</v>
      </c>
      <c r="H4502" s="24" t="s">
        <v>3502</v>
      </c>
      <c r="I4502" s="27">
        <v>218.56</v>
      </c>
    </row>
    <row r="4503" spans="1:9" ht="16">
      <c r="A4503" s="35" t="s">
        <v>3503</v>
      </c>
      <c r="I4503" s="28">
        <f>I4442+I4443+I4444+I4445+I4446+I4447+I4448+I4449+I4450+I4451+I4452+I4453+I4454+I4455+I4456+I4457+I4458+I4459+I4460+I4461+I4462+I4463+I4464+I4465+I4466+I4467+I4468+I4469+I4470+I4471+I4472+I4473+I4474+I4475+I4476+I4477+I4478+I4479+I4480+I4481+I4482+I4483+I4484+I4485+I4486+I4487+I4488+I4489+I4490+I4491+I4492+I4493+I4494+I4495+I4496+I4497+I4498+I4499+I4500+I4501+I4502</f>
        <v>41200.82</v>
      </c>
    </row>
    <row r="4504" spans="1:1" ht="16">
      <c r="A4504" s="34" t="s">
        <v>3372</v>
      </c>
    </row>
    <row r="4505" spans="2:9" ht="16">
      <c r="B4505" s="24" t="s">
        <v>3504</v>
      </c>
      <c r="C4505" s="24" t="s">
        <v>6</v>
      </c>
      <c r="D4505" s="24" t="s">
        <v>3505</v>
      </c>
      <c r="E4505" s="24" t="s">
        <v>8</v>
      </c>
      <c r="F4505" s="24" t="s">
        <v>42</v>
      </c>
      <c r="G4505" s="24" t="s">
        <v>8</v>
      </c>
      <c r="H4505" s="24" t="s">
        <v>3506</v>
      </c>
      <c r="I4505" s="27">
        <v>7641.32</v>
      </c>
    </row>
    <row r="4506" spans="2:9" ht="16">
      <c r="B4506" s="24" t="s">
        <v>3487</v>
      </c>
      <c r="C4506" s="24" t="s">
        <v>6</v>
      </c>
      <c r="D4506" s="24" t="s">
        <v>58</v>
      </c>
      <c r="E4506" s="24" t="s">
        <v>8</v>
      </c>
      <c r="F4506" s="24" t="s">
        <v>42</v>
      </c>
      <c r="G4506" s="24" t="s">
        <v>8</v>
      </c>
      <c r="H4506" s="24" t="s">
        <v>3488</v>
      </c>
      <c r="I4506" s="27">
        <v>90.0</v>
      </c>
    </row>
    <row r="4507" spans="2:9" ht="16">
      <c r="B4507" s="24" t="s">
        <v>3487</v>
      </c>
      <c r="C4507" s="24" t="s">
        <v>6</v>
      </c>
      <c r="D4507" s="24" t="s">
        <v>469</v>
      </c>
      <c r="E4507" s="24" t="s">
        <v>8</v>
      </c>
      <c r="F4507" s="24" t="s">
        <v>42</v>
      </c>
      <c r="G4507" s="24" t="s">
        <v>8</v>
      </c>
      <c r="H4507" s="24" t="s">
        <v>3488</v>
      </c>
      <c r="I4507" s="27">
        <v>99.0</v>
      </c>
    </row>
    <row r="4508" spans="2:9" ht="16">
      <c r="B4508" s="24" t="s">
        <v>3487</v>
      </c>
      <c r="C4508" s="24" t="s">
        <v>6</v>
      </c>
      <c r="D4508" s="24" t="s">
        <v>3423</v>
      </c>
      <c r="E4508" s="24" t="s">
        <v>8</v>
      </c>
      <c r="F4508" s="24" t="s">
        <v>42</v>
      </c>
      <c r="G4508" s="24" t="s">
        <v>8</v>
      </c>
      <c r="H4508" s="24" t="s">
        <v>3488</v>
      </c>
      <c r="I4508" s="27">
        <v>90.0</v>
      </c>
    </row>
    <row r="4509" spans="1:9" ht="16">
      <c r="A4509" s="35" t="s">
        <v>3507</v>
      </c>
      <c r="I4509" s="28">
        <f>I4504+I4505+I4506+I4507+I4508</f>
        <v>7920.32</v>
      </c>
    </row>
    <row r="4510" spans="1:1" ht="16">
      <c r="A4510" s="34" t="s">
        <v>3372</v>
      </c>
    </row>
    <row r="4511" spans="2:9" ht="16">
      <c r="B4511" s="24" t="s">
        <v>45</v>
      </c>
      <c r="C4511" s="24" t="s">
        <v>6</v>
      </c>
      <c r="D4511" s="24" t="s">
        <v>49</v>
      </c>
      <c r="E4511" s="24" t="s">
        <v>8</v>
      </c>
      <c r="F4511" s="24" t="s">
        <v>9</v>
      </c>
      <c r="G4511" s="24" t="s">
        <v>8</v>
      </c>
      <c r="H4511" s="24" t="s">
        <v>3508</v>
      </c>
      <c r="I4511" s="27">
        <v>997.18</v>
      </c>
    </row>
    <row r="4512" spans="2:9" ht="16">
      <c r="B4512" s="24" t="s">
        <v>45</v>
      </c>
      <c r="C4512" s="24" t="s">
        <v>6</v>
      </c>
      <c r="D4512" s="24" t="s">
        <v>736</v>
      </c>
      <c r="E4512" s="24" t="s">
        <v>8</v>
      </c>
      <c r="F4512" s="24" t="s">
        <v>9</v>
      </c>
      <c r="G4512" s="24" t="s">
        <v>8</v>
      </c>
      <c r="H4512" s="24" t="s">
        <v>3509</v>
      </c>
      <c r="I4512" s="27">
        <v>1665.95</v>
      </c>
    </row>
    <row r="4513" spans="1:9" ht="16">
      <c r="A4513" s="35" t="s">
        <v>50</v>
      </c>
      <c r="I4513" s="28">
        <f>I4510+I4511+I4512</f>
        <v>2663.13</v>
      </c>
    </row>
    <row r="4514" spans="1:1" ht="16">
      <c r="A4514" s="34" t="s">
        <v>3372</v>
      </c>
    </row>
    <row r="4515" spans="2:9" ht="16">
      <c r="B4515" s="24" t="s">
        <v>51</v>
      </c>
      <c r="C4515" s="24" t="s">
        <v>6</v>
      </c>
      <c r="D4515" s="24" t="s">
        <v>110</v>
      </c>
      <c r="E4515" s="24" t="s">
        <v>8</v>
      </c>
      <c r="F4515" s="24" t="s">
        <v>9</v>
      </c>
      <c r="G4515" s="24" t="s">
        <v>8</v>
      </c>
      <c r="H4515" s="24" t="s">
        <v>3510</v>
      </c>
      <c r="I4515" s="27">
        <v>229.5</v>
      </c>
    </row>
    <row r="4516" spans="1:9" ht="16">
      <c r="A4516" s="35" t="s">
        <v>67</v>
      </c>
      <c r="I4516" s="28">
        <f>I4514+I4515</f>
        <v>229.5</v>
      </c>
    </row>
    <row r="4517" spans="1:9" ht="16">
      <c r="A4517" s="36" t="s">
        <v>3511</v>
      </c>
      <c r="I4517" s="28">
        <f>I4333+I4340+I4343+I4346+I4352+I4356+I4361+I4364+I4367+I4381+I4385+I4391+I4397+I4412+I4415+I4426+I4434+I4437+I4441+I4503+I4509+I4513+I4516</f>
        <v>65162.119999999995</v>
      </c>
    </row>
    <row r="4518" spans="1:1" ht="16">
      <c r="A4518" s="33" t="s">
        <v>3512</v>
      </c>
    </row>
    <row r="4519" spans="1:1" ht="16">
      <c r="A4519" s="34" t="s">
        <v>3513</v>
      </c>
    </row>
    <row r="4520" spans="2:9" ht="16">
      <c r="B4520" s="24" t="s">
        <v>1288</v>
      </c>
      <c r="C4520" s="24" t="s">
        <v>6</v>
      </c>
      <c r="D4520" s="24" t="s">
        <v>259</v>
      </c>
      <c r="E4520" s="24" t="s">
        <v>8</v>
      </c>
      <c r="F4520" s="24" t="s">
        <v>42</v>
      </c>
      <c r="G4520" s="24" t="s">
        <v>8</v>
      </c>
      <c r="H4520" s="24" t="s">
        <v>3514</v>
      </c>
      <c r="I4520" s="27">
        <v>20.0</v>
      </c>
    </row>
    <row r="4521" spans="2:9" ht="16">
      <c r="B4521" s="24" t="s">
        <v>1288</v>
      </c>
      <c r="C4521" s="24" t="s">
        <v>6</v>
      </c>
      <c r="D4521" s="24" t="s">
        <v>728</v>
      </c>
      <c r="E4521" s="24" t="s">
        <v>8</v>
      </c>
      <c r="F4521" s="24" t="s">
        <v>42</v>
      </c>
      <c r="G4521" s="24" t="s">
        <v>8</v>
      </c>
      <c r="H4521" s="24" t="s">
        <v>3514</v>
      </c>
      <c r="I4521" s="27">
        <v>45.0</v>
      </c>
    </row>
    <row r="4522" spans="2:9" ht="16">
      <c r="B4522" s="24" t="s">
        <v>1288</v>
      </c>
      <c r="C4522" s="24" t="s">
        <v>6</v>
      </c>
      <c r="D4522" s="24" t="s">
        <v>58</v>
      </c>
      <c r="E4522" s="24" t="s">
        <v>8</v>
      </c>
      <c r="F4522" s="24" t="s">
        <v>42</v>
      </c>
      <c r="G4522" s="24" t="s">
        <v>8</v>
      </c>
      <c r="H4522" s="24" t="s">
        <v>3515</v>
      </c>
      <c r="I4522" s="27">
        <v>30.64</v>
      </c>
    </row>
    <row r="4523" spans="2:9" ht="16">
      <c r="B4523" s="24" t="s">
        <v>250</v>
      </c>
      <c r="C4523" s="24" t="s">
        <v>6</v>
      </c>
      <c r="D4523" s="24" t="s">
        <v>54</v>
      </c>
      <c r="E4523" s="24" t="s">
        <v>8</v>
      </c>
      <c r="F4523" s="24" t="s">
        <v>42</v>
      </c>
      <c r="G4523" s="24" t="s">
        <v>8</v>
      </c>
      <c r="H4523" s="24" t="s">
        <v>3516</v>
      </c>
      <c r="I4523" s="27">
        <v>61.43</v>
      </c>
    </row>
    <row r="4524" spans="2:9" ht="16">
      <c r="B4524" s="24" t="s">
        <v>3517</v>
      </c>
      <c r="C4524" s="24" t="s">
        <v>6</v>
      </c>
      <c r="D4524" s="24" t="s">
        <v>682</v>
      </c>
      <c r="E4524" s="24" t="s">
        <v>8</v>
      </c>
      <c r="F4524" s="24" t="s">
        <v>42</v>
      </c>
      <c r="G4524" s="24" t="s">
        <v>8</v>
      </c>
      <c r="H4524" s="24" t="s">
        <v>3518</v>
      </c>
      <c r="I4524" s="27">
        <v>62.14</v>
      </c>
    </row>
    <row r="4525" spans="2:9" ht="16">
      <c r="B4525" s="24" t="s">
        <v>250</v>
      </c>
      <c r="C4525" s="24" t="s">
        <v>6</v>
      </c>
      <c r="D4525" s="24" t="s">
        <v>74</v>
      </c>
      <c r="E4525" s="24" t="s">
        <v>8</v>
      </c>
      <c r="F4525" s="24" t="s">
        <v>42</v>
      </c>
      <c r="G4525" s="24" t="s">
        <v>8</v>
      </c>
      <c r="H4525" s="24" t="s">
        <v>3519</v>
      </c>
      <c r="I4525" s="27">
        <v>66.89</v>
      </c>
    </row>
    <row r="4526" spans="2:9" ht="16">
      <c r="B4526" s="24" t="s">
        <v>250</v>
      </c>
      <c r="C4526" s="24" t="s">
        <v>6</v>
      </c>
      <c r="D4526" s="24" t="s">
        <v>3520</v>
      </c>
      <c r="E4526" s="24" t="s">
        <v>8</v>
      </c>
      <c r="F4526" s="24" t="s">
        <v>42</v>
      </c>
      <c r="G4526" s="24" t="s">
        <v>8</v>
      </c>
      <c r="H4526" s="24" t="s">
        <v>3521</v>
      </c>
      <c r="I4526" s="27">
        <v>45.0</v>
      </c>
    </row>
    <row r="4527" spans="2:9" ht="16">
      <c r="B4527" s="24" t="s">
        <v>3522</v>
      </c>
      <c r="C4527" s="24" t="s">
        <v>6</v>
      </c>
      <c r="D4527" s="24" t="s">
        <v>31</v>
      </c>
      <c r="E4527" s="24" t="s">
        <v>8</v>
      </c>
      <c r="F4527" s="24" t="s">
        <v>42</v>
      </c>
      <c r="G4527" s="24" t="s">
        <v>8</v>
      </c>
      <c r="H4527" s="24" t="s">
        <v>3523</v>
      </c>
      <c r="I4527" s="27">
        <v>83.29</v>
      </c>
    </row>
    <row r="4528" spans="2:9" ht="16">
      <c r="B4528" s="24" t="s">
        <v>250</v>
      </c>
      <c r="C4528" s="24" t="s">
        <v>6</v>
      </c>
      <c r="D4528" s="24" t="s">
        <v>91</v>
      </c>
      <c r="E4528" s="24" t="s">
        <v>8</v>
      </c>
      <c r="F4528" s="24" t="s">
        <v>42</v>
      </c>
      <c r="G4528" s="24" t="s">
        <v>8</v>
      </c>
      <c r="H4528" s="24" t="s">
        <v>3524</v>
      </c>
      <c r="I4528" s="27">
        <v>49.0</v>
      </c>
    </row>
    <row r="4529" spans="2:9" ht="16">
      <c r="B4529" s="24" t="s">
        <v>250</v>
      </c>
      <c r="C4529" s="24" t="s">
        <v>6</v>
      </c>
      <c r="D4529" s="24" t="s">
        <v>688</v>
      </c>
      <c r="E4529" s="24" t="s">
        <v>8</v>
      </c>
      <c r="F4529" s="24" t="s">
        <v>42</v>
      </c>
      <c r="G4529" s="24" t="s">
        <v>8</v>
      </c>
      <c r="H4529" s="24" t="s">
        <v>3525</v>
      </c>
      <c r="I4529" s="27">
        <v>63.68</v>
      </c>
    </row>
    <row r="4530" spans="2:9" ht="16">
      <c r="B4530" s="24" t="s">
        <v>250</v>
      </c>
      <c r="C4530" s="24" t="s">
        <v>6</v>
      </c>
      <c r="D4530" s="24" t="s">
        <v>597</v>
      </c>
      <c r="E4530" s="24" t="s">
        <v>8</v>
      </c>
      <c r="F4530" s="24" t="s">
        <v>42</v>
      </c>
      <c r="G4530" s="24" t="s">
        <v>8</v>
      </c>
      <c r="H4530" s="24" t="s">
        <v>3526</v>
      </c>
      <c r="I4530" s="27">
        <v>46.0</v>
      </c>
    </row>
    <row r="4531" spans="2:9" ht="16">
      <c r="B4531" s="24" t="s">
        <v>250</v>
      </c>
      <c r="C4531" s="24" t="s">
        <v>6</v>
      </c>
      <c r="D4531" s="24" t="s">
        <v>110</v>
      </c>
      <c r="E4531" s="24" t="s">
        <v>8</v>
      </c>
      <c r="F4531" s="24" t="s">
        <v>42</v>
      </c>
      <c r="G4531" s="24" t="s">
        <v>8</v>
      </c>
      <c r="H4531" s="24" t="s">
        <v>3527</v>
      </c>
      <c r="I4531" s="27">
        <v>52.93</v>
      </c>
    </row>
    <row r="4532" spans="2:9" ht="16">
      <c r="B4532" s="24" t="s">
        <v>250</v>
      </c>
      <c r="C4532" s="24" t="s">
        <v>6</v>
      </c>
      <c r="D4532" s="24" t="s">
        <v>3528</v>
      </c>
      <c r="E4532" s="24" t="s">
        <v>8</v>
      </c>
      <c r="F4532" s="24" t="s">
        <v>42</v>
      </c>
      <c r="G4532" s="24" t="s">
        <v>8</v>
      </c>
      <c r="H4532" s="24" t="s">
        <v>3529</v>
      </c>
      <c r="I4532" s="27">
        <v>63.94</v>
      </c>
    </row>
    <row r="4533" spans="2:9" ht="16">
      <c r="B4533" s="24" t="s">
        <v>250</v>
      </c>
      <c r="C4533" s="24" t="s">
        <v>6</v>
      </c>
      <c r="D4533" s="24" t="s">
        <v>373</v>
      </c>
      <c r="E4533" s="24" t="s">
        <v>8</v>
      </c>
      <c r="F4533" s="24" t="s">
        <v>42</v>
      </c>
      <c r="G4533" s="24" t="s">
        <v>8</v>
      </c>
      <c r="H4533" s="24" t="s">
        <v>3529</v>
      </c>
      <c r="I4533" s="27">
        <v>45.13</v>
      </c>
    </row>
    <row r="4534" spans="2:9" ht="16">
      <c r="B4534" s="24" t="s">
        <v>250</v>
      </c>
      <c r="C4534" s="24" t="s">
        <v>6</v>
      </c>
      <c r="D4534" s="24" t="s">
        <v>3530</v>
      </c>
      <c r="E4534" s="24" t="s">
        <v>8</v>
      </c>
      <c r="F4534" s="24" t="s">
        <v>42</v>
      </c>
      <c r="G4534" s="24" t="s">
        <v>8</v>
      </c>
      <c r="H4534" s="24" t="s">
        <v>3529</v>
      </c>
      <c r="I4534" s="27">
        <v>63.66</v>
      </c>
    </row>
    <row r="4535" spans="2:9" ht="16">
      <c r="B4535" s="24" t="s">
        <v>250</v>
      </c>
      <c r="C4535" s="24" t="s">
        <v>6</v>
      </c>
      <c r="D4535" s="24" t="s">
        <v>60</v>
      </c>
      <c r="E4535" s="24" t="s">
        <v>8</v>
      </c>
      <c r="F4535" s="24" t="s">
        <v>42</v>
      </c>
      <c r="G4535" s="24" t="s">
        <v>8</v>
      </c>
      <c r="H4535" s="24" t="s">
        <v>3529</v>
      </c>
      <c r="I4535" s="27">
        <v>65.55</v>
      </c>
    </row>
    <row r="4536" spans="2:9" ht="16">
      <c r="B4536" s="24" t="s">
        <v>250</v>
      </c>
      <c r="C4536" s="24" t="s">
        <v>6</v>
      </c>
      <c r="D4536" s="24" t="s">
        <v>431</v>
      </c>
      <c r="E4536" s="24" t="s">
        <v>8</v>
      </c>
      <c r="F4536" s="24" t="s">
        <v>42</v>
      </c>
      <c r="G4536" s="24" t="s">
        <v>8</v>
      </c>
      <c r="H4536" s="24" t="s">
        <v>3529</v>
      </c>
      <c r="I4536" s="27">
        <v>45.5</v>
      </c>
    </row>
    <row r="4537" spans="2:9" ht="16">
      <c r="B4537" s="24" t="s">
        <v>250</v>
      </c>
      <c r="C4537" s="24" t="s">
        <v>6</v>
      </c>
      <c r="D4537" s="24" t="s">
        <v>91</v>
      </c>
      <c r="E4537" s="24" t="s">
        <v>8</v>
      </c>
      <c r="F4537" s="24" t="s">
        <v>42</v>
      </c>
      <c r="G4537" s="24" t="s">
        <v>8</v>
      </c>
      <c r="H4537" s="24" t="s">
        <v>3529</v>
      </c>
      <c r="I4537" s="27">
        <v>58.89</v>
      </c>
    </row>
    <row r="4538" spans="2:9" ht="16">
      <c r="B4538" s="24" t="s">
        <v>250</v>
      </c>
      <c r="C4538" s="24" t="s">
        <v>6</v>
      </c>
      <c r="D4538" s="24" t="s">
        <v>3531</v>
      </c>
      <c r="E4538" s="24" t="s">
        <v>8</v>
      </c>
      <c r="F4538" s="24" t="s">
        <v>42</v>
      </c>
      <c r="G4538" s="24" t="s">
        <v>8</v>
      </c>
      <c r="H4538" s="24" t="s">
        <v>3529</v>
      </c>
      <c r="I4538" s="27">
        <v>68.11</v>
      </c>
    </row>
    <row r="4539" spans="2:9" ht="16">
      <c r="B4539" s="24" t="s">
        <v>250</v>
      </c>
      <c r="C4539" s="24" t="s">
        <v>6</v>
      </c>
      <c r="D4539" s="24" t="s">
        <v>215</v>
      </c>
      <c r="E4539" s="24" t="s">
        <v>8</v>
      </c>
      <c r="F4539" s="24" t="s">
        <v>42</v>
      </c>
      <c r="G4539" s="24" t="s">
        <v>8</v>
      </c>
      <c r="H4539" s="24" t="s">
        <v>3529</v>
      </c>
      <c r="I4539" s="27">
        <v>66.48</v>
      </c>
    </row>
    <row r="4540" spans="2:9" ht="16">
      <c r="B4540" s="24" t="s">
        <v>250</v>
      </c>
      <c r="C4540" s="24" t="s">
        <v>6</v>
      </c>
      <c r="D4540" s="24" t="s">
        <v>104</v>
      </c>
      <c r="E4540" s="24" t="s">
        <v>8</v>
      </c>
      <c r="F4540" s="24" t="s">
        <v>42</v>
      </c>
      <c r="G4540" s="24" t="s">
        <v>8</v>
      </c>
      <c r="H4540" s="24" t="s">
        <v>3529</v>
      </c>
      <c r="I4540" s="27">
        <v>55.86</v>
      </c>
    </row>
    <row r="4541" spans="2:9" ht="16">
      <c r="B4541" s="24" t="s">
        <v>250</v>
      </c>
      <c r="C4541" s="24" t="s">
        <v>6</v>
      </c>
      <c r="D4541" s="24" t="s">
        <v>251</v>
      </c>
      <c r="E4541" s="24" t="s">
        <v>8</v>
      </c>
      <c r="F4541" s="24" t="s">
        <v>42</v>
      </c>
      <c r="G4541" s="24" t="s">
        <v>8</v>
      </c>
      <c r="H4541" s="24" t="s">
        <v>3529</v>
      </c>
      <c r="I4541" s="27">
        <v>60.19</v>
      </c>
    </row>
    <row r="4542" spans="2:9" ht="16">
      <c r="B4542" s="24" t="s">
        <v>250</v>
      </c>
      <c r="C4542" s="24" t="s">
        <v>6</v>
      </c>
      <c r="D4542" s="24" t="s">
        <v>137</v>
      </c>
      <c r="E4542" s="24" t="s">
        <v>8</v>
      </c>
      <c r="F4542" s="24" t="s">
        <v>42</v>
      </c>
      <c r="G4542" s="24" t="s">
        <v>8</v>
      </c>
      <c r="H4542" s="24" t="s">
        <v>3529</v>
      </c>
      <c r="I4542" s="27">
        <v>68.27</v>
      </c>
    </row>
    <row r="4543" spans="2:9" ht="16">
      <c r="B4543" s="24" t="s">
        <v>250</v>
      </c>
      <c r="C4543" s="24" t="s">
        <v>6</v>
      </c>
      <c r="D4543" s="24" t="s">
        <v>417</v>
      </c>
      <c r="E4543" s="24" t="s">
        <v>8</v>
      </c>
      <c r="F4543" s="24" t="s">
        <v>42</v>
      </c>
      <c r="G4543" s="24" t="s">
        <v>8</v>
      </c>
      <c r="H4543" s="24" t="s">
        <v>3529</v>
      </c>
      <c r="I4543" s="27">
        <v>58.79</v>
      </c>
    </row>
    <row r="4544" spans="2:9" ht="16">
      <c r="B4544" s="24" t="s">
        <v>250</v>
      </c>
      <c r="C4544" s="24" t="s">
        <v>6</v>
      </c>
      <c r="D4544" s="24" t="s">
        <v>307</v>
      </c>
      <c r="E4544" s="24" t="s">
        <v>8</v>
      </c>
      <c r="F4544" s="24" t="s">
        <v>42</v>
      </c>
      <c r="G4544" s="24" t="s">
        <v>8</v>
      </c>
      <c r="H4544" s="24" t="s">
        <v>3532</v>
      </c>
      <c r="I4544" s="27">
        <v>69.44</v>
      </c>
    </row>
    <row r="4545" spans="2:9" ht="16">
      <c r="B4545" s="24" t="s">
        <v>250</v>
      </c>
      <c r="C4545" s="24" t="s">
        <v>6</v>
      </c>
      <c r="D4545" s="24" t="s">
        <v>3533</v>
      </c>
      <c r="E4545" s="24" t="s">
        <v>8</v>
      </c>
      <c r="F4545" s="24" t="s">
        <v>42</v>
      </c>
      <c r="G4545" s="24" t="s">
        <v>8</v>
      </c>
      <c r="H4545" s="24" t="s">
        <v>3532</v>
      </c>
      <c r="I4545" s="27">
        <v>63.82</v>
      </c>
    </row>
    <row r="4546" spans="2:9" ht="16">
      <c r="B4546" s="24" t="s">
        <v>250</v>
      </c>
      <c r="C4546" s="24" t="s">
        <v>6</v>
      </c>
      <c r="D4546" s="24" t="s">
        <v>31</v>
      </c>
      <c r="E4546" s="24" t="s">
        <v>8</v>
      </c>
      <c r="F4546" s="24" t="s">
        <v>42</v>
      </c>
      <c r="G4546" s="24" t="s">
        <v>8</v>
      </c>
      <c r="H4546" s="24" t="s">
        <v>3534</v>
      </c>
      <c r="I4546" s="27">
        <v>68.22</v>
      </c>
    </row>
    <row r="4547" spans="2:9" ht="16">
      <c r="B4547" s="24" t="s">
        <v>250</v>
      </c>
      <c r="C4547" s="24" t="s">
        <v>6</v>
      </c>
      <c r="D4547" s="24" t="s">
        <v>151</v>
      </c>
      <c r="E4547" s="24" t="s">
        <v>8</v>
      </c>
      <c r="F4547" s="24" t="s">
        <v>42</v>
      </c>
      <c r="G4547" s="24" t="s">
        <v>8</v>
      </c>
      <c r="H4547" s="24" t="s">
        <v>3535</v>
      </c>
      <c r="I4547" s="27">
        <v>47.61</v>
      </c>
    </row>
    <row r="4548" spans="2:9" ht="16">
      <c r="B4548" s="24" t="s">
        <v>250</v>
      </c>
      <c r="C4548" s="24" t="s">
        <v>6</v>
      </c>
      <c r="D4548" s="24" t="s">
        <v>264</v>
      </c>
      <c r="E4548" s="24" t="s">
        <v>8</v>
      </c>
      <c r="F4548" s="24" t="s">
        <v>42</v>
      </c>
      <c r="G4548" s="24" t="s">
        <v>8</v>
      </c>
      <c r="H4548" s="24" t="s">
        <v>3535</v>
      </c>
      <c r="I4548" s="27">
        <v>54.0</v>
      </c>
    </row>
    <row r="4549" spans="2:9" ht="16">
      <c r="B4549" s="24" t="s">
        <v>250</v>
      </c>
      <c r="C4549" s="24" t="s">
        <v>6</v>
      </c>
      <c r="D4549" s="24" t="s">
        <v>3536</v>
      </c>
      <c r="E4549" s="24" t="s">
        <v>8</v>
      </c>
      <c r="F4549" s="24" t="s">
        <v>42</v>
      </c>
      <c r="G4549" s="24" t="s">
        <v>8</v>
      </c>
      <c r="H4549" s="24" t="s">
        <v>3537</v>
      </c>
      <c r="I4549" s="27">
        <v>58.5</v>
      </c>
    </row>
    <row r="4550" spans="2:9" ht="16">
      <c r="B4550" s="24" t="s">
        <v>250</v>
      </c>
      <c r="C4550" s="24" t="s">
        <v>6</v>
      </c>
      <c r="D4550" s="24" t="s">
        <v>206</v>
      </c>
      <c r="E4550" s="24" t="s">
        <v>8</v>
      </c>
      <c r="F4550" s="24" t="s">
        <v>42</v>
      </c>
      <c r="G4550" s="24" t="s">
        <v>8</v>
      </c>
      <c r="H4550" s="24" t="s">
        <v>3538</v>
      </c>
      <c r="I4550" s="27">
        <v>63.67</v>
      </c>
    </row>
    <row r="4551" spans="2:9" ht="16">
      <c r="B4551" s="24" t="s">
        <v>250</v>
      </c>
      <c r="C4551" s="24" t="s">
        <v>6</v>
      </c>
      <c r="D4551" s="24" t="s">
        <v>27</v>
      </c>
      <c r="E4551" s="24" t="s">
        <v>8</v>
      </c>
      <c r="F4551" s="24" t="s">
        <v>42</v>
      </c>
      <c r="G4551" s="24" t="s">
        <v>8</v>
      </c>
      <c r="H4551" s="24" t="s">
        <v>3539</v>
      </c>
      <c r="I4551" s="27">
        <v>57.55</v>
      </c>
    </row>
    <row r="4552" spans="2:9" ht="16">
      <c r="B4552" s="24" t="s">
        <v>250</v>
      </c>
      <c r="C4552" s="24" t="s">
        <v>6</v>
      </c>
      <c r="D4552" s="24" t="s">
        <v>115</v>
      </c>
      <c r="E4552" s="24" t="s">
        <v>8</v>
      </c>
      <c r="F4552" s="24" t="s">
        <v>42</v>
      </c>
      <c r="G4552" s="24" t="s">
        <v>8</v>
      </c>
      <c r="H4552" s="24" t="s">
        <v>3540</v>
      </c>
      <c r="I4552" s="27">
        <v>42.05</v>
      </c>
    </row>
    <row r="4553" spans="2:9" ht="16">
      <c r="B4553" s="24" t="s">
        <v>250</v>
      </c>
      <c r="C4553" s="24" t="s">
        <v>6</v>
      </c>
      <c r="D4553" s="24" t="s">
        <v>93</v>
      </c>
      <c r="E4553" s="24" t="s">
        <v>8</v>
      </c>
      <c r="F4553" s="24" t="s">
        <v>42</v>
      </c>
      <c r="G4553" s="24" t="s">
        <v>8</v>
      </c>
      <c r="H4553" s="24" t="s">
        <v>3541</v>
      </c>
      <c r="I4553" s="27">
        <v>56.92</v>
      </c>
    </row>
    <row r="4554" spans="2:9" ht="16">
      <c r="B4554" s="24" t="s">
        <v>250</v>
      </c>
      <c r="C4554" s="24" t="s">
        <v>6</v>
      </c>
      <c r="D4554" s="24" t="s">
        <v>351</v>
      </c>
      <c r="E4554" s="24" t="s">
        <v>8</v>
      </c>
      <c r="F4554" s="24" t="s">
        <v>42</v>
      </c>
      <c r="G4554" s="24" t="s">
        <v>8</v>
      </c>
      <c r="H4554" s="24" t="s">
        <v>3542</v>
      </c>
      <c r="I4554" s="27">
        <v>63.07</v>
      </c>
    </row>
    <row r="4555" spans="2:9" ht="16">
      <c r="B4555" s="24" t="s">
        <v>250</v>
      </c>
      <c r="C4555" s="24" t="s">
        <v>6</v>
      </c>
      <c r="D4555" s="24" t="s">
        <v>3543</v>
      </c>
      <c r="E4555" s="24" t="s">
        <v>8</v>
      </c>
      <c r="F4555" s="24" t="s">
        <v>42</v>
      </c>
      <c r="G4555" s="24" t="s">
        <v>8</v>
      </c>
      <c r="H4555" s="24" t="s">
        <v>3542</v>
      </c>
      <c r="I4555" s="27">
        <v>59.3</v>
      </c>
    </row>
    <row r="4556" spans="2:9" ht="16">
      <c r="B4556" s="24" t="s">
        <v>250</v>
      </c>
      <c r="C4556" s="24" t="s">
        <v>6</v>
      </c>
      <c r="D4556" s="24" t="s">
        <v>124</v>
      </c>
      <c r="E4556" s="24" t="s">
        <v>8</v>
      </c>
      <c r="F4556" s="24" t="s">
        <v>42</v>
      </c>
      <c r="G4556" s="24" t="s">
        <v>8</v>
      </c>
      <c r="H4556" s="24" t="s">
        <v>3544</v>
      </c>
      <c r="I4556" s="27">
        <v>32.77</v>
      </c>
    </row>
    <row r="4557" spans="2:9" ht="16">
      <c r="B4557" s="24" t="s">
        <v>250</v>
      </c>
      <c r="C4557" s="24" t="s">
        <v>6</v>
      </c>
      <c r="D4557" s="24" t="s">
        <v>99</v>
      </c>
      <c r="E4557" s="24" t="s">
        <v>8</v>
      </c>
      <c r="F4557" s="24" t="s">
        <v>42</v>
      </c>
      <c r="G4557" s="24" t="s">
        <v>8</v>
      </c>
      <c r="H4557" s="24" t="s">
        <v>3544</v>
      </c>
      <c r="I4557" s="27">
        <v>50.74</v>
      </c>
    </row>
    <row r="4558" spans="2:9" ht="16">
      <c r="B4558" s="24" t="s">
        <v>250</v>
      </c>
      <c r="C4558" s="24" t="s">
        <v>6</v>
      </c>
      <c r="D4558" s="24" t="s">
        <v>245</v>
      </c>
      <c r="E4558" s="24" t="s">
        <v>8</v>
      </c>
      <c r="F4558" s="24" t="s">
        <v>42</v>
      </c>
      <c r="G4558" s="24" t="s">
        <v>8</v>
      </c>
      <c r="H4558" s="24" t="s">
        <v>3544</v>
      </c>
      <c r="I4558" s="27">
        <v>64.29</v>
      </c>
    </row>
    <row r="4559" spans="2:9" ht="16">
      <c r="B4559" s="24" t="s">
        <v>250</v>
      </c>
      <c r="C4559" s="24" t="s">
        <v>6</v>
      </c>
      <c r="D4559" s="24" t="s">
        <v>597</v>
      </c>
      <c r="E4559" s="24" t="s">
        <v>8</v>
      </c>
      <c r="F4559" s="24" t="s">
        <v>42</v>
      </c>
      <c r="G4559" s="24" t="s">
        <v>8</v>
      </c>
      <c r="H4559" s="24" t="s">
        <v>3544</v>
      </c>
      <c r="I4559" s="27">
        <v>62.16</v>
      </c>
    </row>
    <row r="4560" spans="2:9" ht="16">
      <c r="B4560" s="24" t="s">
        <v>250</v>
      </c>
      <c r="C4560" s="24" t="s">
        <v>6</v>
      </c>
      <c r="D4560" s="24" t="s">
        <v>37</v>
      </c>
      <c r="E4560" s="24" t="s">
        <v>8</v>
      </c>
      <c r="F4560" s="24" t="s">
        <v>42</v>
      </c>
      <c r="G4560" s="24" t="s">
        <v>8</v>
      </c>
      <c r="H4560" s="24" t="s">
        <v>3545</v>
      </c>
      <c r="I4560" s="27">
        <v>68.04</v>
      </c>
    </row>
    <row r="4561" spans="2:9" ht="16">
      <c r="B4561" s="24" t="s">
        <v>250</v>
      </c>
      <c r="C4561" s="24" t="s">
        <v>6</v>
      </c>
      <c r="D4561" s="24" t="s">
        <v>197</v>
      </c>
      <c r="E4561" s="24" t="s">
        <v>8</v>
      </c>
      <c r="F4561" s="24" t="s">
        <v>42</v>
      </c>
      <c r="G4561" s="24" t="s">
        <v>8</v>
      </c>
      <c r="H4561" s="24" t="s">
        <v>3546</v>
      </c>
      <c r="I4561" s="27">
        <v>62.61</v>
      </c>
    </row>
    <row r="4562" spans="2:9" ht="16">
      <c r="B4562" s="24" t="s">
        <v>250</v>
      </c>
      <c r="C4562" s="24" t="s">
        <v>6</v>
      </c>
      <c r="D4562" s="24" t="s">
        <v>392</v>
      </c>
      <c r="E4562" s="24" t="s">
        <v>8</v>
      </c>
      <c r="F4562" s="24" t="s">
        <v>42</v>
      </c>
      <c r="G4562" s="24" t="s">
        <v>8</v>
      </c>
      <c r="H4562" s="24" t="s">
        <v>3547</v>
      </c>
      <c r="I4562" s="27">
        <v>55.09</v>
      </c>
    </row>
    <row r="4563" spans="2:9" ht="16">
      <c r="B4563" s="24" t="s">
        <v>250</v>
      </c>
      <c r="C4563" s="24" t="s">
        <v>6</v>
      </c>
      <c r="D4563" s="24" t="s">
        <v>57</v>
      </c>
      <c r="E4563" s="24" t="s">
        <v>8</v>
      </c>
      <c r="F4563" s="24" t="s">
        <v>42</v>
      </c>
      <c r="G4563" s="24" t="s">
        <v>8</v>
      </c>
      <c r="H4563" s="24" t="s">
        <v>3547</v>
      </c>
      <c r="I4563" s="27">
        <v>54.84</v>
      </c>
    </row>
    <row r="4564" spans="2:9" ht="16">
      <c r="B4564" s="24" t="s">
        <v>250</v>
      </c>
      <c r="C4564" s="24" t="s">
        <v>6</v>
      </c>
      <c r="D4564" s="24" t="s">
        <v>160</v>
      </c>
      <c r="E4564" s="24" t="s">
        <v>8</v>
      </c>
      <c r="F4564" s="24" t="s">
        <v>42</v>
      </c>
      <c r="G4564" s="24" t="s">
        <v>8</v>
      </c>
      <c r="H4564" s="24" t="s">
        <v>3548</v>
      </c>
      <c r="I4564" s="27">
        <v>54.0</v>
      </c>
    </row>
    <row r="4565" spans="2:9" ht="16">
      <c r="B4565" s="24" t="s">
        <v>250</v>
      </c>
      <c r="C4565" s="24" t="s">
        <v>6</v>
      </c>
      <c r="D4565" s="24" t="s">
        <v>467</v>
      </c>
      <c r="E4565" s="24" t="s">
        <v>8</v>
      </c>
      <c r="F4565" s="24" t="s">
        <v>42</v>
      </c>
      <c r="G4565" s="24" t="s">
        <v>8</v>
      </c>
      <c r="H4565" s="24" t="s">
        <v>3549</v>
      </c>
      <c r="I4565" s="27">
        <v>63.77</v>
      </c>
    </row>
    <row r="4566" spans="2:9" ht="16">
      <c r="B4566" s="24" t="s">
        <v>250</v>
      </c>
      <c r="C4566" s="24" t="s">
        <v>6</v>
      </c>
      <c r="D4566" s="24" t="s">
        <v>142</v>
      </c>
      <c r="E4566" s="24" t="s">
        <v>8</v>
      </c>
      <c r="F4566" s="24" t="s">
        <v>42</v>
      </c>
      <c r="G4566" s="24" t="s">
        <v>8</v>
      </c>
      <c r="H4566" s="24" t="s">
        <v>3550</v>
      </c>
      <c r="I4566" s="27">
        <v>51.89</v>
      </c>
    </row>
    <row r="4567" spans="1:9" ht="16">
      <c r="A4567" s="35" t="s">
        <v>797</v>
      </c>
      <c r="I4567" s="28">
        <f>I4519+I4520+I4521+I4522+I4523+I4524+I4525+I4526+I4527+I4528+I4529+I4530+I4531+I4532+I4533+I4534+I4535+I4536+I4537+I4538+I4539+I4540+I4541+I4542+I4543+I4544+I4545+I4546+I4547+I4548+I4549+I4550+I4551+I4552+I4553+I4554+I4555+I4556+I4557+I4558+I4559+I4560+I4561+I4562+I4563+I4564+I4565+I4566</f>
        <v>2670.7199999999993</v>
      </c>
    </row>
    <row r="4568" spans="1:1" ht="16">
      <c r="A4568" s="34" t="s">
        <v>3513</v>
      </c>
    </row>
    <row r="4569" spans="2:9" ht="16">
      <c r="B4569" s="24" t="s">
        <v>2274</v>
      </c>
      <c r="C4569" s="24" t="s">
        <v>6</v>
      </c>
      <c r="D4569" s="24" t="s">
        <v>83</v>
      </c>
      <c r="E4569" s="24" t="s">
        <v>8</v>
      </c>
      <c r="F4569" s="24" t="s">
        <v>9</v>
      </c>
      <c r="G4569" s="24" t="s">
        <v>8</v>
      </c>
      <c r="H4569" s="24" t="s">
        <v>3551</v>
      </c>
      <c r="I4569" s="27">
        <v>195.24</v>
      </c>
    </row>
    <row r="4570" spans="2:9" ht="16">
      <c r="B4570" s="24" t="s">
        <v>8</v>
      </c>
      <c r="C4570" s="24" t="s">
        <v>139</v>
      </c>
      <c r="D4570" s="24" t="s">
        <v>376</v>
      </c>
      <c r="E4570" s="24" t="s">
        <v>8</v>
      </c>
      <c r="F4570" s="24" t="s">
        <v>9</v>
      </c>
      <c r="G4570" s="24" t="s">
        <v>8</v>
      </c>
      <c r="H4570" s="24" t="s">
        <v>3552</v>
      </c>
      <c r="I4570" s="27">
        <v>-162.08</v>
      </c>
    </row>
    <row r="4571" spans="2:9" ht="16">
      <c r="B4571" s="24" t="s">
        <v>8</v>
      </c>
      <c r="C4571" s="24" t="s">
        <v>139</v>
      </c>
      <c r="D4571" s="24" t="s">
        <v>346</v>
      </c>
      <c r="E4571" s="24" t="s">
        <v>8</v>
      </c>
      <c r="F4571" s="24" t="s">
        <v>9</v>
      </c>
      <c r="G4571" s="24" t="s">
        <v>8</v>
      </c>
      <c r="H4571" s="24" t="s">
        <v>3553</v>
      </c>
      <c r="I4571" s="27">
        <v>-187.37</v>
      </c>
    </row>
    <row r="4572" spans="2:9" ht="16">
      <c r="B4572" s="24" t="s">
        <v>5</v>
      </c>
      <c r="C4572" s="24" t="s">
        <v>6</v>
      </c>
      <c r="D4572" s="24" t="s">
        <v>3492</v>
      </c>
      <c r="E4572" s="24" t="s">
        <v>3554</v>
      </c>
      <c r="F4572" s="24" t="s">
        <v>9</v>
      </c>
      <c r="G4572" s="24" t="s">
        <v>8</v>
      </c>
      <c r="H4572" s="24" t="s">
        <v>3555</v>
      </c>
      <c r="I4572" s="27">
        <v>80.38</v>
      </c>
    </row>
    <row r="4573" spans="1:9" ht="16">
      <c r="A4573" s="35" t="s">
        <v>40</v>
      </c>
      <c r="I4573" s="28">
        <f>I4568+I4569+I4570+I4571+I4572</f>
        <v>-73.83000000000001</v>
      </c>
    </row>
    <row r="4574" spans="1:1" ht="16">
      <c r="A4574" s="34" t="s">
        <v>3513</v>
      </c>
    </row>
    <row r="4575" spans="2:9" ht="16">
      <c r="B4575" s="24" t="s">
        <v>3556</v>
      </c>
      <c r="C4575" s="24" t="s">
        <v>6</v>
      </c>
      <c r="D4575" s="24" t="s">
        <v>137</v>
      </c>
      <c r="E4575" s="24" t="s">
        <v>8</v>
      </c>
      <c r="F4575" s="24" t="s">
        <v>42</v>
      </c>
      <c r="G4575" s="24" t="s">
        <v>8</v>
      </c>
      <c r="H4575" s="24" t="s">
        <v>3557</v>
      </c>
      <c r="I4575" s="27">
        <v>15.83</v>
      </c>
    </row>
    <row r="4576" spans="2:9" ht="16">
      <c r="B4576" s="24" t="s">
        <v>3558</v>
      </c>
      <c r="C4576" s="24" t="s">
        <v>6</v>
      </c>
      <c r="D4576" s="24" t="s">
        <v>22</v>
      </c>
      <c r="E4576" s="24" t="s">
        <v>8</v>
      </c>
      <c r="F4576" s="24" t="s">
        <v>42</v>
      </c>
      <c r="G4576" s="24" t="s">
        <v>8</v>
      </c>
      <c r="H4576" s="24" t="s">
        <v>3559</v>
      </c>
      <c r="I4576" s="27">
        <v>1.93</v>
      </c>
    </row>
    <row r="4577" spans="2:9" ht="16">
      <c r="B4577" s="24" t="s">
        <v>3560</v>
      </c>
      <c r="C4577" s="24" t="s">
        <v>6</v>
      </c>
      <c r="D4577" s="24" t="s">
        <v>22</v>
      </c>
      <c r="E4577" s="24" t="s">
        <v>8</v>
      </c>
      <c r="F4577" s="24" t="s">
        <v>42</v>
      </c>
      <c r="G4577" s="24" t="s">
        <v>8</v>
      </c>
      <c r="H4577" s="24" t="s">
        <v>3561</v>
      </c>
      <c r="I4577" s="27">
        <v>77.48</v>
      </c>
    </row>
    <row r="4578" spans="2:9" ht="16">
      <c r="B4578" s="24" t="s">
        <v>3562</v>
      </c>
      <c r="C4578" s="24" t="s">
        <v>6</v>
      </c>
      <c r="D4578" s="24" t="s">
        <v>3531</v>
      </c>
      <c r="E4578" s="24" t="s">
        <v>8</v>
      </c>
      <c r="F4578" s="24" t="s">
        <v>42</v>
      </c>
      <c r="G4578" s="24" t="s">
        <v>8</v>
      </c>
      <c r="H4578" s="24" t="s">
        <v>3563</v>
      </c>
      <c r="I4578" s="27">
        <v>42.8</v>
      </c>
    </row>
    <row r="4579" spans="2:9" ht="16">
      <c r="B4579" s="24" t="s">
        <v>3560</v>
      </c>
      <c r="C4579" s="24" t="s">
        <v>6</v>
      </c>
      <c r="D4579" s="24" t="s">
        <v>651</v>
      </c>
      <c r="E4579" s="24" t="s">
        <v>8</v>
      </c>
      <c r="F4579" s="24" t="s">
        <v>42</v>
      </c>
      <c r="G4579" s="24" t="s">
        <v>8</v>
      </c>
      <c r="H4579" s="24" t="s">
        <v>3564</v>
      </c>
      <c r="I4579" s="27">
        <v>28.76</v>
      </c>
    </row>
    <row r="4580" spans="2:9" ht="16">
      <c r="B4580" s="24" t="s">
        <v>3565</v>
      </c>
      <c r="C4580" s="24" t="s">
        <v>6</v>
      </c>
      <c r="D4580" s="24" t="s">
        <v>3566</v>
      </c>
      <c r="E4580" s="24" t="s">
        <v>8</v>
      </c>
      <c r="F4580" s="24" t="s">
        <v>42</v>
      </c>
      <c r="G4580" s="24" t="s">
        <v>8</v>
      </c>
      <c r="H4580" s="24" t="s">
        <v>3567</v>
      </c>
      <c r="I4580" s="27">
        <v>88.64</v>
      </c>
    </row>
    <row r="4581" spans="2:9" ht="16">
      <c r="B4581" s="24" t="s">
        <v>3568</v>
      </c>
      <c r="C4581" s="24" t="s">
        <v>6</v>
      </c>
      <c r="D4581" s="24" t="s">
        <v>95</v>
      </c>
      <c r="E4581" s="24" t="s">
        <v>8</v>
      </c>
      <c r="F4581" s="24" t="s">
        <v>42</v>
      </c>
      <c r="G4581" s="24" t="s">
        <v>8</v>
      </c>
      <c r="H4581" s="24" t="s">
        <v>3569</v>
      </c>
      <c r="I4581" s="27">
        <v>37.1</v>
      </c>
    </row>
    <row r="4582" spans="1:9" ht="16">
      <c r="A4582" s="35" t="s">
        <v>149</v>
      </c>
      <c r="I4582" s="28">
        <f>I4574+I4575+I4576+I4577+I4578+I4579+I4580+I4581</f>
        <v>292.54</v>
      </c>
    </row>
    <row r="4583" spans="1:1" ht="16">
      <c r="A4583" s="34" t="s">
        <v>3513</v>
      </c>
    </row>
    <row r="4584" spans="2:9" ht="16">
      <c r="B4584" s="24" t="s">
        <v>51</v>
      </c>
      <c r="C4584" s="24" t="s">
        <v>6</v>
      </c>
      <c r="D4584" s="24" t="s">
        <v>133</v>
      </c>
      <c r="E4584" s="24" t="s">
        <v>8</v>
      </c>
      <c r="F4584" s="24" t="s">
        <v>3570</v>
      </c>
      <c r="G4584" s="24" t="s">
        <v>8</v>
      </c>
      <c r="H4584" s="24" t="s">
        <v>3571</v>
      </c>
      <c r="I4584" s="27">
        <v>5.8</v>
      </c>
    </row>
    <row r="4585" spans="1:9" ht="16">
      <c r="A4585" s="35" t="s">
        <v>3572</v>
      </c>
      <c r="I4585" s="28">
        <f>I4583+I4584</f>
        <v>5.8</v>
      </c>
    </row>
    <row r="4586" spans="1:1" ht="16">
      <c r="A4586" s="34" t="s">
        <v>3513</v>
      </c>
    </row>
    <row r="4587" spans="2:9" ht="16">
      <c r="B4587" s="24" t="s">
        <v>12</v>
      </c>
      <c r="C4587" s="24" t="s">
        <v>13</v>
      </c>
      <c r="D4587" s="24" t="s">
        <v>14</v>
      </c>
      <c r="E4587" s="24" t="s">
        <v>3573</v>
      </c>
      <c r="F4587" s="24" t="s">
        <v>42</v>
      </c>
      <c r="G4587" s="24" t="s">
        <v>8</v>
      </c>
      <c r="H4587" s="24" t="s">
        <v>3574</v>
      </c>
      <c r="I4587" s="27">
        <v>37.73</v>
      </c>
    </row>
    <row r="4588" spans="2:9" ht="16">
      <c r="B4588" s="24" t="s">
        <v>589</v>
      </c>
      <c r="C4588" s="24" t="s">
        <v>6</v>
      </c>
      <c r="D4588" s="24" t="s">
        <v>3460</v>
      </c>
      <c r="E4588" s="24" t="s">
        <v>3461</v>
      </c>
      <c r="F4588" s="24" t="s">
        <v>42</v>
      </c>
      <c r="G4588" s="24" t="s">
        <v>8</v>
      </c>
      <c r="H4588" s="24" t="s">
        <v>3575</v>
      </c>
      <c r="I4588" s="27">
        <v>32.77</v>
      </c>
    </row>
    <row r="4589" spans="2:9" ht="16">
      <c r="B4589" s="24" t="s">
        <v>589</v>
      </c>
      <c r="C4589" s="24" t="s">
        <v>6</v>
      </c>
      <c r="D4589" s="24" t="s">
        <v>3460</v>
      </c>
      <c r="E4589" s="24" t="s">
        <v>3461</v>
      </c>
      <c r="F4589" s="24" t="s">
        <v>42</v>
      </c>
      <c r="G4589" s="24" t="s">
        <v>8</v>
      </c>
      <c r="H4589" s="24" t="s">
        <v>3576</v>
      </c>
      <c r="I4589" s="27">
        <v>148.71</v>
      </c>
    </row>
    <row r="4590" spans="2:9" ht="16">
      <c r="B4590" s="24" t="s">
        <v>127</v>
      </c>
      <c r="C4590" s="24" t="s">
        <v>6</v>
      </c>
      <c r="D4590" s="24" t="s">
        <v>3531</v>
      </c>
      <c r="E4590" s="24" t="s">
        <v>8</v>
      </c>
      <c r="F4590" s="24" t="s">
        <v>42</v>
      </c>
      <c r="G4590" s="24" t="s">
        <v>8</v>
      </c>
      <c r="H4590" s="24" t="s">
        <v>3577</v>
      </c>
      <c r="I4590" s="27">
        <v>113.89</v>
      </c>
    </row>
    <row r="4591" spans="1:9" ht="16">
      <c r="A4591" s="35" t="s">
        <v>663</v>
      </c>
      <c r="I4591" s="28">
        <f>I4586+I4587+I4588+I4589+I4590</f>
        <v>333.1</v>
      </c>
    </row>
    <row r="4592" spans="1:1" ht="16">
      <c r="A4592" s="34" t="s">
        <v>3513</v>
      </c>
    </row>
    <row r="4593" spans="2:9" ht="16">
      <c r="B4593" s="24" t="s">
        <v>589</v>
      </c>
      <c r="C4593" s="24" t="s">
        <v>6</v>
      </c>
      <c r="D4593" s="24" t="s">
        <v>3490</v>
      </c>
      <c r="E4593" s="24" t="s">
        <v>8</v>
      </c>
      <c r="F4593" s="24" t="s">
        <v>42</v>
      </c>
      <c r="G4593" s="24" t="s">
        <v>8</v>
      </c>
      <c r="H4593" s="24" t="s">
        <v>3578</v>
      </c>
      <c r="I4593" s="27">
        <v>56.4</v>
      </c>
    </row>
    <row r="4594" spans="2:9" ht="16">
      <c r="B4594" s="24" t="s">
        <v>2382</v>
      </c>
      <c r="C4594" s="24" t="s">
        <v>6</v>
      </c>
      <c r="D4594" s="24" t="s">
        <v>112</v>
      </c>
      <c r="E4594" s="24" t="s">
        <v>8</v>
      </c>
      <c r="F4594" s="24" t="s">
        <v>42</v>
      </c>
      <c r="G4594" s="24" t="s">
        <v>8</v>
      </c>
      <c r="H4594" s="24" t="s">
        <v>3579</v>
      </c>
      <c r="I4594" s="27">
        <v>9.99</v>
      </c>
    </row>
    <row r="4595" spans="1:9" ht="16">
      <c r="A4595" s="35" t="s">
        <v>666</v>
      </c>
      <c r="I4595" s="28">
        <f>I4592+I4593+I4594</f>
        <v>66.39</v>
      </c>
    </row>
    <row r="4596" spans="1:1" ht="16">
      <c r="A4596" s="34" t="s">
        <v>3513</v>
      </c>
    </row>
    <row r="4597" spans="2:9" ht="16">
      <c r="B4597" s="24" t="s">
        <v>51</v>
      </c>
      <c r="C4597" s="24" t="s">
        <v>6</v>
      </c>
      <c r="D4597" s="24" t="s">
        <v>93</v>
      </c>
      <c r="E4597" s="24" t="s">
        <v>8</v>
      </c>
      <c r="F4597" s="24" t="s">
        <v>42</v>
      </c>
      <c r="G4597" s="24" t="s">
        <v>8</v>
      </c>
      <c r="H4597" s="24" t="s">
        <v>53</v>
      </c>
      <c r="I4597" s="27">
        <v>76.5</v>
      </c>
    </row>
    <row r="4598" spans="2:9" ht="16">
      <c r="B4598" s="24" t="s">
        <v>51</v>
      </c>
      <c r="C4598" s="24" t="s">
        <v>6</v>
      </c>
      <c r="D4598" s="24" t="s">
        <v>165</v>
      </c>
      <c r="E4598" s="24" t="s">
        <v>8</v>
      </c>
      <c r="F4598" s="24" t="s">
        <v>42</v>
      </c>
      <c r="G4598" s="24" t="s">
        <v>8</v>
      </c>
      <c r="H4598" s="24" t="s">
        <v>3580</v>
      </c>
      <c r="I4598" s="27">
        <v>168.38</v>
      </c>
    </row>
    <row r="4599" spans="2:9" ht="16">
      <c r="B4599" s="24" t="s">
        <v>51</v>
      </c>
      <c r="C4599" s="24" t="s">
        <v>6</v>
      </c>
      <c r="D4599" s="24" t="s">
        <v>122</v>
      </c>
      <c r="E4599" s="24" t="s">
        <v>8</v>
      </c>
      <c r="F4599" s="24" t="s">
        <v>42</v>
      </c>
      <c r="G4599" s="24" t="s">
        <v>8</v>
      </c>
      <c r="H4599" s="24" t="s">
        <v>3581</v>
      </c>
      <c r="I4599" s="27">
        <v>255.01</v>
      </c>
    </row>
    <row r="4600" spans="2:9" ht="16">
      <c r="B4600" s="24" t="s">
        <v>51</v>
      </c>
      <c r="C4600" s="24" t="s">
        <v>6</v>
      </c>
      <c r="D4600" s="24" t="s">
        <v>168</v>
      </c>
      <c r="E4600" s="24" t="s">
        <v>8</v>
      </c>
      <c r="F4600" s="24" t="s">
        <v>42</v>
      </c>
      <c r="G4600" s="24" t="s">
        <v>8</v>
      </c>
      <c r="H4600" s="24" t="s">
        <v>3510</v>
      </c>
      <c r="I4600" s="27">
        <v>101.99</v>
      </c>
    </row>
    <row r="4601" spans="2:9" ht="16">
      <c r="B4601" s="24" t="s">
        <v>51</v>
      </c>
      <c r="C4601" s="24" t="s">
        <v>6</v>
      </c>
      <c r="D4601" s="24" t="s">
        <v>740</v>
      </c>
      <c r="E4601" s="24" t="s">
        <v>8</v>
      </c>
      <c r="F4601" s="24" t="s">
        <v>42</v>
      </c>
      <c r="G4601" s="24" t="s">
        <v>8</v>
      </c>
      <c r="H4601" s="24" t="s">
        <v>3582</v>
      </c>
      <c r="I4601" s="27">
        <v>199.94</v>
      </c>
    </row>
    <row r="4602" spans="2:9" ht="16">
      <c r="B4602" s="24" t="s">
        <v>51</v>
      </c>
      <c r="C4602" s="24" t="s">
        <v>6</v>
      </c>
      <c r="D4602" s="24" t="s">
        <v>284</v>
      </c>
      <c r="E4602" s="24" t="s">
        <v>8</v>
      </c>
      <c r="F4602" s="24" t="s">
        <v>42</v>
      </c>
      <c r="G4602" s="24" t="s">
        <v>8</v>
      </c>
      <c r="H4602" s="24" t="s">
        <v>3582</v>
      </c>
      <c r="I4602" s="27">
        <v>119.97</v>
      </c>
    </row>
    <row r="4603" spans="2:9" ht="16">
      <c r="B4603" s="24" t="s">
        <v>51</v>
      </c>
      <c r="C4603" s="24" t="s">
        <v>6</v>
      </c>
      <c r="D4603" s="24" t="s">
        <v>894</v>
      </c>
      <c r="E4603" s="24" t="s">
        <v>8</v>
      </c>
      <c r="F4603" s="24" t="s">
        <v>42</v>
      </c>
      <c r="G4603" s="24" t="s">
        <v>8</v>
      </c>
      <c r="H4603" s="24" t="s">
        <v>3583</v>
      </c>
      <c r="I4603" s="27">
        <v>279.91</v>
      </c>
    </row>
    <row r="4604" spans="2:9" ht="16">
      <c r="B4604" s="24" t="s">
        <v>51</v>
      </c>
      <c r="C4604" s="24" t="s">
        <v>6</v>
      </c>
      <c r="D4604" s="24" t="s">
        <v>512</v>
      </c>
      <c r="E4604" s="24" t="s">
        <v>8</v>
      </c>
      <c r="F4604" s="24" t="s">
        <v>42</v>
      </c>
      <c r="G4604" s="24" t="s">
        <v>8</v>
      </c>
      <c r="H4604" s="24" t="s">
        <v>3584</v>
      </c>
      <c r="I4604" s="27">
        <v>109.83</v>
      </c>
    </row>
    <row r="4605" spans="2:9" ht="16">
      <c r="B4605" s="24" t="s">
        <v>51</v>
      </c>
      <c r="C4605" s="24" t="s">
        <v>6</v>
      </c>
      <c r="D4605" s="24" t="s">
        <v>122</v>
      </c>
      <c r="E4605" s="24" t="s">
        <v>8</v>
      </c>
      <c r="F4605" s="24" t="s">
        <v>42</v>
      </c>
      <c r="G4605" s="24" t="s">
        <v>8</v>
      </c>
      <c r="H4605" s="24" t="s">
        <v>3585</v>
      </c>
      <c r="I4605" s="27">
        <v>197.43</v>
      </c>
    </row>
    <row r="4606" spans="2:9" ht="16">
      <c r="B4606" s="24" t="s">
        <v>51</v>
      </c>
      <c r="C4606" s="24" t="s">
        <v>6</v>
      </c>
      <c r="D4606" s="24" t="s">
        <v>55</v>
      </c>
      <c r="E4606" s="24" t="s">
        <v>8</v>
      </c>
      <c r="F4606" s="24" t="s">
        <v>42</v>
      </c>
      <c r="G4606" s="24" t="s">
        <v>8</v>
      </c>
      <c r="H4606" s="24" t="s">
        <v>3586</v>
      </c>
      <c r="I4606" s="27">
        <v>296.67</v>
      </c>
    </row>
    <row r="4607" spans="1:9" ht="16">
      <c r="A4607" s="35" t="s">
        <v>3503</v>
      </c>
      <c r="I4607" s="28">
        <f>I4596+I4597+I4598+I4599+I4600+I4601+I4602+I4603+I4604+I4605+I4606</f>
        <v>1805.63</v>
      </c>
    </row>
    <row r="4608" spans="1:1" ht="16">
      <c r="A4608" s="34" t="s">
        <v>3513</v>
      </c>
    </row>
    <row r="4609" spans="2:9" ht="16">
      <c r="B4609" s="24" t="s">
        <v>127</v>
      </c>
      <c r="C4609" s="24" t="s">
        <v>6</v>
      </c>
      <c r="D4609" s="24" t="s">
        <v>3587</v>
      </c>
      <c r="E4609" s="24" t="s">
        <v>8</v>
      </c>
      <c r="F4609" s="24" t="s">
        <v>9</v>
      </c>
      <c r="G4609" s="24" t="s">
        <v>8</v>
      </c>
      <c r="H4609" s="24" t="s">
        <v>3588</v>
      </c>
      <c r="I4609" s="27">
        <v>113.01</v>
      </c>
    </row>
    <row r="4610" spans="2:9" ht="16">
      <c r="B4610" s="24" t="s">
        <v>127</v>
      </c>
      <c r="C4610" s="24" t="s">
        <v>6</v>
      </c>
      <c r="D4610" s="24" t="s">
        <v>3411</v>
      </c>
      <c r="E4610" s="24" t="s">
        <v>8</v>
      </c>
      <c r="F4610" s="24" t="s">
        <v>9</v>
      </c>
      <c r="G4610" s="24" t="s">
        <v>8</v>
      </c>
      <c r="H4610" s="24" t="s">
        <v>367</v>
      </c>
      <c r="I4610" s="27">
        <v>16.45</v>
      </c>
    </row>
    <row r="4611" spans="2:9" ht="16">
      <c r="B4611" s="24" t="s">
        <v>127</v>
      </c>
      <c r="C4611" s="24" t="s">
        <v>6</v>
      </c>
      <c r="D4611" s="24" t="s">
        <v>18</v>
      </c>
      <c r="E4611" s="24" t="s">
        <v>8</v>
      </c>
      <c r="F4611" s="24" t="s">
        <v>9</v>
      </c>
      <c r="G4611" s="24" t="s">
        <v>8</v>
      </c>
      <c r="H4611" s="24" t="s">
        <v>367</v>
      </c>
      <c r="I4611" s="27">
        <v>22.94</v>
      </c>
    </row>
    <row r="4612" spans="2:9" ht="16">
      <c r="B4612" s="24" t="s">
        <v>589</v>
      </c>
      <c r="C4612" s="24" t="s">
        <v>6</v>
      </c>
      <c r="D4612" s="24" t="s">
        <v>3589</v>
      </c>
      <c r="E4612" s="24" t="s">
        <v>8</v>
      </c>
      <c r="F4612" s="24" t="s">
        <v>9</v>
      </c>
      <c r="G4612" s="24" t="s">
        <v>8</v>
      </c>
      <c r="H4612" s="24" t="s">
        <v>3590</v>
      </c>
      <c r="I4612" s="27">
        <v>77.24</v>
      </c>
    </row>
    <row r="4613" spans="2:9" ht="16">
      <c r="B4613" s="24" t="s">
        <v>589</v>
      </c>
      <c r="C4613" s="24" t="s">
        <v>6</v>
      </c>
      <c r="D4613" s="24" t="s">
        <v>3591</v>
      </c>
      <c r="E4613" s="24" t="s">
        <v>8</v>
      </c>
      <c r="F4613" s="24" t="s">
        <v>9</v>
      </c>
      <c r="G4613" s="24" t="s">
        <v>8</v>
      </c>
      <c r="H4613" s="24" t="s">
        <v>3590</v>
      </c>
      <c r="I4613" s="27">
        <v>-75.42</v>
      </c>
    </row>
    <row r="4614" spans="2:9" ht="16">
      <c r="B4614" s="24" t="s">
        <v>589</v>
      </c>
      <c r="C4614" s="24" t="s">
        <v>6</v>
      </c>
      <c r="D4614" s="24" t="s">
        <v>3591</v>
      </c>
      <c r="E4614" s="24" t="s">
        <v>8</v>
      </c>
      <c r="F4614" s="24" t="s">
        <v>9</v>
      </c>
      <c r="G4614" s="24" t="s">
        <v>8</v>
      </c>
      <c r="H4614" s="24" t="s">
        <v>3590</v>
      </c>
      <c r="I4614" s="27">
        <v>75.42</v>
      </c>
    </row>
    <row r="4615" spans="2:9" ht="16">
      <c r="B4615" s="24" t="s">
        <v>589</v>
      </c>
      <c r="C4615" s="24" t="s">
        <v>6</v>
      </c>
      <c r="D4615" s="24" t="s">
        <v>3589</v>
      </c>
      <c r="E4615" s="24" t="s">
        <v>8</v>
      </c>
      <c r="F4615" s="24" t="s">
        <v>9</v>
      </c>
      <c r="G4615" s="24" t="s">
        <v>8</v>
      </c>
      <c r="H4615" s="24" t="s">
        <v>3590</v>
      </c>
      <c r="I4615" s="27">
        <v>-77.24</v>
      </c>
    </row>
    <row r="4616" spans="2:9" ht="16">
      <c r="B4616" s="24" t="s">
        <v>3467</v>
      </c>
      <c r="C4616" s="24" t="s">
        <v>6</v>
      </c>
      <c r="D4616" s="24" t="s">
        <v>586</v>
      </c>
      <c r="E4616" s="24" t="s">
        <v>8</v>
      </c>
      <c r="F4616" s="24" t="s">
        <v>9</v>
      </c>
      <c r="G4616" s="24" t="s">
        <v>8</v>
      </c>
      <c r="H4616" s="24" t="s">
        <v>3592</v>
      </c>
      <c r="I4616" s="27">
        <v>63.55</v>
      </c>
    </row>
    <row r="4617" spans="2:9" ht="16">
      <c r="B4617" s="24" t="s">
        <v>589</v>
      </c>
      <c r="C4617" s="24" t="s">
        <v>6</v>
      </c>
      <c r="D4617" s="24" t="s">
        <v>3593</v>
      </c>
      <c r="E4617" s="24" t="s">
        <v>3594</v>
      </c>
      <c r="F4617" s="24" t="s">
        <v>9</v>
      </c>
      <c r="G4617" s="24" t="s">
        <v>8</v>
      </c>
      <c r="H4617" s="24" t="s">
        <v>3595</v>
      </c>
      <c r="I4617" s="27">
        <v>25.97</v>
      </c>
    </row>
    <row r="4618" spans="2:9" ht="16">
      <c r="B4618" s="24" t="s">
        <v>119</v>
      </c>
      <c r="C4618" s="24" t="s">
        <v>6</v>
      </c>
      <c r="D4618" s="24" t="s">
        <v>643</v>
      </c>
      <c r="E4618" s="24" t="s">
        <v>8</v>
      </c>
      <c r="F4618" s="24" t="s">
        <v>9</v>
      </c>
      <c r="G4618" s="24" t="s">
        <v>8</v>
      </c>
      <c r="H4618" s="24" t="s">
        <v>3596</v>
      </c>
      <c r="I4618" s="27">
        <v>138.12</v>
      </c>
    </row>
    <row r="4619" spans="2:9" ht="16">
      <c r="B4619" s="24" t="s">
        <v>119</v>
      </c>
      <c r="C4619" s="24" t="s">
        <v>6</v>
      </c>
      <c r="D4619" s="24" t="s">
        <v>137</v>
      </c>
      <c r="E4619" s="24" t="s">
        <v>8</v>
      </c>
      <c r="F4619" s="24" t="s">
        <v>9</v>
      </c>
      <c r="G4619" s="24" t="s">
        <v>8</v>
      </c>
      <c r="H4619" s="24" t="s">
        <v>3597</v>
      </c>
      <c r="I4619" s="27">
        <v>23.41</v>
      </c>
    </row>
    <row r="4620" spans="2:9" ht="16">
      <c r="B4620" s="24" t="s">
        <v>36</v>
      </c>
      <c r="C4620" s="24" t="s">
        <v>6</v>
      </c>
      <c r="D4620" s="24" t="s">
        <v>3411</v>
      </c>
      <c r="E4620" s="24" t="s">
        <v>8</v>
      </c>
      <c r="F4620" s="24" t="s">
        <v>9</v>
      </c>
      <c r="G4620" s="24" t="s">
        <v>8</v>
      </c>
      <c r="H4620" s="24" t="s">
        <v>3598</v>
      </c>
      <c r="I4620" s="27">
        <v>55.83</v>
      </c>
    </row>
    <row r="4621" spans="2:9" ht="16">
      <c r="B4621" s="24" t="s">
        <v>36</v>
      </c>
      <c r="C4621" s="24" t="s">
        <v>6</v>
      </c>
      <c r="D4621" s="24" t="s">
        <v>3439</v>
      </c>
      <c r="E4621" s="24" t="s">
        <v>8</v>
      </c>
      <c r="F4621" s="24" t="s">
        <v>9</v>
      </c>
      <c r="G4621" s="24" t="s">
        <v>8</v>
      </c>
      <c r="H4621" s="24" t="s">
        <v>36</v>
      </c>
      <c r="I4621" s="27">
        <v>31.49</v>
      </c>
    </row>
    <row r="4622" spans="2:9" ht="16">
      <c r="B4622" s="24" t="s">
        <v>589</v>
      </c>
      <c r="C4622" s="24" t="s">
        <v>6</v>
      </c>
      <c r="D4622" s="24" t="s">
        <v>3593</v>
      </c>
      <c r="E4622" s="24" t="s">
        <v>3594</v>
      </c>
      <c r="F4622" s="24" t="s">
        <v>9</v>
      </c>
      <c r="G4622" s="24" t="s">
        <v>8</v>
      </c>
      <c r="H4622" s="24" t="s">
        <v>3599</v>
      </c>
      <c r="I4622" s="27">
        <v>33.56</v>
      </c>
    </row>
    <row r="4623" spans="2:9" ht="16">
      <c r="B4623" s="24" t="s">
        <v>250</v>
      </c>
      <c r="C4623" s="24" t="s">
        <v>6</v>
      </c>
      <c r="D4623" s="24" t="s">
        <v>3566</v>
      </c>
      <c r="E4623" s="24" t="s">
        <v>8</v>
      </c>
      <c r="F4623" s="24" t="s">
        <v>9</v>
      </c>
      <c r="G4623" s="24" t="s">
        <v>8</v>
      </c>
      <c r="H4623" s="24" t="s">
        <v>3600</v>
      </c>
      <c r="I4623" s="27">
        <v>14.05</v>
      </c>
    </row>
    <row r="4624" spans="2:9" ht="16">
      <c r="B4624" s="24" t="s">
        <v>3601</v>
      </c>
      <c r="C4624" s="24" t="s">
        <v>6</v>
      </c>
      <c r="D4624" s="24" t="s">
        <v>376</v>
      </c>
      <c r="E4624" s="24" t="s">
        <v>8</v>
      </c>
      <c r="F4624" s="24" t="s">
        <v>9</v>
      </c>
      <c r="G4624" s="24" t="s">
        <v>8</v>
      </c>
      <c r="H4624" s="24" t="s">
        <v>3602</v>
      </c>
      <c r="I4624" s="27">
        <v>388.6</v>
      </c>
    </row>
    <row r="4625" spans="2:9" ht="16">
      <c r="B4625" s="24" t="s">
        <v>3601</v>
      </c>
      <c r="C4625" s="24" t="s">
        <v>6</v>
      </c>
      <c r="D4625" s="24" t="s">
        <v>104</v>
      </c>
      <c r="E4625" s="24" t="s">
        <v>8</v>
      </c>
      <c r="F4625" s="24" t="s">
        <v>9</v>
      </c>
      <c r="G4625" s="24" t="s">
        <v>8</v>
      </c>
      <c r="H4625" s="24" t="s">
        <v>3603</v>
      </c>
      <c r="I4625" s="27">
        <v>587.28</v>
      </c>
    </row>
    <row r="4626" spans="2:9" ht="16">
      <c r="B4626" s="24" t="s">
        <v>119</v>
      </c>
      <c r="C4626" s="24" t="s">
        <v>6</v>
      </c>
      <c r="D4626" s="24" t="s">
        <v>3423</v>
      </c>
      <c r="E4626" s="24" t="s">
        <v>8</v>
      </c>
      <c r="F4626" s="24" t="s">
        <v>9</v>
      </c>
      <c r="G4626" s="24" t="s">
        <v>8</v>
      </c>
      <c r="H4626" s="24" t="s">
        <v>3604</v>
      </c>
      <c r="I4626" s="27">
        <v>27.22</v>
      </c>
    </row>
    <row r="4627" spans="2:9" ht="16">
      <c r="B4627" s="24" t="s">
        <v>127</v>
      </c>
      <c r="C4627" s="24" t="s">
        <v>6</v>
      </c>
      <c r="D4627" s="24" t="s">
        <v>368</v>
      </c>
      <c r="E4627" s="24" t="s">
        <v>8</v>
      </c>
      <c r="F4627" s="24" t="s">
        <v>9</v>
      </c>
      <c r="G4627" s="24" t="s">
        <v>8</v>
      </c>
      <c r="H4627" s="24" t="s">
        <v>3605</v>
      </c>
      <c r="I4627" s="27">
        <v>22.95</v>
      </c>
    </row>
    <row r="4628" spans="2:9" ht="16">
      <c r="B4628" s="24" t="s">
        <v>36</v>
      </c>
      <c r="C4628" s="24" t="s">
        <v>6</v>
      </c>
      <c r="D4628" s="24" t="s">
        <v>37</v>
      </c>
      <c r="E4628" s="24" t="s">
        <v>3606</v>
      </c>
      <c r="F4628" s="24" t="s">
        <v>9</v>
      </c>
      <c r="G4628" s="24" t="s">
        <v>8</v>
      </c>
      <c r="H4628" s="24" t="s">
        <v>3607</v>
      </c>
      <c r="I4628" s="27">
        <v>30.81</v>
      </c>
    </row>
    <row r="4629" spans="2:9" ht="16">
      <c r="B4629" s="24" t="s">
        <v>119</v>
      </c>
      <c r="C4629" s="24" t="s">
        <v>6</v>
      </c>
      <c r="D4629" s="24" t="s">
        <v>339</v>
      </c>
      <c r="E4629" s="24" t="s">
        <v>3608</v>
      </c>
      <c r="F4629" s="24" t="s">
        <v>9</v>
      </c>
      <c r="G4629" s="24" t="s">
        <v>8</v>
      </c>
      <c r="H4629" s="24" t="s">
        <v>3609</v>
      </c>
      <c r="I4629" s="27">
        <v>214.88</v>
      </c>
    </row>
    <row r="4630" spans="2:9" ht="16">
      <c r="B4630" s="24" t="s">
        <v>119</v>
      </c>
      <c r="C4630" s="24" t="s">
        <v>6</v>
      </c>
      <c r="D4630" s="24" t="s">
        <v>392</v>
      </c>
      <c r="E4630" s="24" t="s">
        <v>8</v>
      </c>
      <c r="F4630" s="24" t="s">
        <v>9</v>
      </c>
      <c r="G4630" s="24" t="s">
        <v>8</v>
      </c>
      <c r="H4630" s="24" t="s">
        <v>3610</v>
      </c>
      <c r="I4630" s="27">
        <v>72.74</v>
      </c>
    </row>
    <row r="4631" spans="2:9" ht="16">
      <c r="B4631" s="24" t="s">
        <v>117</v>
      </c>
      <c r="C4631" s="24" t="s">
        <v>6</v>
      </c>
      <c r="D4631" s="24" t="s">
        <v>58</v>
      </c>
      <c r="E4631" s="24" t="s">
        <v>8</v>
      </c>
      <c r="F4631" s="24" t="s">
        <v>9</v>
      </c>
      <c r="G4631" s="24" t="s">
        <v>8</v>
      </c>
      <c r="H4631" s="24" t="s">
        <v>3611</v>
      </c>
      <c r="I4631" s="27">
        <v>17.11</v>
      </c>
    </row>
    <row r="4632" spans="2:9" ht="16">
      <c r="B4632" s="24" t="s">
        <v>119</v>
      </c>
      <c r="C4632" s="24" t="s">
        <v>6</v>
      </c>
      <c r="D4632" s="24" t="s">
        <v>417</v>
      </c>
      <c r="E4632" s="24" t="s">
        <v>8</v>
      </c>
      <c r="F4632" s="24" t="s">
        <v>9</v>
      </c>
      <c r="G4632" s="24" t="s">
        <v>8</v>
      </c>
      <c r="H4632" s="24" t="s">
        <v>3612</v>
      </c>
      <c r="I4632" s="27">
        <v>358.04</v>
      </c>
    </row>
    <row r="4633" spans="2:9" ht="16">
      <c r="B4633" s="24" t="s">
        <v>127</v>
      </c>
      <c r="C4633" s="24" t="s">
        <v>6</v>
      </c>
      <c r="D4633" s="24" t="s">
        <v>48</v>
      </c>
      <c r="E4633" s="24" t="s">
        <v>8</v>
      </c>
      <c r="F4633" s="24" t="s">
        <v>9</v>
      </c>
      <c r="G4633" s="24" t="s">
        <v>8</v>
      </c>
      <c r="H4633" s="24" t="s">
        <v>3613</v>
      </c>
      <c r="I4633" s="27">
        <v>61.08</v>
      </c>
    </row>
    <row r="4634" spans="2:9" ht="16">
      <c r="B4634" s="24" t="s">
        <v>488</v>
      </c>
      <c r="C4634" s="24" t="s">
        <v>6</v>
      </c>
      <c r="D4634" s="24" t="s">
        <v>3614</v>
      </c>
      <c r="E4634" s="24" t="s">
        <v>8</v>
      </c>
      <c r="F4634" s="24" t="s">
        <v>9</v>
      </c>
      <c r="G4634" s="24" t="s">
        <v>8</v>
      </c>
      <c r="H4634" s="24" t="s">
        <v>3615</v>
      </c>
      <c r="I4634" s="27">
        <v>132.26</v>
      </c>
    </row>
    <row r="4635" spans="2:9" ht="16">
      <c r="B4635" s="24" t="s">
        <v>3616</v>
      </c>
      <c r="C4635" s="24" t="s">
        <v>6</v>
      </c>
      <c r="D4635" s="24" t="s">
        <v>728</v>
      </c>
      <c r="E4635" s="24" t="s">
        <v>8</v>
      </c>
      <c r="F4635" s="24" t="s">
        <v>9</v>
      </c>
      <c r="G4635" s="24" t="s">
        <v>8</v>
      </c>
      <c r="H4635" s="24" t="s">
        <v>3617</v>
      </c>
      <c r="I4635" s="27">
        <v>31.67</v>
      </c>
    </row>
    <row r="4636" spans="2:9" ht="16">
      <c r="B4636" s="24" t="s">
        <v>589</v>
      </c>
      <c r="C4636" s="24" t="s">
        <v>6</v>
      </c>
      <c r="D4636" s="24" t="s">
        <v>821</v>
      </c>
      <c r="E4636" s="24" t="s">
        <v>8</v>
      </c>
      <c r="F4636" s="24" t="s">
        <v>9</v>
      </c>
      <c r="G4636" s="24" t="s">
        <v>8</v>
      </c>
      <c r="H4636" s="24" t="s">
        <v>3618</v>
      </c>
      <c r="I4636" s="27">
        <v>81.99</v>
      </c>
    </row>
    <row r="4637" spans="2:9" ht="16">
      <c r="B4637" s="24" t="s">
        <v>589</v>
      </c>
      <c r="C4637" s="24" t="s">
        <v>6</v>
      </c>
      <c r="D4637" s="24" t="s">
        <v>821</v>
      </c>
      <c r="E4637" s="24" t="s">
        <v>8</v>
      </c>
      <c r="F4637" s="24" t="s">
        <v>9</v>
      </c>
      <c r="G4637" s="24" t="s">
        <v>8</v>
      </c>
      <c r="H4637" s="24" t="s">
        <v>3618</v>
      </c>
      <c r="I4637" s="27">
        <v>-81.99</v>
      </c>
    </row>
    <row r="4638" spans="2:9" ht="16">
      <c r="B4638" s="24" t="s">
        <v>3619</v>
      </c>
      <c r="C4638" s="24" t="s">
        <v>139</v>
      </c>
      <c r="D4638" s="24" t="s">
        <v>48</v>
      </c>
      <c r="E4638" s="24" t="s">
        <v>8</v>
      </c>
      <c r="F4638" s="24" t="s">
        <v>9</v>
      </c>
      <c r="G4638" s="24" t="s">
        <v>8</v>
      </c>
      <c r="H4638" s="24" t="s">
        <v>3620</v>
      </c>
      <c r="I4638" s="27">
        <v>-6.42</v>
      </c>
    </row>
    <row r="4639" spans="2:9" ht="16">
      <c r="B4639" s="24" t="s">
        <v>3619</v>
      </c>
      <c r="C4639" s="24" t="s">
        <v>6</v>
      </c>
      <c r="D4639" s="24" t="s">
        <v>376</v>
      </c>
      <c r="E4639" s="24" t="s">
        <v>8</v>
      </c>
      <c r="F4639" s="24" t="s">
        <v>9</v>
      </c>
      <c r="G4639" s="24" t="s">
        <v>8</v>
      </c>
      <c r="H4639" s="24" t="s">
        <v>3621</v>
      </c>
      <c r="I4639" s="27">
        <v>140.88</v>
      </c>
    </row>
    <row r="4640" spans="2:9" ht="16">
      <c r="B4640" s="24" t="s">
        <v>3622</v>
      </c>
      <c r="C4640" s="24" t="s">
        <v>6</v>
      </c>
      <c r="D4640" s="24" t="s">
        <v>226</v>
      </c>
      <c r="E4640" s="24" t="s">
        <v>8</v>
      </c>
      <c r="F4640" s="24" t="s">
        <v>9</v>
      </c>
      <c r="G4640" s="24" t="s">
        <v>8</v>
      </c>
      <c r="H4640" s="24" t="s">
        <v>3623</v>
      </c>
      <c r="I4640" s="27">
        <v>388.8</v>
      </c>
    </row>
    <row r="4641" spans="2:9" ht="16">
      <c r="B4641" s="24" t="s">
        <v>119</v>
      </c>
      <c r="C4641" s="24" t="s">
        <v>6</v>
      </c>
      <c r="D4641" s="24" t="s">
        <v>806</v>
      </c>
      <c r="E4641" s="24" t="s">
        <v>8</v>
      </c>
      <c r="F4641" s="24" t="s">
        <v>9</v>
      </c>
      <c r="G4641" s="24" t="s">
        <v>8</v>
      </c>
      <c r="H4641" s="24" t="s">
        <v>642</v>
      </c>
      <c r="I4641" s="27">
        <v>109.39</v>
      </c>
    </row>
    <row r="4642" spans="2:9" ht="16">
      <c r="B4642" s="24" t="s">
        <v>119</v>
      </c>
      <c r="C4642" s="24" t="s">
        <v>6</v>
      </c>
      <c r="D4642" s="24" t="s">
        <v>226</v>
      </c>
      <c r="E4642" s="24" t="s">
        <v>8</v>
      </c>
      <c r="F4642" s="24" t="s">
        <v>9</v>
      </c>
      <c r="G4642" s="24" t="s">
        <v>8</v>
      </c>
      <c r="H4642" s="24" t="s">
        <v>3624</v>
      </c>
      <c r="I4642" s="27">
        <v>29.53</v>
      </c>
    </row>
    <row r="4643" spans="2:9" ht="16">
      <c r="B4643" s="24" t="s">
        <v>119</v>
      </c>
      <c r="C4643" s="24" t="s">
        <v>6</v>
      </c>
      <c r="D4643" s="24" t="s">
        <v>299</v>
      </c>
      <c r="E4643" s="24" t="s">
        <v>3625</v>
      </c>
      <c r="F4643" s="24" t="s">
        <v>9</v>
      </c>
      <c r="G4643" s="24" t="s">
        <v>8</v>
      </c>
      <c r="H4643" s="24" t="s">
        <v>319</v>
      </c>
      <c r="I4643" s="27">
        <v>64.03</v>
      </c>
    </row>
    <row r="4644" spans="2:9" ht="16">
      <c r="B4644" s="24" t="s">
        <v>119</v>
      </c>
      <c r="C4644" s="24" t="s">
        <v>6</v>
      </c>
      <c r="D4644" s="24" t="s">
        <v>3626</v>
      </c>
      <c r="E4644" s="24" t="s">
        <v>8</v>
      </c>
      <c r="F4644" s="24" t="s">
        <v>9</v>
      </c>
      <c r="G4644" s="24" t="s">
        <v>8</v>
      </c>
      <c r="H4644" s="24" t="s">
        <v>650</v>
      </c>
      <c r="I4644" s="27">
        <v>186.69</v>
      </c>
    </row>
    <row r="4645" spans="2:9" ht="16">
      <c r="B4645" s="24" t="s">
        <v>119</v>
      </c>
      <c r="C4645" s="24" t="s">
        <v>6</v>
      </c>
      <c r="D4645" s="24" t="s">
        <v>124</v>
      </c>
      <c r="E4645" s="24" t="s">
        <v>8</v>
      </c>
      <c r="F4645" s="24" t="s">
        <v>9</v>
      </c>
      <c r="G4645" s="24" t="s">
        <v>8</v>
      </c>
      <c r="H4645" s="24" t="s">
        <v>353</v>
      </c>
      <c r="I4645" s="27">
        <v>12.03</v>
      </c>
    </row>
    <row r="4646" spans="2:9" ht="16">
      <c r="B4646" s="24" t="s">
        <v>119</v>
      </c>
      <c r="C4646" s="24" t="s">
        <v>6</v>
      </c>
      <c r="D4646" s="24" t="s">
        <v>142</v>
      </c>
      <c r="E4646" s="24" t="s">
        <v>8</v>
      </c>
      <c r="F4646" s="24" t="s">
        <v>9</v>
      </c>
      <c r="G4646" s="24" t="s">
        <v>8</v>
      </c>
      <c r="H4646" s="24" t="s">
        <v>3627</v>
      </c>
      <c r="I4646" s="27">
        <v>251.46</v>
      </c>
    </row>
    <row r="4647" spans="2:9" ht="16">
      <c r="B4647" s="24" t="s">
        <v>2353</v>
      </c>
      <c r="C4647" s="24" t="s">
        <v>6</v>
      </c>
      <c r="D4647" s="24" t="s">
        <v>206</v>
      </c>
      <c r="E4647" s="24" t="s">
        <v>8</v>
      </c>
      <c r="F4647" s="24" t="s">
        <v>9</v>
      </c>
      <c r="G4647" s="24" t="s">
        <v>8</v>
      </c>
      <c r="H4647" s="24" t="s">
        <v>3628</v>
      </c>
      <c r="I4647" s="27">
        <v>100.0</v>
      </c>
    </row>
    <row r="4648" spans="1:9" ht="16">
      <c r="A4648" s="35" t="s">
        <v>267</v>
      </c>
      <c r="I4648" s="28">
        <f>I4608+I4609+I4610+I4611+I4612+I4613+I4614+I4615+I4616+I4617+I4618+I4619+I4620+I4621+I4622+I4623+I4624+I4625+I4626+I4627+I4628+I4629+I4630+I4631+I4632+I4633+I4634+I4635+I4636+I4637+I4638+I4639+I4640+I4641+I4642+I4643+I4644+I4645+I4646+I4647</f>
        <v>3759.4100000000003</v>
      </c>
    </row>
    <row r="4649" spans="1:1" ht="16">
      <c r="A4649" s="34" t="s">
        <v>3513</v>
      </c>
    </row>
    <row r="4650" spans="2:9" ht="16">
      <c r="B4650" s="24" t="s">
        <v>2353</v>
      </c>
      <c r="C4650" s="24" t="s">
        <v>6</v>
      </c>
      <c r="D4650" s="24" t="s">
        <v>29</v>
      </c>
      <c r="E4650" s="24" t="s">
        <v>8</v>
      </c>
      <c r="F4650" s="24" t="s">
        <v>9</v>
      </c>
      <c r="G4650" s="24" t="s">
        <v>8</v>
      </c>
      <c r="H4650" s="24" t="s">
        <v>3629</v>
      </c>
      <c r="I4650" s="27">
        <v>140.0</v>
      </c>
    </row>
    <row r="4651" spans="2:9" ht="16">
      <c r="B4651" s="24" t="s">
        <v>2353</v>
      </c>
      <c r="C4651" s="24" t="s">
        <v>6</v>
      </c>
      <c r="D4651" s="24" t="s">
        <v>83</v>
      </c>
      <c r="E4651" s="24" t="s">
        <v>8</v>
      </c>
      <c r="F4651" s="24" t="s">
        <v>9</v>
      </c>
      <c r="G4651" s="24" t="s">
        <v>8</v>
      </c>
      <c r="H4651" s="24" t="s">
        <v>3630</v>
      </c>
      <c r="I4651" s="27">
        <v>280.0</v>
      </c>
    </row>
    <row r="4652" spans="2:9" ht="16">
      <c r="B4652" s="24" t="s">
        <v>2353</v>
      </c>
      <c r="C4652" s="24" t="s">
        <v>6</v>
      </c>
      <c r="D4652" s="24" t="s">
        <v>55</v>
      </c>
      <c r="E4652" s="24" t="s">
        <v>8</v>
      </c>
      <c r="F4652" s="24" t="s">
        <v>9</v>
      </c>
      <c r="G4652" s="24" t="s">
        <v>8</v>
      </c>
      <c r="H4652" s="24" t="s">
        <v>3631</v>
      </c>
      <c r="I4652" s="27">
        <v>100.0</v>
      </c>
    </row>
    <row r="4653" spans="2:9" ht="16">
      <c r="B4653" s="24" t="s">
        <v>1934</v>
      </c>
      <c r="C4653" s="24" t="s">
        <v>6</v>
      </c>
      <c r="D4653" s="24" t="s">
        <v>3626</v>
      </c>
      <c r="E4653" s="24" t="s">
        <v>8</v>
      </c>
      <c r="F4653" s="24" t="s">
        <v>9</v>
      </c>
      <c r="G4653" s="24" t="s">
        <v>8</v>
      </c>
      <c r="H4653" s="24" t="s">
        <v>3632</v>
      </c>
      <c r="I4653" s="27">
        <v>20.61</v>
      </c>
    </row>
    <row r="4654" spans="2:9" ht="16">
      <c r="B4654" s="24" t="s">
        <v>186</v>
      </c>
      <c r="C4654" s="24" t="s">
        <v>6</v>
      </c>
      <c r="D4654" s="24" t="s">
        <v>3633</v>
      </c>
      <c r="E4654" s="24" t="s">
        <v>8</v>
      </c>
      <c r="F4654" s="24" t="s">
        <v>9</v>
      </c>
      <c r="G4654" s="24" t="s">
        <v>8</v>
      </c>
      <c r="H4654" s="24" t="s">
        <v>3634</v>
      </c>
      <c r="I4654" s="27">
        <v>43.97</v>
      </c>
    </row>
    <row r="4655" spans="2:9" ht="16">
      <c r="B4655" s="24" t="s">
        <v>658</v>
      </c>
      <c r="C4655" s="24" t="s">
        <v>6</v>
      </c>
      <c r="D4655" s="24" t="s">
        <v>128</v>
      </c>
      <c r="E4655" s="24" t="s">
        <v>8</v>
      </c>
      <c r="F4655" s="24" t="s">
        <v>9</v>
      </c>
      <c r="G4655" s="24" t="s">
        <v>8</v>
      </c>
      <c r="H4655" s="24" t="s">
        <v>3635</v>
      </c>
      <c r="I4655" s="27">
        <v>43.27</v>
      </c>
    </row>
    <row r="4656" spans="2:9" ht="16">
      <c r="B4656" s="24" t="s">
        <v>658</v>
      </c>
      <c r="C4656" s="24" t="s">
        <v>6</v>
      </c>
      <c r="D4656" s="24" t="s">
        <v>3636</v>
      </c>
      <c r="E4656" s="24" t="s">
        <v>8</v>
      </c>
      <c r="F4656" s="24" t="s">
        <v>9</v>
      </c>
      <c r="G4656" s="24" t="s">
        <v>8</v>
      </c>
      <c r="H4656" s="24" t="s">
        <v>3637</v>
      </c>
      <c r="I4656" s="27">
        <v>92.94</v>
      </c>
    </row>
    <row r="4657" spans="2:9" ht="16">
      <c r="B4657" s="24" t="s">
        <v>119</v>
      </c>
      <c r="C4657" s="24" t="s">
        <v>6</v>
      </c>
      <c r="D4657" s="24" t="s">
        <v>388</v>
      </c>
      <c r="E4657" s="24" t="s">
        <v>8</v>
      </c>
      <c r="F4657" s="24" t="s">
        <v>9</v>
      </c>
      <c r="G4657" s="24" t="s">
        <v>8</v>
      </c>
      <c r="H4657" s="24" t="s">
        <v>3638</v>
      </c>
      <c r="I4657" s="27">
        <v>60.14</v>
      </c>
    </row>
    <row r="4658" spans="2:9" ht="16">
      <c r="B4658" s="24" t="s">
        <v>814</v>
      </c>
      <c r="C4658" s="24" t="s">
        <v>6</v>
      </c>
      <c r="D4658" s="24" t="s">
        <v>3460</v>
      </c>
      <c r="E4658" s="24" t="s">
        <v>3639</v>
      </c>
      <c r="F4658" s="24" t="s">
        <v>9</v>
      </c>
      <c r="G4658" s="24" t="s">
        <v>8</v>
      </c>
      <c r="H4658" s="24" t="s">
        <v>3640</v>
      </c>
      <c r="I4658" s="27">
        <v>89.83</v>
      </c>
    </row>
    <row r="4659" spans="2:9" ht="16">
      <c r="B4659" s="24" t="s">
        <v>186</v>
      </c>
      <c r="C4659" s="24" t="s">
        <v>6</v>
      </c>
      <c r="D4659" s="24" t="s">
        <v>3641</v>
      </c>
      <c r="E4659" s="24" t="s">
        <v>1662</v>
      </c>
      <c r="F4659" s="24" t="s">
        <v>9</v>
      </c>
      <c r="G4659" s="24" t="s">
        <v>8</v>
      </c>
      <c r="H4659" s="24" t="s">
        <v>3642</v>
      </c>
      <c r="I4659" s="27">
        <v>1275.38</v>
      </c>
    </row>
    <row r="4660" spans="2:9" ht="16">
      <c r="B4660" s="24" t="s">
        <v>3643</v>
      </c>
      <c r="C4660" s="24" t="s">
        <v>6</v>
      </c>
      <c r="D4660" s="24" t="s">
        <v>296</v>
      </c>
      <c r="E4660" s="24" t="s">
        <v>8</v>
      </c>
      <c r="F4660" s="24" t="s">
        <v>9</v>
      </c>
      <c r="G4660" s="24" t="s">
        <v>8</v>
      </c>
      <c r="H4660" s="24" t="s">
        <v>3644</v>
      </c>
      <c r="I4660" s="27">
        <v>115.45</v>
      </c>
    </row>
    <row r="4661" spans="2:9" ht="16">
      <c r="B4661" s="24" t="s">
        <v>814</v>
      </c>
      <c r="C4661" s="24" t="s">
        <v>6</v>
      </c>
      <c r="D4661" s="24" t="s">
        <v>3645</v>
      </c>
      <c r="E4661" s="24" t="s">
        <v>8</v>
      </c>
      <c r="F4661" s="24" t="s">
        <v>9</v>
      </c>
      <c r="G4661" s="24" t="s">
        <v>8</v>
      </c>
      <c r="H4661" s="24" t="s">
        <v>3646</v>
      </c>
      <c r="I4661" s="27">
        <v>98.61</v>
      </c>
    </row>
    <row r="4662" spans="2:9" ht="16">
      <c r="B4662" s="24" t="s">
        <v>21</v>
      </c>
      <c r="C4662" s="24" t="s">
        <v>13</v>
      </c>
      <c r="D4662" s="24" t="s">
        <v>31</v>
      </c>
      <c r="E4662" s="24" t="s">
        <v>3647</v>
      </c>
      <c r="F4662" s="24" t="s">
        <v>9</v>
      </c>
      <c r="G4662" s="24" t="s">
        <v>8</v>
      </c>
      <c r="H4662" s="24" t="s">
        <v>24</v>
      </c>
      <c r="I4662" s="27">
        <v>3451.71</v>
      </c>
    </row>
    <row r="4663" spans="2:9" ht="16">
      <c r="B4663" s="24" t="s">
        <v>3648</v>
      </c>
      <c r="C4663" s="24" t="s">
        <v>6</v>
      </c>
      <c r="D4663" s="24" t="s">
        <v>3649</v>
      </c>
      <c r="E4663" s="24" t="s">
        <v>8</v>
      </c>
      <c r="F4663" s="24" t="s">
        <v>9</v>
      </c>
      <c r="G4663" s="24" t="s">
        <v>8</v>
      </c>
      <c r="H4663" s="24" t="s">
        <v>3650</v>
      </c>
      <c r="I4663" s="27">
        <v>297.24</v>
      </c>
    </row>
    <row r="4664" spans="2:9" ht="16">
      <c r="B4664" s="24" t="s">
        <v>2274</v>
      </c>
      <c r="C4664" s="24" t="s">
        <v>6</v>
      </c>
      <c r="D4664" s="24" t="s">
        <v>264</v>
      </c>
      <c r="E4664" s="24" t="s">
        <v>8</v>
      </c>
      <c r="F4664" s="24" t="s">
        <v>9</v>
      </c>
      <c r="G4664" s="24" t="s">
        <v>8</v>
      </c>
      <c r="H4664" s="24" t="s">
        <v>3651</v>
      </c>
      <c r="I4664" s="27">
        <v>164.02</v>
      </c>
    </row>
    <row r="4665" spans="2:9" ht="16">
      <c r="B4665" s="24" t="s">
        <v>2353</v>
      </c>
      <c r="C4665" s="24" t="s">
        <v>6</v>
      </c>
      <c r="D4665" s="24" t="s">
        <v>3652</v>
      </c>
      <c r="E4665" s="24" t="s">
        <v>8</v>
      </c>
      <c r="F4665" s="24" t="s">
        <v>9</v>
      </c>
      <c r="G4665" s="24" t="s">
        <v>8</v>
      </c>
      <c r="H4665" s="24" t="s">
        <v>3653</v>
      </c>
      <c r="I4665" s="27">
        <v>1530.0</v>
      </c>
    </row>
    <row r="4666" spans="2:9" ht="16">
      <c r="B4666" s="24" t="s">
        <v>2353</v>
      </c>
      <c r="C4666" s="24" t="s">
        <v>6</v>
      </c>
      <c r="D4666" s="24" t="s">
        <v>3645</v>
      </c>
      <c r="E4666" s="24" t="s">
        <v>8</v>
      </c>
      <c r="F4666" s="24" t="s">
        <v>9</v>
      </c>
      <c r="G4666" s="24" t="s">
        <v>8</v>
      </c>
      <c r="H4666" s="24" t="s">
        <v>3654</v>
      </c>
      <c r="I4666" s="27">
        <v>122.5</v>
      </c>
    </row>
    <row r="4667" spans="2:9" ht="16">
      <c r="B4667" s="24" t="s">
        <v>814</v>
      </c>
      <c r="C4667" s="24" t="s">
        <v>6</v>
      </c>
      <c r="D4667" s="24" t="s">
        <v>37</v>
      </c>
      <c r="E4667" s="24" t="s">
        <v>3655</v>
      </c>
      <c r="F4667" s="24" t="s">
        <v>9</v>
      </c>
      <c r="G4667" s="24" t="s">
        <v>8</v>
      </c>
      <c r="H4667" s="24" t="s">
        <v>3656</v>
      </c>
      <c r="I4667" s="27">
        <v>210.41</v>
      </c>
    </row>
    <row r="4668" spans="2:9" ht="16">
      <c r="B4668" s="24" t="s">
        <v>814</v>
      </c>
      <c r="C4668" s="24" t="s">
        <v>6</v>
      </c>
      <c r="D4668" s="24" t="s">
        <v>3423</v>
      </c>
      <c r="E4668" s="24" t="s">
        <v>8</v>
      </c>
      <c r="F4668" s="24" t="s">
        <v>9</v>
      </c>
      <c r="G4668" s="24" t="s">
        <v>8</v>
      </c>
      <c r="H4668" s="24" t="s">
        <v>3657</v>
      </c>
      <c r="I4668" s="27">
        <v>393.3</v>
      </c>
    </row>
    <row r="4669" spans="2:9" ht="16">
      <c r="B4669" s="24" t="s">
        <v>186</v>
      </c>
      <c r="C4669" s="24" t="s">
        <v>6</v>
      </c>
      <c r="D4669" s="24" t="s">
        <v>58</v>
      </c>
      <c r="E4669" s="24" t="s">
        <v>8</v>
      </c>
      <c r="F4669" s="24" t="s">
        <v>9</v>
      </c>
      <c r="G4669" s="24" t="s">
        <v>8</v>
      </c>
      <c r="H4669" s="24" t="s">
        <v>3658</v>
      </c>
      <c r="I4669" s="27">
        <v>203.77</v>
      </c>
    </row>
    <row r="4670" spans="2:9" ht="16">
      <c r="B4670" s="24" t="s">
        <v>3616</v>
      </c>
      <c r="C4670" s="24" t="s">
        <v>6</v>
      </c>
      <c r="D4670" s="24" t="s">
        <v>728</v>
      </c>
      <c r="E4670" s="24" t="s">
        <v>8</v>
      </c>
      <c r="F4670" s="24" t="s">
        <v>9</v>
      </c>
      <c r="G4670" s="24" t="s">
        <v>8</v>
      </c>
      <c r="H4670" s="24" t="s">
        <v>3659</v>
      </c>
      <c r="I4670" s="27">
        <v>23.05</v>
      </c>
    </row>
    <row r="4671" spans="2:9" ht="16">
      <c r="B4671" s="24" t="s">
        <v>36</v>
      </c>
      <c r="C4671" s="24" t="s">
        <v>6</v>
      </c>
      <c r="D4671" s="24" t="s">
        <v>509</v>
      </c>
      <c r="E4671" s="24" t="s">
        <v>8</v>
      </c>
      <c r="F4671" s="24" t="s">
        <v>9</v>
      </c>
      <c r="G4671" s="24" t="s">
        <v>8</v>
      </c>
      <c r="H4671" s="24" t="s">
        <v>3660</v>
      </c>
      <c r="I4671" s="27">
        <v>131.48</v>
      </c>
    </row>
    <row r="4672" spans="2:9" ht="16">
      <c r="B4672" s="24" t="s">
        <v>2353</v>
      </c>
      <c r="C4672" s="24" t="s">
        <v>6</v>
      </c>
      <c r="D4672" s="24" t="s">
        <v>346</v>
      </c>
      <c r="E4672" s="24" t="s">
        <v>8</v>
      </c>
      <c r="F4672" s="24" t="s">
        <v>9</v>
      </c>
      <c r="G4672" s="24" t="s">
        <v>8</v>
      </c>
      <c r="H4672" s="24" t="s">
        <v>3661</v>
      </c>
      <c r="I4672" s="27">
        <v>400.0</v>
      </c>
    </row>
    <row r="4673" spans="2:9" ht="16">
      <c r="B4673" s="24" t="s">
        <v>390</v>
      </c>
      <c r="C4673" s="24" t="s">
        <v>6</v>
      </c>
      <c r="D4673" s="24" t="s">
        <v>351</v>
      </c>
      <c r="E4673" s="24" t="s">
        <v>3662</v>
      </c>
      <c r="F4673" s="24" t="s">
        <v>9</v>
      </c>
      <c r="G4673" s="24" t="s">
        <v>8</v>
      </c>
      <c r="H4673" s="24" t="s">
        <v>395</v>
      </c>
      <c r="I4673" s="27">
        <v>21.98</v>
      </c>
    </row>
    <row r="4674" spans="2:9" ht="16">
      <c r="B4674" s="24" t="s">
        <v>119</v>
      </c>
      <c r="C4674" s="24" t="s">
        <v>6</v>
      </c>
      <c r="D4674" s="24" t="s">
        <v>3645</v>
      </c>
      <c r="E4674" s="24" t="s">
        <v>8</v>
      </c>
      <c r="F4674" s="24" t="s">
        <v>9</v>
      </c>
      <c r="G4674" s="24" t="s">
        <v>8</v>
      </c>
      <c r="H4674" s="24" t="s">
        <v>3663</v>
      </c>
      <c r="I4674" s="27">
        <v>311.15</v>
      </c>
    </row>
    <row r="4675" spans="2:9" ht="16">
      <c r="B4675" s="24" t="s">
        <v>119</v>
      </c>
      <c r="C4675" s="24" t="s">
        <v>6</v>
      </c>
      <c r="D4675" s="24" t="s">
        <v>41</v>
      </c>
      <c r="E4675" s="24" t="s">
        <v>3664</v>
      </c>
      <c r="F4675" s="24" t="s">
        <v>9</v>
      </c>
      <c r="G4675" s="24" t="s">
        <v>8</v>
      </c>
      <c r="H4675" s="24" t="s">
        <v>3665</v>
      </c>
      <c r="I4675" s="27">
        <v>97.38</v>
      </c>
    </row>
    <row r="4676" spans="2:9" ht="16">
      <c r="B4676" s="24" t="s">
        <v>119</v>
      </c>
      <c r="C4676" s="24" t="s">
        <v>6</v>
      </c>
      <c r="D4676" s="24" t="s">
        <v>709</v>
      </c>
      <c r="E4676" s="24" t="s">
        <v>8</v>
      </c>
      <c r="F4676" s="24" t="s">
        <v>9</v>
      </c>
      <c r="G4676" s="24" t="s">
        <v>8</v>
      </c>
      <c r="H4676" s="24" t="s">
        <v>710</v>
      </c>
      <c r="I4676" s="27">
        <v>126.56</v>
      </c>
    </row>
    <row r="4677" spans="2:9" ht="16">
      <c r="B4677" s="24" t="s">
        <v>119</v>
      </c>
      <c r="C4677" s="24" t="s">
        <v>6</v>
      </c>
      <c r="D4677" s="24" t="s">
        <v>3460</v>
      </c>
      <c r="E4677" s="24" t="s">
        <v>3666</v>
      </c>
      <c r="F4677" s="24" t="s">
        <v>9</v>
      </c>
      <c r="G4677" s="24" t="s">
        <v>8</v>
      </c>
      <c r="H4677" s="24" t="s">
        <v>3667</v>
      </c>
      <c r="I4677" s="27">
        <v>103.94</v>
      </c>
    </row>
    <row r="4678" spans="2:9" ht="16">
      <c r="B4678" s="24" t="s">
        <v>119</v>
      </c>
      <c r="C4678" s="24" t="s">
        <v>6</v>
      </c>
      <c r="D4678" s="24" t="s">
        <v>200</v>
      </c>
      <c r="E4678" s="24" t="s">
        <v>8</v>
      </c>
      <c r="F4678" s="24" t="s">
        <v>9</v>
      </c>
      <c r="G4678" s="24" t="s">
        <v>8</v>
      </c>
      <c r="H4678" s="24" t="s">
        <v>353</v>
      </c>
      <c r="I4678" s="27">
        <v>18.26</v>
      </c>
    </row>
    <row r="4679" spans="2:9" ht="16">
      <c r="B4679" s="24" t="s">
        <v>3668</v>
      </c>
      <c r="C4679" s="24" t="s">
        <v>6</v>
      </c>
      <c r="D4679" s="24" t="s">
        <v>351</v>
      </c>
      <c r="E4679" s="24" t="s">
        <v>8</v>
      </c>
      <c r="F4679" s="24" t="s">
        <v>9</v>
      </c>
      <c r="G4679" s="24" t="s">
        <v>8</v>
      </c>
      <c r="H4679" s="24" t="s">
        <v>3669</v>
      </c>
      <c r="I4679" s="27">
        <v>329.46</v>
      </c>
    </row>
    <row r="4680" spans="1:9" ht="16">
      <c r="A4680" s="35" t="s">
        <v>433</v>
      </c>
      <c r="I4680" s="28">
        <f>I4649+I4650+I4651+I4652+I4653+I4654+I4655+I4656+I4657+I4658+I4659+I4660+I4661+I4662+I4663+I4664+I4665+I4666+I4667+I4668+I4669+I4670+I4671+I4672+I4673+I4674+I4675+I4676+I4677+I4678+I4679</f>
        <v>10296.409999999996</v>
      </c>
    </row>
    <row r="4681" spans="1:1" ht="16">
      <c r="A4681" s="34" t="s">
        <v>3513</v>
      </c>
    </row>
    <row r="4682" spans="2:9" ht="16">
      <c r="B4682" s="24" t="s">
        <v>3522</v>
      </c>
      <c r="C4682" s="24" t="s">
        <v>6</v>
      </c>
      <c r="D4682" s="24" t="s">
        <v>243</v>
      </c>
      <c r="E4682" s="24" t="s">
        <v>8</v>
      </c>
      <c r="F4682" s="24" t="s">
        <v>3570</v>
      </c>
      <c r="G4682" s="24" t="s">
        <v>8</v>
      </c>
      <c r="H4682" s="24" t="s">
        <v>3670</v>
      </c>
      <c r="I4682" s="27">
        <v>83.29</v>
      </c>
    </row>
    <row r="4683" spans="2:9" ht="16">
      <c r="B4683" s="24" t="s">
        <v>3671</v>
      </c>
      <c r="C4683" s="24" t="s">
        <v>6</v>
      </c>
      <c r="D4683" s="24" t="s">
        <v>3672</v>
      </c>
      <c r="E4683" s="24" t="s">
        <v>8</v>
      </c>
      <c r="F4683" s="24" t="s">
        <v>3570</v>
      </c>
      <c r="G4683" s="24" t="s">
        <v>8</v>
      </c>
      <c r="H4683" s="24" t="s">
        <v>3673</v>
      </c>
      <c r="I4683" s="27">
        <v>261.52</v>
      </c>
    </row>
    <row r="4684" spans="1:9" ht="16">
      <c r="A4684" s="35" t="s">
        <v>3674</v>
      </c>
      <c r="I4684" s="28">
        <f>I4681+I4682+I4683</f>
        <v>344.81</v>
      </c>
    </row>
    <row r="4685" spans="1:1" ht="16">
      <c r="A4685" s="34" t="s">
        <v>3513</v>
      </c>
    </row>
    <row r="4686" spans="2:9" ht="16">
      <c r="B4686" s="24" t="s">
        <v>51</v>
      </c>
      <c r="C4686" s="24" t="s">
        <v>6</v>
      </c>
      <c r="D4686" s="24" t="s">
        <v>738</v>
      </c>
      <c r="E4686" s="24" t="s">
        <v>8</v>
      </c>
      <c r="F4686" s="24" t="s">
        <v>9</v>
      </c>
      <c r="G4686" s="24" t="s">
        <v>8</v>
      </c>
      <c r="H4686" s="24" t="s">
        <v>1662</v>
      </c>
      <c r="I4686" s="27">
        <v>295.22</v>
      </c>
    </row>
    <row r="4687" spans="2:9" ht="16">
      <c r="B4687" s="24" t="s">
        <v>51</v>
      </c>
      <c r="C4687" s="24" t="s">
        <v>6</v>
      </c>
      <c r="D4687" s="24" t="s">
        <v>166</v>
      </c>
      <c r="E4687" s="24" t="s">
        <v>8</v>
      </c>
      <c r="F4687" s="24" t="s">
        <v>9</v>
      </c>
      <c r="G4687" s="24" t="s">
        <v>8</v>
      </c>
      <c r="H4687" s="24" t="s">
        <v>167</v>
      </c>
      <c r="I4687" s="27">
        <v>401.44</v>
      </c>
    </row>
    <row r="4688" spans="2:9" ht="16">
      <c r="B4688" s="24" t="s">
        <v>51</v>
      </c>
      <c r="C4688" s="24" t="s">
        <v>6</v>
      </c>
      <c r="D4688" s="24" t="s">
        <v>93</v>
      </c>
      <c r="E4688" s="24" t="s">
        <v>8</v>
      </c>
      <c r="F4688" s="24" t="s">
        <v>9</v>
      </c>
      <c r="G4688" s="24" t="s">
        <v>8</v>
      </c>
      <c r="H4688" s="24" t="s">
        <v>53</v>
      </c>
      <c r="I4688" s="27">
        <v>51.01</v>
      </c>
    </row>
    <row r="4689" spans="2:9" ht="16">
      <c r="B4689" s="24" t="s">
        <v>51</v>
      </c>
      <c r="C4689" s="24" t="s">
        <v>6</v>
      </c>
      <c r="D4689" s="24" t="s">
        <v>133</v>
      </c>
      <c r="E4689" s="24" t="s">
        <v>8</v>
      </c>
      <c r="F4689" s="24" t="s">
        <v>9</v>
      </c>
      <c r="G4689" s="24" t="s">
        <v>8</v>
      </c>
      <c r="H4689" s="24" t="s">
        <v>3675</v>
      </c>
      <c r="I4689" s="27">
        <v>266.46</v>
      </c>
    </row>
    <row r="4690" spans="2:9" ht="16">
      <c r="B4690" s="24" t="s">
        <v>51</v>
      </c>
      <c r="C4690" s="24" t="s">
        <v>6</v>
      </c>
      <c r="D4690" s="24" t="s">
        <v>170</v>
      </c>
      <c r="E4690" s="24" t="s">
        <v>8</v>
      </c>
      <c r="F4690" s="24" t="s">
        <v>9</v>
      </c>
      <c r="G4690" s="24" t="s">
        <v>8</v>
      </c>
      <c r="H4690" s="24" t="s">
        <v>3510</v>
      </c>
      <c r="I4690" s="27">
        <v>127.5</v>
      </c>
    </row>
    <row r="4691" spans="2:9" ht="16">
      <c r="B4691" s="24" t="s">
        <v>51</v>
      </c>
      <c r="C4691" s="24" t="s">
        <v>6</v>
      </c>
      <c r="D4691" s="24" t="s">
        <v>280</v>
      </c>
      <c r="E4691" s="24" t="s">
        <v>8</v>
      </c>
      <c r="F4691" s="24" t="s">
        <v>9</v>
      </c>
      <c r="G4691" s="24" t="s">
        <v>8</v>
      </c>
      <c r="H4691" s="24" t="s">
        <v>3583</v>
      </c>
      <c r="I4691" s="27">
        <v>199.94</v>
      </c>
    </row>
    <row r="4692" spans="1:9" ht="16">
      <c r="A4692" s="35" t="s">
        <v>67</v>
      </c>
      <c r="I4692" s="28">
        <f>I4685+I4686+I4687+I4688+I4689+I4690+I4691</f>
        <v>1341.5700000000002</v>
      </c>
    </row>
    <row r="4693" spans="1:9" ht="16">
      <c r="A4693" s="36" t="s">
        <v>3676</v>
      </c>
      <c r="I4693" s="28">
        <f>I4567+I4573+I4582+I4585+I4591+I4595+I4607+I4648+I4680+I4684+I4692</f>
        <v>20842.55</v>
      </c>
    </row>
    <row r="4697" spans="1:1" ht="16">
      <c r="A4697" s="37" t="s">
        <v>3685</v>
      </c>
    </row>
  </sheetData>
  <mergeCells count="4">
    <mergeCell ref="A1:H1"/>
    <mergeCell ref="A2:H2"/>
    <mergeCell ref="A3:H3"/>
    <mergeCell ref="A4697:H469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