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CO003 - Updated" sheetId="2" r:id="rId6"/>
    <sheet state="visible" name="SOV" sheetId="3" r:id="rId7"/>
    <sheet state="visible" name="Updated Budget" sheetId="4" r:id="rId8"/>
    <sheet state="hidden" name="CO1" sheetId="5" r:id="rId9"/>
    <sheet state="hidden" name="CO2" sheetId="6" r:id="rId10"/>
    <sheet state="hidden" name="CO3" sheetId="7" r:id="rId11"/>
    <sheet state="visible" name="Budget v Actual" sheetId="8" r:id="rId12"/>
  </sheets>
  <definedNames/>
  <calcPr/>
</workbook>
</file>

<file path=xl/sharedStrings.xml><?xml version="1.0" encoding="utf-8"?>
<sst xmlns="http://schemas.openxmlformats.org/spreadsheetml/2006/main" count="532" uniqueCount="79">
  <si>
    <t>Job Cost Budget</t>
  </si>
  <si>
    <t>Project Name:</t>
  </si>
  <si>
    <t>Pulse 9th Floor</t>
  </si>
  <si>
    <t xml:space="preserve">Job # </t>
  </si>
  <si>
    <t>Contract Amount:</t>
  </si>
  <si>
    <t>Thru CO #</t>
  </si>
  <si>
    <t>Last Update</t>
  </si>
  <si>
    <t>Section</t>
  </si>
  <si>
    <t>Cost Code</t>
  </si>
  <si>
    <t>$ Budgeted</t>
  </si>
  <si>
    <t>$ Actual</t>
  </si>
  <si>
    <t>Overrun</t>
  </si>
  <si>
    <t>%</t>
  </si>
  <si>
    <t>Change</t>
  </si>
  <si>
    <t>Hrs Budgeted</t>
  </si>
  <si>
    <t>Hrs Actual</t>
  </si>
  <si>
    <t>Hrs Remaining</t>
  </si>
  <si>
    <t>Labor</t>
  </si>
  <si>
    <t>Supervision</t>
  </si>
  <si>
    <t>Clean-up</t>
  </si>
  <si>
    <t>Delivery</t>
  </si>
  <si>
    <t>Temp Protections</t>
  </si>
  <si>
    <t>Demo</t>
  </si>
  <si>
    <t>Layout</t>
  </si>
  <si>
    <t>Rough Carpentry</t>
  </si>
  <si>
    <t>Finish Carpentry</t>
  </si>
  <si>
    <t>Doors</t>
  </si>
  <si>
    <t>Exterior Framing</t>
  </si>
  <si>
    <t>Sheathing</t>
  </si>
  <si>
    <t>Interior Framing</t>
  </si>
  <si>
    <t>Insulation</t>
  </si>
  <si>
    <t>Drywall</t>
  </si>
  <si>
    <t>Taping</t>
  </si>
  <si>
    <t>Ceiling Grid</t>
  </si>
  <si>
    <t>Ceiling Tile</t>
  </si>
  <si>
    <t>Specialties</t>
  </si>
  <si>
    <t>Other</t>
  </si>
  <si>
    <t>Overtime</t>
  </si>
  <si>
    <t>Allowance Hrs</t>
  </si>
  <si>
    <t>WO#</t>
  </si>
  <si>
    <t>Labor Sub Totals</t>
  </si>
  <si>
    <t>Material</t>
  </si>
  <si>
    <t>Rough Carp</t>
  </si>
  <si>
    <t>Finish Carp</t>
  </si>
  <si>
    <t>Ceiling</t>
  </si>
  <si>
    <t>WO #</t>
  </si>
  <si>
    <t>Material Sub Totals</t>
  </si>
  <si>
    <t>Subcontractors</t>
  </si>
  <si>
    <t>Acoustical Ceilings - Briarwood</t>
  </si>
  <si>
    <t>Taping - C4</t>
  </si>
  <si>
    <t>Subcontractor Totals</t>
  </si>
  <si>
    <t>Equipment Rental</t>
  </si>
  <si>
    <t>Engineering</t>
  </si>
  <si>
    <t>Mileage</t>
  </si>
  <si>
    <t>Tool Rental</t>
  </si>
  <si>
    <t>Bonding</t>
  </si>
  <si>
    <t>Allowance</t>
  </si>
  <si>
    <t>Contingency</t>
  </si>
  <si>
    <t>Dumpster</t>
  </si>
  <si>
    <t>Other Sub Totals</t>
  </si>
  <si>
    <t>Budget</t>
  </si>
  <si>
    <t>Actual</t>
  </si>
  <si>
    <t>Difference</t>
  </si>
  <si>
    <t>Overall Job Totals</t>
  </si>
  <si>
    <t>CO001</t>
  </si>
  <si>
    <t>CO002</t>
  </si>
  <si>
    <t>CO003</t>
  </si>
  <si>
    <t>Pre- Con</t>
  </si>
  <si>
    <t xml:space="preserve">Framing </t>
  </si>
  <si>
    <t>Drywall/Insulation</t>
  </si>
  <si>
    <t>DFHW</t>
  </si>
  <si>
    <t>Backing</t>
  </si>
  <si>
    <t>ACT sub</t>
  </si>
  <si>
    <t>Taping sub</t>
  </si>
  <si>
    <t>Contract amount</t>
  </si>
  <si>
    <t>CO Budget Update</t>
  </si>
  <si>
    <t>Change Amount:</t>
  </si>
  <si>
    <t>CO #</t>
  </si>
  <si>
    <t>Acoustical Ceilings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</si>
</sst>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"/>
    <numFmt numFmtId="166" formatCode="m/d"/>
    <numFmt numFmtId="167" formatCode="m/d/yyyy"/>
    <numFmt numFmtId="168" formatCode="m/d/yy"/>
  </numFmts>
  <fonts count="23">
    <font>
      <sz val="10.0"/>
      <color rgb="FF000000"/>
      <name val="Arial"/>
      <scheme val="minor"/>
    </font>
    <font>
      <sz val="22.0"/>
      <color rgb="FFFFFFFF"/>
      <name val="Amaranth"/>
    </font>
    <font>
      <sz val="10.0"/>
      <color rgb="FFFFFFFF"/>
      <name val="Arial"/>
    </font>
    <font>
      <b/>
      <sz val="27.0"/>
      <color rgb="FF000000"/>
      <name val="Economica"/>
    </font>
    <font/>
    <font>
      <sz val="10.0"/>
      <color rgb="FF666666"/>
      <name val="Open Sans"/>
    </font>
    <font>
      <sz val="10.0"/>
      <color rgb="FF9FC5E8"/>
      <name val="Arial"/>
    </font>
    <font>
      <sz val="20.0"/>
      <color rgb="FF000000"/>
      <name val="Economica"/>
    </font>
    <font>
      <b/>
      <sz val="20.0"/>
      <color rgb="FF000000"/>
      <name val="Economica"/>
    </font>
    <font>
      <sz val="20.0"/>
      <color rgb="FF666666"/>
      <name val="Economica"/>
    </font>
    <font>
      <b/>
      <sz val="20.0"/>
      <color rgb="FF000000"/>
      <name val="Spectral"/>
    </font>
    <font>
      <sz val="13.0"/>
      <color rgb="FF000000"/>
      <name val="Economica"/>
    </font>
    <font>
      <b/>
      <sz val="12.0"/>
      <color rgb="FF666666"/>
      <name val="Economica"/>
    </font>
    <font>
      <b/>
      <sz val="36.0"/>
      <color rgb="FF000000"/>
      <name val="Economica"/>
    </font>
    <font>
      <b/>
      <sz val="12.0"/>
      <color rgb="FF000000"/>
      <name val="Economica"/>
    </font>
    <font>
      <sz val="12.0"/>
      <color theme="1"/>
      <name val="Open Sans"/>
    </font>
    <font>
      <sz val="12.0"/>
      <color rgb="FF000000"/>
      <name val="Open Sans"/>
    </font>
    <font>
      <sz val="12.0"/>
      <color theme="1"/>
      <name val="Economica"/>
    </font>
    <font>
      <color theme="1"/>
      <name val="Open Sans"/>
    </font>
    <font>
      <b/>
      <sz val="14.0"/>
      <color theme="1"/>
      <name val="Economica"/>
    </font>
    <font>
      <color rgb="FF000000"/>
      <name val="Open Sans"/>
    </font>
    <font>
      <b/>
      <sz val="20.0"/>
      <color theme="1"/>
      <name val="Economica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ck">
        <color rgb="FF000000"/>
      </top>
    </border>
    <border>
      <left style="thin">
        <color rgb="FFFFFFFF"/>
      </left>
      <top style="thick">
        <color rgb="FF000000"/>
      </top>
    </border>
    <border>
      <top style="thick">
        <color rgb="FF000000"/>
      </top>
    </border>
    <border>
      <right style="thin">
        <color rgb="FFFFFFFF"/>
      </right>
      <top style="thick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FFFFF"/>
      </left>
      <right style="thin">
        <color rgb="FFFFFFFF"/>
      </right>
      <bottom style="thin">
        <color rgb="FFF3F3F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1" numFmtId="164" xfId="0" applyAlignment="1" applyBorder="1" applyFont="1" applyNumberFormat="1">
      <alignment readingOrder="0" shrinkToFit="0" vertical="top" wrapText="1"/>
    </xf>
    <xf borderId="2" fillId="2" fontId="3" numFmtId="0" xfId="0" applyAlignment="1" applyBorder="1" applyFont="1">
      <alignment readingOrder="0" shrinkToFit="0" vertical="top" wrapText="1"/>
    </xf>
    <xf borderId="3" fillId="0" fontId="4" numFmtId="0" xfId="0" applyBorder="1" applyFont="1"/>
    <xf borderId="2" fillId="2" fontId="5" numFmtId="0" xfId="0" applyAlignment="1" applyBorder="1" applyFont="1">
      <alignment horizontal="right" readingOrder="0" shrinkToFit="0" vertical="center" wrapText="1"/>
    </xf>
    <xf borderId="4" fillId="0" fontId="4" numFmtId="0" xfId="0" applyBorder="1" applyFont="1"/>
    <xf borderId="1" fillId="2" fontId="6" numFmtId="0" xfId="0" applyAlignment="1" applyBorder="1" applyFont="1">
      <alignment horizontal="left" readingOrder="0" shrinkToFit="0" vertical="top" wrapText="1"/>
    </xf>
    <xf borderId="5" fillId="2" fontId="1" numFmtId="0" xfId="0" applyAlignment="1" applyBorder="1" applyFont="1">
      <alignment readingOrder="0" shrinkToFit="0" vertical="top" wrapText="1"/>
    </xf>
    <xf borderId="5" fillId="2" fontId="7" numFmtId="0" xfId="0" applyAlignment="1" applyBorder="1" applyFont="1">
      <alignment readingOrder="0" shrinkToFit="0" vertical="top" wrapText="1"/>
    </xf>
    <xf borderId="6" fillId="2" fontId="8" numFmtId="0" xfId="0" applyAlignment="1" applyBorder="1" applyFont="1">
      <alignment readingOrder="0" shrinkToFit="0" vertical="top" wrapText="1"/>
    </xf>
    <xf borderId="7" fillId="0" fontId="4" numFmtId="0" xfId="0" applyBorder="1" applyFont="1"/>
    <xf borderId="6" fillId="2" fontId="7" numFmtId="0" xfId="0" applyAlignment="1" applyBorder="1" applyFont="1">
      <alignment readingOrder="0" shrinkToFit="0" vertical="top" wrapText="1"/>
    </xf>
    <xf borderId="6" fillId="2" fontId="9" numFmtId="0" xfId="0" applyAlignment="1" applyBorder="1" applyFont="1">
      <alignment horizontal="right" readingOrder="0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5" fillId="2" fontId="6" numFmtId="0" xfId="0" applyAlignment="1" applyBorder="1" applyFont="1">
      <alignment horizontal="left" readingOrder="0" shrinkToFit="0" vertical="top" wrapText="1"/>
    </xf>
    <xf borderId="5" fillId="2" fontId="10" numFmtId="165" xfId="0" applyAlignment="1" applyBorder="1" applyFont="1" applyNumberFormat="1">
      <alignment readingOrder="0" shrinkToFit="0" vertical="top" wrapText="1"/>
    </xf>
    <xf borderId="6" fillId="2" fontId="11" numFmtId="0" xfId="0" applyAlignment="1" applyBorder="1" applyFont="1">
      <alignment horizontal="left" readingOrder="0" shrinkToFit="0" vertical="center" wrapText="1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5" numFmtId="166" xfId="0" applyAlignment="1" applyBorder="1" applyFont="1" applyNumberFormat="1">
      <alignment horizontal="right" readingOrder="0" shrinkToFit="0" vertical="center" wrapText="1"/>
    </xf>
    <xf borderId="5" fillId="2" fontId="13" numFmtId="0" xfId="0" applyAlignment="1" applyBorder="1" applyFont="1">
      <alignment readingOrder="0" shrinkToFit="0" vertical="top" wrapText="1"/>
    </xf>
    <xf borderId="6" fillId="2" fontId="5" numFmtId="0" xfId="0" applyAlignment="1" applyBorder="1" applyFont="1">
      <alignment horizontal="right" readingOrder="0" shrinkToFit="0" vertical="center" wrapText="1"/>
    </xf>
    <xf borderId="0" fillId="2" fontId="5" numFmtId="0" xfId="0" applyAlignment="1" applyFont="1">
      <alignment horizontal="right" readingOrder="0" shrinkToFit="0" vertical="center" wrapText="1"/>
    </xf>
    <xf borderId="7" fillId="2" fontId="5" numFmtId="0" xfId="0" applyAlignment="1" applyBorder="1" applyFont="1">
      <alignment horizontal="right" readingOrder="0" shrinkToFit="0" vertical="center" wrapText="1"/>
    </xf>
    <xf borderId="8" fillId="2" fontId="14" numFmtId="0" xfId="0" applyAlignment="1" applyBorder="1" applyFont="1">
      <alignment readingOrder="0" shrinkToFit="0" vertical="center" wrapText="1"/>
    </xf>
    <xf borderId="8" fillId="2" fontId="14" numFmtId="0" xfId="0" applyAlignment="1" applyBorder="1" applyFont="1">
      <alignment horizontal="center" readingOrder="0" shrinkToFit="0" vertical="center" wrapText="1"/>
    </xf>
    <xf borderId="9" fillId="2" fontId="14" numFmtId="0" xfId="0" applyAlignment="1" applyBorder="1" applyFont="1">
      <alignment horizontal="center" readingOrder="0" shrinkToFit="0" vertical="center" wrapText="1"/>
    </xf>
    <xf borderId="10" fillId="2" fontId="14" numFmtId="0" xfId="0" applyAlignment="1" applyBorder="1" applyFont="1">
      <alignment horizontal="center" readingOrder="0" shrinkToFit="0" vertical="center" wrapText="1"/>
    </xf>
    <xf borderId="11" fillId="2" fontId="14" numFmtId="0" xfId="0" applyAlignment="1" applyBorder="1" applyFont="1">
      <alignment horizontal="center" readingOrder="0" shrinkToFit="0" vertical="center" wrapText="1"/>
    </xf>
    <xf borderId="8" fillId="2" fontId="14" numFmtId="164" xfId="0" applyAlignment="1" applyBorder="1" applyFont="1" applyNumberFormat="1">
      <alignment horizontal="right" readingOrder="0" shrinkToFit="0" vertical="center" wrapText="1"/>
    </xf>
    <xf borderId="12" fillId="0" fontId="15" numFmtId="0" xfId="0" applyBorder="1" applyFont="1"/>
    <xf borderId="12" fillId="0" fontId="15" numFmtId="0" xfId="0" applyAlignment="1" applyBorder="1" applyFont="1">
      <alignment readingOrder="0"/>
    </xf>
    <xf borderId="12" fillId="0" fontId="15" numFmtId="0" xfId="0" applyAlignment="1" applyBorder="1" applyFont="1">
      <alignment readingOrder="0" shrinkToFit="0" wrapText="1"/>
    </xf>
    <xf borderId="12" fillId="0" fontId="15" numFmtId="0" xfId="0" applyAlignment="1" applyBorder="1" applyFont="1">
      <alignment horizontal="left" readingOrder="0"/>
    </xf>
    <xf borderId="12" fillId="0" fontId="16" numFmtId="167" xfId="0" applyAlignment="1" applyBorder="1" applyFont="1" applyNumberFormat="1">
      <alignment horizontal="right" readingOrder="0"/>
    </xf>
    <xf borderId="13" fillId="0" fontId="16" numFmtId="167" xfId="0" applyAlignment="1" applyBorder="1" applyFont="1" applyNumberFormat="1">
      <alignment horizontal="right" readingOrder="0"/>
    </xf>
    <xf borderId="12" fillId="0" fontId="16" numFmtId="164" xfId="0" applyAlignment="1" applyBorder="1" applyFont="1" applyNumberFormat="1">
      <alignment horizontal="right" readingOrder="0"/>
    </xf>
    <xf borderId="0" fillId="3" fontId="17" numFmtId="0" xfId="0" applyFill="1" applyFont="1"/>
    <xf borderId="0" fillId="3" fontId="17" numFmtId="4" xfId="0" applyFont="1" applyNumberFormat="1"/>
    <xf borderId="0" fillId="3" fontId="17" numFmtId="3" xfId="0" applyFont="1" applyNumberFormat="1"/>
    <xf borderId="0" fillId="3" fontId="17" numFmtId="167" xfId="0" applyFont="1" applyNumberFormat="1"/>
    <xf borderId="0" fillId="0" fontId="17" numFmtId="0" xfId="0" applyFont="1"/>
    <xf borderId="0" fillId="0" fontId="17" numFmtId="168" xfId="0" applyFont="1" applyNumberFormat="1"/>
    <xf borderId="0" fillId="0" fontId="17" numFmtId="0" xfId="0" applyFont="1"/>
    <xf borderId="0" fillId="0" fontId="17" numFmtId="4" xfId="0" applyAlignment="1" applyFont="1" applyNumberFormat="1">
      <alignment readingOrder="0"/>
    </xf>
    <xf borderId="0" fillId="0" fontId="17" numFmtId="4" xfId="0" applyFont="1" applyNumberFormat="1"/>
    <xf borderId="0" fillId="0" fontId="17" numFmtId="3" xfId="0" applyFont="1" applyNumberFormat="1"/>
    <xf borderId="0" fillId="0" fontId="17" numFmtId="167" xfId="0" applyFont="1" applyNumberFormat="1"/>
    <xf borderId="0" fillId="0" fontId="17" numFmtId="3" xfId="0" applyAlignment="1" applyFont="1" applyNumberFormat="1">
      <alignment readingOrder="0"/>
    </xf>
    <xf borderId="10" fillId="0" fontId="17" numFmtId="0" xfId="0" applyBorder="1" applyFont="1"/>
    <xf borderId="10" fillId="0" fontId="17" numFmtId="0" xfId="0" applyBorder="1" applyFont="1"/>
    <xf borderId="10" fillId="0" fontId="17" numFmtId="4" xfId="0" applyBorder="1" applyFont="1" applyNumberFormat="1"/>
    <xf borderId="10" fillId="0" fontId="17" numFmtId="164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10" fillId="0" fontId="17" numFmtId="10" xfId="0" applyBorder="1" applyFont="1" applyNumberFormat="1"/>
    <xf borderId="13" fillId="0" fontId="18" numFmtId="0" xfId="0" applyBorder="1" applyFont="1"/>
    <xf borderId="13" fillId="0" fontId="19" numFmtId="0" xfId="0" applyAlignment="1" applyBorder="1" applyFont="1">
      <alignment horizontal="center" readingOrder="0"/>
    </xf>
    <xf borderId="13" fillId="0" fontId="18" numFmtId="0" xfId="0" applyAlignment="1" applyBorder="1" applyFont="1">
      <alignment readingOrder="0" shrinkToFit="0" wrapText="1"/>
    </xf>
    <xf borderId="13" fillId="0" fontId="18" numFmtId="4" xfId="0" applyAlignment="1" applyBorder="1" applyFont="1" applyNumberFormat="1">
      <alignment horizontal="left" readingOrder="0"/>
    </xf>
    <xf borderId="13" fillId="0" fontId="20" numFmtId="4" xfId="0" applyAlignment="1" applyBorder="1" applyFont="1" applyNumberFormat="1">
      <alignment horizontal="right" readingOrder="0"/>
    </xf>
    <xf borderId="13" fillId="0" fontId="20" numFmtId="3" xfId="0" applyAlignment="1" applyBorder="1" applyFont="1" applyNumberFormat="1">
      <alignment horizontal="right" readingOrder="0"/>
    </xf>
    <xf borderId="13" fillId="0" fontId="20" numFmtId="167" xfId="0" applyAlignment="1" applyBorder="1" applyFont="1" applyNumberFormat="1">
      <alignment horizontal="right" readingOrder="0"/>
    </xf>
    <xf borderId="0" fillId="0" fontId="17" numFmtId="0" xfId="0" applyAlignment="1" applyFont="1">
      <alignment readingOrder="0"/>
    </xf>
    <xf borderId="0" fillId="2" fontId="17" numFmtId="0" xfId="0" applyFont="1"/>
    <xf borderId="0" fillId="2" fontId="17" numFmtId="0" xfId="0" applyFont="1"/>
    <xf borderId="0" fillId="2" fontId="17" numFmtId="4" xfId="0" applyFont="1" applyNumberFormat="1"/>
    <xf borderId="0" fillId="2" fontId="17" numFmtId="0" xfId="0" applyFont="1"/>
    <xf borderId="0" fillId="2" fontId="17" numFmtId="168" xfId="0" applyFont="1" applyNumberFormat="1"/>
    <xf borderId="10" fillId="2" fontId="17" numFmtId="0" xfId="0" applyBorder="1" applyFont="1"/>
    <xf borderId="10" fillId="2" fontId="17" numFmtId="0" xfId="0" applyBorder="1" applyFont="1"/>
    <xf borderId="10" fillId="2" fontId="17" numFmtId="4" xfId="0" applyBorder="1" applyFont="1" applyNumberFormat="1"/>
    <xf borderId="0" fillId="2" fontId="17" numFmtId="0" xfId="0" applyFont="1"/>
    <xf borderId="0" fillId="2" fontId="17" numFmtId="4" xfId="0" applyFont="1" applyNumberFormat="1"/>
    <xf borderId="14" fillId="0" fontId="18" numFmtId="0" xfId="0" applyBorder="1" applyFont="1"/>
    <xf borderId="14" fillId="0" fontId="21" numFmtId="0" xfId="0" applyAlignment="1" applyBorder="1" applyFont="1">
      <alignment horizontal="right" readingOrder="0"/>
    </xf>
    <xf borderId="14" fillId="0" fontId="4" numFmtId="0" xfId="0" applyBorder="1" applyFont="1"/>
    <xf borderId="14" fillId="0" fontId="20" numFmtId="4" xfId="0" applyAlignment="1" applyBorder="1" applyFont="1" applyNumberFormat="1">
      <alignment horizontal="right" readingOrder="0"/>
    </xf>
    <xf borderId="14" fillId="0" fontId="20" numFmtId="0" xfId="0" applyAlignment="1" applyBorder="1" applyFont="1">
      <alignment horizontal="right" readingOrder="0"/>
    </xf>
    <xf borderId="0" fillId="0" fontId="17" numFmtId="165" xfId="0" applyFont="1" applyNumberFormat="1"/>
    <xf borderId="0" fillId="0" fontId="22" numFmtId="0" xfId="0" applyAlignment="1" applyFont="1">
      <alignment readingOrder="0"/>
    </xf>
    <xf borderId="0" fillId="0" fontId="22" numFmtId="0" xfId="0" applyFont="1"/>
    <xf borderId="10" fillId="0" fontId="17" numFmtId="4" xfId="0" applyAlignment="1" applyBorder="1" applyFont="1" applyNumberFormat="1">
      <alignment readingOrder="0"/>
    </xf>
    <xf borderId="10" fillId="2" fontId="17" numFmtId="4" xfId="0" applyAlignment="1" applyBorder="1" applyFont="1" applyNumberFormat="1">
      <alignment readingOrder="0"/>
    </xf>
    <xf borderId="14" fillId="0" fontId="20" numFmtId="10" xfId="0" applyAlignment="1" applyBorder="1" applyFont="1" applyNumberFormat="1">
      <alignment horizontal="right" readingOrder="0"/>
    </xf>
    <xf borderId="14" fillId="0" fontId="20" numFmtId="165" xfId="0" applyAlignment="1" applyBorder="1" applyFont="1" applyNumberFormat="1">
      <alignment horizontal="right"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CC0000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i/>
        <color rgb="FF0080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28">
    <tableStyle count="3" pivot="0" name="Original-style">
      <tableStyleElement dxfId="1" type="headerRow"/>
      <tableStyleElement dxfId="2" type="firstRowStripe"/>
      <tableStyleElement dxfId="3" type="secondRowStripe"/>
    </tableStyle>
    <tableStyle count="3" pivot="0" name="Original-style 2">
      <tableStyleElement dxfId="1" type="headerRow"/>
      <tableStyleElement dxfId="2" type="firstRowStripe"/>
      <tableStyleElement dxfId="3" type="secondRowStripe"/>
    </tableStyle>
    <tableStyle count="3" pivot="0" name="Original-style 3">
      <tableStyleElement dxfId="1" type="headerRow"/>
      <tableStyleElement dxfId="2" type="firstRowStripe"/>
      <tableStyleElement dxfId="3" type="secondRowStripe"/>
    </tableStyle>
    <tableStyle count="3" pivot="0" name="Original-style 4">
      <tableStyleElement dxfId="1" type="headerRow"/>
      <tableStyleElement dxfId="2" type="firstRowStripe"/>
      <tableStyleElement dxfId="3" type="secondRowStripe"/>
    </tableStyle>
    <tableStyle count="3" pivot="0" name="CO003 - Updated-style">
      <tableStyleElement dxfId="1" type="headerRow"/>
      <tableStyleElement dxfId="2" type="firstRowStripe"/>
      <tableStyleElement dxfId="3" type="secondRowStripe"/>
    </tableStyle>
    <tableStyle count="3" pivot="0" name="CO003 - Updated-style 2">
      <tableStyleElement dxfId="1" type="headerRow"/>
      <tableStyleElement dxfId="2" type="firstRowStripe"/>
      <tableStyleElement dxfId="3" type="secondRowStripe"/>
    </tableStyle>
    <tableStyle count="3" pivot="0" name="CO003 - Updated-style 3">
      <tableStyleElement dxfId="1" type="headerRow"/>
      <tableStyleElement dxfId="2" type="firstRowStripe"/>
      <tableStyleElement dxfId="3" type="secondRowStripe"/>
    </tableStyle>
    <tableStyle count="3" pivot="0" name="CO003 - Updated-style 4">
      <tableStyleElement dxfId="1" type="headerRow"/>
      <tableStyleElement dxfId="2" type="firstRowStripe"/>
      <tableStyleElement dxfId="3" type="secondRowStripe"/>
    </tableStyle>
    <tableStyle count="3" pivot="0" name="Updated Budget-style">
      <tableStyleElement dxfId="1" type="headerRow"/>
      <tableStyleElement dxfId="2" type="firstRowStripe"/>
      <tableStyleElement dxfId="3" type="secondRowStripe"/>
    </tableStyle>
    <tableStyle count="3" pivot="0" name="Updated Budget-style 2">
      <tableStyleElement dxfId="1" type="headerRow"/>
      <tableStyleElement dxfId="2" type="firstRowStripe"/>
      <tableStyleElement dxfId="3" type="secondRowStripe"/>
    </tableStyle>
    <tableStyle count="3" pivot="0" name="Updated Budget-style 3">
      <tableStyleElement dxfId="1" type="headerRow"/>
      <tableStyleElement dxfId="2" type="firstRowStripe"/>
      <tableStyleElement dxfId="3" type="secondRowStripe"/>
    </tableStyle>
    <tableStyle count="3" pivot="0" name="Updated Budget-style 4">
      <tableStyleElement dxfId="1" type="headerRow"/>
      <tableStyleElement dxfId="2" type="firstRowStripe"/>
      <tableStyleElement dxfId="3" type="secondRowStripe"/>
    </tableStyle>
    <tableStyle count="3" pivot="0" name="CO1-style">
      <tableStyleElement dxfId="1" type="headerRow"/>
      <tableStyleElement dxfId="2" type="firstRowStripe"/>
      <tableStyleElement dxfId="3" type="secondRowStripe"/>
    </tableStyle>
    <tableStyle count="3" pivot="0" name="CO1-style 2">
      <tableStyleElement dxfId="1" type="headerRow"/>
      <tableStyleElement dxfId="2" type="firstRowStripe"/>
      <tableStyleElement dxfId="3" type="secondRowStripe"/>
    </tableStyle>
    <tableStyle count="3" pivot="0" name="CO1-style 3">
      <tableStyleElement dxfId="1" type="headerRow"/>
      <tableStyleElement dxfId="2" type="firstRowStripe"/>
      <tableStyleElement dxfId="3" type="secondRowStripe"/>
    </tableStyle>
    <tableStyle count="3" pivot="0" name="CO1-style 4">
      <tableStyleElement dxfId="1" type="headerRow"/>
      <tableStyleElement dxfId="2" type="firstRowStripe"/>
      <tableStyleElement dxfId="3" type="secondRowStripe"/>
    </tableStyle>
    <tableStyle count="3" pivot="0" name="CO2-style">
      <tableStyleElement dxfId="1" type="headerRow"/>
      <tableStyleElement dxfId="2" type="firstRowStripe"/>
      <tableStyleElement dxfId="3" type="secondRowStripe"/>
    </tableStyle>
    <tableStyle count="3" pivot="0" name="CO2-style 2">
      <tableStyleElement dxfId="1" type="headerRow"/>
      <tableStyleElement dxfId="2" type="firstRowStripe"/>
      <tableStyleElement dxfId="3" type="secondRowStripe"/>
    </tableStyle>
    <tableStyle count="3" pivot="0" name="CO2-style 3">
      <tableStyleElement dxfId="1" type="headerRow"/>
      <tableStyleElement dxfId="2" type="firstRowStripe"/>
      <tableStyleElement dxfId="3" type="secondRowStripe"/>
    </tableStyle>
    <tableStyle count="3" pivot="0" name="CO2-style 4">
      <tableStyleElement dxfId="1" type="headerRow"/>
      <tableStyleElement dxfId="2" type="firstRowStripe"/>
      <tableStyleElement dxfId="3" type="secondRowStripe"/>
    </tableStyle>
    <tableStyle count="3" pivot="0" name="CO3-style">
      <tableStyleElement dxfId="1" type="headerRow"/>
      <tableStyleElement dxfId="2" type="firstRowStripe"/>
      <tableStyleElement dxfId="3" type="secondRowStripe"/>
    </tableStyle>
    <tableStyle count="3" pivot="0" name="CO3-style 2">
      <tableStyleElement dxfId="1" type="headerRow"/>
      <tableStyleElement dxfId="2" type="firstRowStripe"/>
      <tableStyleElement dxfId="3" type="secondRowStripe"/>
    </tableStyle>
    <tableStyle count="3" pivot="0" name="CO3-style 3">
      <tableStyleElement dxfId="1" type="headerRow"/>
      <tableStyleElement dxfId="2" type="firstRowStripe"/>
      <tableStyleElement dxfId="3" type="secondRowStripe"/>
    </tableStyle>
    <tableStyle count="3" pivot="0" name="CO3-style 4">
      <tableStyleElement dxfId="1" type="headerRow"/>
      <tableStyleElement dxfId="2" type="firstRowStripe"/>
      <tableStyleElement dxfId="3" type="secondRowStripe"/>
    </tableStyle>
    <tableStyle count="3" pivot="0" name="Budget v Actual-style">
      <tableStyleElement dxfId="1" type="headerRow"/>
      <tableStyleElement dxfId="2" type="firstRowStripe"/>
      <tableStyleElement dxfId="3" type="secondRowStripe"/>
    </tableStyle>
    <tableStyle count="3" pivot="0" name="Budget v Actual-style 2">
      <tableStyleElement dxfId="1" type="headerRow"/>
      <tableStyleElement dxfId="2" type="firstRowStripe"/>
      <tableStyleElement dxfId="3" type="secondRowStripe"/>
    </tableStyle>
    <tableStyle count="3" pivot="0" name="Budget v Actual-style 3">
      <tableStyleElement dxfId="1" type="headerRow"/>
      <tableStyleElement dxfId="2" type="firstRowStripe"/>
      <tableStyleElement dxfId="3" type="secondRowStripe"/>
    </tableStyle>
    <tableStyle count="3" pivot="0" name="Budget v Actual-style 4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62050" cy="371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L3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4:L46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48:L53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55:L6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igin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6:L33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003 - Updat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35:L47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003 - Update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49:L54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003 - Updated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56:L65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003 - Updated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A6:L32" displayName="Table_9" name="Table_9" id="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A34:L46" displayName="Table_10" name="Table_10" id="1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48:L53" displayName="Table_11" name="Table_11" id="1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55:L64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Updated Budget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6:L32" displayName="Table_13" name="Table_13" id="1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A34:L46" displayName="Table_14" name="Table_14" id="1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A48:L53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6.xml><?xml version="1.0" encoding="utf-8"?>
<table xmlns="http://schemas.openxmlformats.org/spreadsheetml/2006/main" headerRowCount="0" ref="A55:L64" displayName="Table_16" name="Table_16" id="1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A6:L3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A34:L46" displayName="Table_18" name="Table_18" id="1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A48:L53" displayName="Table_19" name="Table_19" id="19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55:L64" displayName="Table_20" name="Table_20" id="20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2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6:L32" displayName="Table_21" name="Table_21" id="2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A34:L46" displayName="Table_22" name="Table_22" id="2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A48:L53" displayName="Table_23" name="Table_23" id="2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4.xml><?xml version="1.0" encoding="utf-8"?>
<table xmlns="http://schemas.openxmlformats.org/spreadsheetml/2006/main" headerRowCount="0" ref="A55:L64" displayName="Table_24" name="Table_24" id="2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3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A6:L32" displayName="Table_25" name="Table_25" id="2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udget v Actu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6.xml><?xml version="1.0" encoding="utf-8"?>
<table xmlns="http://schemas.openxmlformats.org/spreadsheetml/2006/main" headerRowCount="0" ref="A34:L46" displayName="Table_26" name="Table_26" id="2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udget v Actu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A48:L53" displayName="Table_27" name="Table_27" id="2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udget v Actu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headerRowCount="0" ref="A55:L64" displayName="Table_28" name="Table_28" id="2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udget v Actu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8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16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Relationship Id="rId8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20.xml"/><Relationship Id="rId6" Type="http://schemas.openxmlformats.org/officeDocument/2006/relationships/table" Target="../tables/table17.xml"/><Relationship Id="rId7" Type="http://schemas.openxmlformats.org/officeDocument/2006/relationships/table" Target="../tables/table18.xml"/><Relationship Id="rId8" Type="http://schemas.openxmlformats.org/officeDocument/2006/relationships/table" Target="../tables/table1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9" Type="http://schemas.openxmlformats.org/officeDocument/2006/relationships/table" Target="../tables/table24.xml"/><Relationship Id="rId6" Type="http://schemas.openxmlformats.org/officeDocument/2006/relationships/table" Target="../tables/table21.xml"/><Relationship Id="rId7" Type="http://schemas.openxmlformats.org/officeDocument/2006/relationships/table" Target="../tables/table22.xml"/><Relationship Id="rId8" Type="http://schemas.openxmlformats.org/officeDocument/2006/relationships/table" Target="../tables/table2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9" Type="http://schemas.openxmlformats.org/officeDocument/2006/relationships/table" Target="../tables/table28.xml"/><Relationship Id="rId6" Type="http://schemas.openxmlformats.org/officeDocument/2006/relationships/table" Target="../tables/table25.xml"/><Relationship Id="rId7" Type="http://schemas.openxmlformats.org/officeDocument/2006/relationships/table" Target="../tables/table26.xml"/><Relationship Id="rId8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193.0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73455.0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45947.0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1000.0</v>
      </c>
      <c r="E9" s="46"/>
      <c r="F9" s="46">
        <f t="shared" ref="F9:F31" si="1">E9-D9</f>
        <v>-1000</v>
      </c>
      <c r="G9" s="46"/>
      <c r="H9" s="46"/>
      <c r="I9" s="46">
        <f t="shared" ref="I9:I22" si="2">D9/75</f>
        <v>13.33333333</v>
      </c>
      <c r="J9" s="47"/>
      <c r="K9" s="47"/>
      <c r="L9" s="48"/>
    </row>
    <row r="10">
      <c r="A10" s="42"/>
      <c r="B10" s="43"/>
      <c r="C10" s="44" t="s">
        <v>19</v>
      </c>
      <c r="D10" s="45">
        <v>2000.0</v>
      </c>
      <c r="E10" s="46"/>
      <c r="F10" s="46">
        <f t="shared" si="1"/>
        <v>-2000</v>
      </c>
      <c r="G10" s="46"/>
      <c r="H10" s="46"/>
      <c r="I10" s="46">
        <f t="shared" si="2"/>
        <v>26.66666667</v>
      </c>
      <c r="J10" s="47"/>
      <c r="K10" s="47"/>
      <c r="L10" s="48"/>
    </row>
    <row r="11">
      <c r="A11" s="42"/>
      <c r="B11" s="43"/>
      <c r="C11" s="44" t="s">
        <v>20</v>
      </c>
      <c r="D11" s="45">
        <v>710.0</v>
      </c>
      <c r="E11" s="46"/>
      <c r="F11" s="46">
        <f t="shared" si="1"/>
        <v>-710</v>
      </c>
      <c r="G11" s="46"/>
      <c r="H11" s="46"/>
      <c r="I11" s="46">
        <f t="shared" si="2"/>
        <v>9.466666667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5">
        <v>500.0</v>
      </c>
      <c r="E14" s="46"/>
      <c r="F14" s="46">
        <f t="shared" si="1"/>
        <v>-500</v>
      </c>
      <c r="G14" s="46"/>
      <c r="H14" s="46"/>
      <c r="I14" s="46">
        <f t="shared" si="2"/>
        <v>6.666666667</v>
      </c>
      <c r="J14" s="47"/>
      <c r="K14" s="47"/>
      <c r="L14" s="48"/>
    </row>
    <row r="15">
      <c r="A15" s="42"/>
      <c r="B15" s="42"/>
      <c r="C15" s="44" t="s">
        <v>24</v>
      </c>
      <c r="D15" s="49">
        <v>1431.68</v>
      </c>
      <c r="E15" s="46"/>
      <c r="F15" s="46">
        <f t="shared" si="1"/>
        <v>-1431.68</v>
      </c>
      <c r="G15" s="46"/>
      <c r="H15" s="46"/>
      <c r="I15" s="46">
        <f t="shared" si="2"/>
        <v>19.08906667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9">
        <v>600.0</v>
      </c>
      <c r="E17" s="46"/>
      <c r="F17" s="46">
        <f t="shared" si="1"/>
        <v>-600</v>
      </c>
      <c r="G17" s="46"/>
      <c r="H17" s="46"/>
      <c r="I17" s="46">
        <f t="shared" si="2"/>
        <v>8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9">
        <v>3538.0</v>
      </c>
      <c r="E20" s="46"/>
      <c r="F20" s="46">
        <f t="shared" si="1"/>
        <v>-3538</v>
      </c>
      <c r="G20" s="46"/>
      <c r="H20" s="46"/>
      <c r="I20" s="46">
        <f t="shared" si="2"/>
        <v>47.17333333</v>
      </c>
      <c r="J20" s="47"/>
      <c r="K20" s="47"/>
      <c r="L20" s="48"/>
    </row>
    <row r="21">
      <c r="A21" s="42"/>
      <c r="B21" s="42"/>
      <c r="C21" s="44" t="s">
        <v>30</v>
      </c>
      <c r="D21" s="49">
        <v>955.94</v>
      </c>
      <c r="E21" s="46"/>
      <c r="F21" s="46">
        <f t="shared" si="1"/>
        <v>-955.94</v>
      </c>
      <c r="G21" s="46"/>
      <c r="H21" s="46"/>
      <c r="I21" s="46">
        <f t="shared" si="2"/>
        <v>12.74586667</v>
      </c>
      <c r="J21" s="47"/>
      <c r="K21" s="47"/>
      <c r="L21" s="48"/>
    </row>
    <row r="22">
      <c r="A22" s="42"/>
      <c r="B22" s="42"/>
      <c r="C22" s="44" t="s">
        <v>31</v>
      </c>
      <c r="D22" s="47">
        <f>1055.71+375+7342.84</f>
        <v>8773.55</v>
      </c>
      <c r="E22" s="46"/>
      <c r="F22" s="46">
        <f t="shared" si="1"/>
        <v>-8773.55</v>
      </c>
      <c r="G22" s="46"/>
      <c r="H22" s="46"/>
      <c r="I22" s="46">
        <f t="shared" si="2"/>
        <v>116.9806667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9">
        <v>150.0</v>
      </c>
      <c r="E26" s="46"/>
      <c r="F26" s="46">
        <f t="shared" si="1"/>
        <v>-150</v>
      </c>
      <c r="G26" s="46"/>
      <c r="H26" s="46"/>
      <c r="I26" s="46">
        <f t="shared" si="3"/>
        <v>2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19659.17</v>
      </c>
      <c r="E32" s="52">
        <f t="shared" si="5"/>
        <v>0</v>
      </c>
      <c r="F32" s="52">
        <f t="shared" si="5"/>
        <v>-19659.17</v>
      </c>
      <c r="G32" s="52"/>
      <c r="H32" s="52"/>
      <c r="I32" s="52">
        <f t="shared" ref="I32:J32" si="6">SUM(I9:I31)</f>
        <v>262.1222667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5">
        <v>11539.0</v>
      </c>
      <c r="E40" s="46"/>
      <c r="F40" s="46">
        <f t="shared" si="7"/>
        <v>-11539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46</v>
      </c>
      <c r="D46" s="52">
        <f t="shared" ref="D46:F46" si="8">SUM(D36:D43)</f>
        <v>11539</v>
      </c>
      <c r="E46" s="52">
        <f t="shared" si="8"/>
        <v>0</v>
      </c>
      <c r="F46" s="52">
        <f t="shared" si="8"/>
        <v>-11539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69" t="s">
        <v>48</v>
      </c>
      <c r="D49" s="45">
        <v>22669.0</v>
      </c>
      <c r="E49" s="46"/>
      <c r="F49" s="46">
        <f t="shared" ref="F49:F52" si="9">E49-D49</f>
        <v>-22669</v>
      </c>
      <c r="G49" s="46"/>
      <c r="H49" s="46"/>
      <c r="I49" s="46"/>
      <c r="J49" s="47"/>
      <c r="K49" s="47"/>
      <c r="L49" s="48"/>
    </row>
    <row r="50">
      <c r="A50" s="42"/>
      <c r="B50" s="43"/>
      <c r="C50" s="69" t="s">
        <v>49</v>
      </c>
      <c r="D50" s="45">
        <v>9235.0</v>
      </c>
      <c r="E50" s="46"/>
      <c r="F50" s="46">
        <f t="shared" si="9"/>
        <v>-9235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50</v>
      </c>
      <c r="D53" s="52">
        <f>SUM(D49:D52)</f>
        <v>31904</v>
      </c>
      <c r="E53" s="52">
        <f t="shared" ref="E53:F53" si="10">SUM(E50:E52)</f>
        <v>0</v>
      </c>
      <c r="F53" s="52">
        <f t="shared" si="10"/>
        <v>-9235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51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52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53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54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55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57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58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5"/>
      <c r="B64" s="75"/>
      <c r="C64" s="76" t="s">
        <v>59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70"/>
    </row>
    <row r="66">
      <c r="A66" s="70"/>
      <c r="B66" s="70"/>
      <c r="C66" s="78"/>
      <c r="D66" s="79" t="s">
        <v>60</v>
      </c>
      <c r="E66" s="79" t="s">
        <v>61</v>
      </c>
      <c r="F66" s="79" t="s">
        <v>62</v>
      </c>
      <c r="G66" s="70"/>
      <c r="H66" s="70"/>
      <c r="I66" s="70"/>
      <c r="J66" s="70"/>
      <c r="K66" s="70"/>
      <c r="L66" s="70"/>
    </row>
    <row r="67" ht="42.0" customHeight="1">
      <c r="A67" s="80"/>
      <c r="B67" s="81" t="s">
        <v>63</v>
      </c>
      <c r="C67" s="82"/>
      <c r="D67" s="83">
        <f>D64+D53+D46+D32</f>
        <v>63102.17</v>
      </c>
      <c r="E67" s="83"/>
      <c r="F67" s="83">
        <f>C4-D67</f>
        <v>10352.83</v>
      </c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193.0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73455.0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45947.0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5">
        <v>1000.0</v>
      </c>
      <c r="E9" s="46"/>
      <c r="F9" s="46">
        <f t="shared" ref="F9:F31" si="1">E9-D9</f>
        <v>-1000</v>
      </c>
      <c r="G9" s="46"/>
      <c r="H9" s="46"/>
      <c r="I9" s="46">
        <f t="shared" ref="I9:I22" si="2">D9/75</f>
        <v>13.33333333</v>
      </c>
      <c r="J9" s="47"/>
      <c r="K9" s="47"/>
      <c r="L9" s="48"/>
    </row>
    <row r="10">
      <c r="A10" s="42"/>
      <c r="B10" s="43"/>
      <c r="C10" s="44" t="s">
        <v>19</v>
      </c>
      <c r="D10" s="45">
        <v>2000.0</v>
      </c>
      <c r="E10" s="46"/>
      <c r="F10" s="46">
        <f t="shared" si="1"/>
        <v>-2000</v>
      </c>
      <c r="G10" s="46"/>
      <c r="H10" s="46"/>
      <c r="I10" s="46">
        <f t="shared" si="2"/>
        <v>26.66666667</v>
      </c>
      <c r="J10" s="47"/>
      <c r="K10" s="47"/>
      <c r="L10" s="48"/>
    </row>
    <row r="11">
      <c r="A11" s="42"/>
      <c r="B11" s="43"/>
      <c r="C11" s="44" t="s">
        <v>20</v>
      </c>
      <c r="D11" s="45">
        <v>710.0</v>
      </c>
      <c r="E11" s="46"/>
      <c r="F11" s="46">
        <f t="shared" si="1"/>
        <v>-710</v>
      </c>
      <c r="G11" s="46"/>
      <c r="H11" s="46"/>
      <c r="I11" s="46">
        <f t="shared" si="2"/>
        <v>9.466666667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5">
        <v>500.0</v>
      </c>
      <c r="E14" s="46"/>
      <c r="F14" s="46">
        <f t="shared" si="1"/>
        <v>-500</v>
      </c>
      <c r="G14" s="46"/>
      <c r="H14" s="46"/>
      <c r="I14" s="46">
        <f t="shared" si="2"/>
        <v>6.666666667</v>
      </c>
      <c r="J14" s="47"/>
      <c r="K14" s="47"/>
      <c r="L14" s="48"/>
    </row>
    <row r="15">
      <c r="A15" s="42"/>
      <c r="B15" s="42"/>
      <c r="C15" s="44" t="s">
        <v>24</v>
      </c>
      <c r="D15" s="49">
        <v>1431.68</v>
      </c>
      <c r="E15" s="46"/>
      <c r="F15" s="46">
        <f t="shared" si="1"/>
        <v>-1431.68</v>
      </c>
      <c r="G15" s="46"/>
      <c r="H15" s="46"/>
      <c r="I15" s="46">
        <f t="shared" si="2"/>
        <v>19.08906667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9">
        <v>600.0</v>
      </c>
      <c r="E17" s="46"/>
      <c r="F17" s="46">
        <f t="shared" si="1"/>
        <v>-600</v>
      </c>
      <c r="G17" s="46"/>
      <c r="H17" s="46"/>
      <c r="I17" s="46">
        <f t="shared" si="2"/>
        <v>8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9">
        <v>3538.0</v>
      </c>
      <c r="E20" s="46"/>
      <c r="F20" s="46">
        <f t="shared" si="1"/>
        <v>-3538</v>
      </c>
      <c r="G20" s="46"/>
      <c r="H20" s="46"/>
      <c r="I20" s="46">
        <f t="shared" si="2"/>
        <v>47.17333333</v>
      </c>
      <c r="J20" s="47"/>
      <c r="K20" s="47"/>
      <c r="L20" s="48"/>
    </row>
    <row r="21">
      <c r="A21" s="42"/>
      <c r="B21" s="42"/>
      <c r="C21" s="44" t="s">
        <v>30</v>
      </c>
      <c r="D21" s="49">
        <v>955.94</v>
      </c>
      <c r="E21" s="46"/>
      <c r="F21" s="46">
        <f t="shared" si="1"/>
        <v>-955.94</v>
      </c>
      <c r="G21" s="46"/>
      <c r="H21" s="46"/>
      <c r="I21" s="46">
        <f t="shared" si="2"/>
        <v>12.74586667</v>
      </c>
      <c r="J21" s="47"/>
      <c r="K21" s="47"/>
      <c r="L21" s="48"/>
    </row>
    <row r="22">
      <c r="A22" s="42"/>
      <c r="B22" s="42"/>
      <c r="C22" s="44" t="s">
        <v>31</v>
      </c>
      <c r="D22" s="47">
        <f>1055.71+375+7342.84</f>
        <v>8773.55</v>
      </c>
      <c r="E22" s="46"/>
      <c r="F22" s="46">
        <f t="shared" si="1"/>
        <v>-8773.55</v>
      </c>
      <c r="G22" s="46"/>
      <c r="H22" s="46"/>
      <c r="I22" s="46">
        <f t="shared" si="2"/>
        <v>116.9806667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9">
        <v>150.0</v>
      </c>
      <c r="E26" s="46"/>
      <c r="F26" s="46">
        <f t="shared" si="1"/>
        <v>-150</v>
      </c>
      <c r="G26" s="46"/>
      <c r="H26" s="46"/>
      <c r="I26" s="46">
        <f t="shared" si="3"/>
        <v>2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69" t="s">
        <v>64</v>
      </c>
      <c r="D30" s="85">
        <v>140.0</v>
      </c>
      <c r="E30" s="46"/>
      <c r="F30" s="46">
        <f t="shared" si="1"/>
        <v>-140</v>
      </c>
      <c r="G30" s="46"/>
      <c r="H30" s="46"/>
      <c r="I30" s="46">
        <f t="shared" ref="I30:I31" si="4">D30/75</f>
        <v>1.866666667</v>
      </c>
      <c r="J30" s="47"/>
      <c r="K30" s="47"/>
      <c r="L30" s="42"/>
    </row>
    <row r="31">
      <c r="A31" s="42"/>
      <c r="B31" s="42"/>
      <c r="C31" s="69" t="s">
        <v>65</v>
      </c>
      <c r="D31" s="85">
        <v>560.0</v>
      </c>
      <c r="E31" s="46"/>
      <c r="F31" s="46">
        <f t="shared" si="1"/>
        <v>-560</v>
      </c>
      <c r="G31" s="46"/>
      <c r="H31" s="46"/>
      <c r="I31" s="46">
        <f t="shared" si="4"/>
        <v>7.466666667</v>
      </c>
      <c r="J31" s="47"/>
      <c r="K31" s="47"/>
      <c r="L31" s="42"/>
    </row>
    <row r="32">
      <c r="A32" s="42"/>
      <c r="B32" s="42"/>
      <c r="C32" s="69" t="s">
        <v>66</v>
      </c>
      <c r="D32" s="85">
        <v>560.0</v>
      </c>
      <c r="E32" s="46"/>
      <c r="F32" s="46"/>
      <c r="G32" s="46"/>
      <c r="H32" s="46"/>
      <c r="I32" s="46"/>
      <c r="J32" s="47"/>
      <c r="K32" s="47"/>
      <c r="L32" s="42"/>
    </row>
    <row r="33">
      <c r="A33" s="50"/>
      <c r="B33" s="50"/>
      <c r="C33" s="51" t="s">
        <v>40</v>
      </c>
      <c r="D33" s="52">
        <f t="shared" ref="D33:F33" si="5">SUM(D9:D31)</f>
        <v>20359.17</v>
      </c>
      <c r="E33" s="52">
        <f t="shared" si="5"/>
        <v>0</v>
      </c>
      <c r="F33" s="52">
        <f t="shared" si="5"/>
        <v>-20359.17</v>
      </c>
      <c r="G33" s="52"/>
      <c r="H33" s="52"/>
      <c r="I33" s="52">
        <f t="shared" ref="I33:J33" si="6">SUM(I9:I31)</f>
        <v>271.4556</v>
      </c>
      <c r="J33" s="52">
        <f t="shared" si="6"/>
        <v>0</v>
      </c>
      <c r="K33" s="53"/>
      <c r="L33" s="50"/>
    </row>
    <row r="34" ht="20.25" customHeight="1">
      <c r="A34" s="54"/>
      <c r="B34" s="55"/>
      <c r="C34" s="56"/>
      <c r="D34" s="57"/>
      <c r="E34" s="58"/>
      <c r="F34" s="58"/>
      <c r="G34" s="58"/>
      <c r="H34" s="58"/>
      <c r="I34" s="58"/>
      <c r="J34" s="59"/>
      <c r="K34" s="59"/>
      <c r="L34" s="60"/>
    </row>
    <row r="35" ht="27.0" customHeight="1">
      <c r="A35" s="44">
        <v>2.0</v>
      </c>
      <c r="B35" s="44" t="s">
        <v>41</v>
      </c>
      <c r="C35" s="44"/>
      <c r="D35" s="46"/>
      <c r="E35" s="46"/>
      <c r="F35" s="46"/>
      <c r="G35" s="46"/>
      <c r="H35" s="46"/>
      <c r="I35" s="46"/>
      <c r="J35" s="47"/>
      <c r="K35" s="47"/>
      <c r="L35" s="48"/>
    </row>
    <row r="36" hidden="1">
      <c r="A36" s="42"/>
      <c r="B36" s="43"/>
      <c r="C36" s="44" t="s">
        <v>18</v>
      </c>
      <c r="D36" s="46"/>
      <c r="E36" s="46"/>
      <c r="F36" s="46"/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21</v>
      </c>
      <c r="D37" s="46"/>
      <c r="E37" s="46"/>
      <c r="F37" s="46">
        <f t="shared" ref="F37:F46" si="7">E37-D37</f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42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43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26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3"/>
      <c r="C41" s="44" t="s">
        <v>31</v>
      </c>
      <c r="D41" s="45">
        <v>11539.0</v>
      </c>
      <c r="E41" s="46"/>
      <c r="F41" s="46">
        <f t="shared" si="7"/>
        <v>-11539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44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35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69" t="s">
        <v>64</v>
      </c>
      <c r="D44" s="85">
        <v>0.0</v>
      </c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69" t="s">
        <v>65</v>
      </c>
      <c r="D45" s="85">
        <v>0.0</v>
      </c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42"/>
      <c r="B46" s="42"/>
      <c r="C46" s="69" t="s">
        <v>66</v>
      </c>
      <c r="D46" s="85">
        <v>98.0</v>
      </c>
      <c r="E46" s="46"/>
      <c r="F46" s="46">
        <f t="shared" si="7"/>
        <v>-98</v>
      </c>
      <c r="G46" s="46"/>
      <c r="H46" s="46"/>
      <c r="I46" s="46"/>
      <c r="J46" s="47"/>
      <c r="K46" s="47"/>
      <c r="L46" s="48"/>
    </row>
    <row r="47">
      <c r="A47" s="50"/>
      <c r="B47" s="50"/>
      <c r="C47" s="51" t="s">
        <v>46</v>
      </c>
      <c r="D47" s="52">
        <f t="shared" ref="D47:F47" si="8">SUM(D37:D44)</f>
        <v>11539</v>
      </c>
      <c r="E47" s="52">
        <f t="shared" si="8"/>
        <v>0</v>
      </c>
      <c r="F47" s="52">
        <f t="shared" si="8"/>
        <v>-11539</v>
      </c>
      <c r="G47" s="61"/>
      <c r="H47" s="52"/>
      <c r="I47" s="52"/>
      <c r="J47" s="52"/>
      <c r="K47" s="53"/>
      <c r="L47" s="50"/>
    </row>
    <row r="48" ht="16.5" customHeight="1">
      <c r="A48" s="62"/>
      <c r="B48" s="63"/>
      <c r="C48" s="64"/>
      <c r="D48" s="65"/>
      <c r="E48" s="66"/>
      <c r="F48" s="66"/>
      <c r="G48" s="66"/>
      <c r="H48" s="66"/>
      <c r="I48" s="66"/>
      <c r="J48" s="67"/>
      <c r="K48" s="67"/>
      <c r="L48" s="68"/>
    </row>
    <row r="49" ht="22.5" customHeight="1">
      <c r="A49" s="44">
        <v>3.0</v>
      </c>
      <c r="B49" s="44" t="s">
        <v>47</v>
      </c>
      <c r="C49" s="44"/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69" t="s">
        <v>48</v>
      </c>
      <c r="D50" s="45">
        <v>22669.0</v>
      </c>
      <c r="E50" s="46"/>
      <c r="F50" s="46">
        <f t="shared" ref="F50:F53" si="9">E50-D50</f>
        <v>-22669</v>
      </c>
      <c r="G50" s="46"/>
      <c r="H50" s="46"/>
      <c r="I50" s="46"/>
      <c r="J50" s="47"/>
      <c r="K50" s="47"/>
      <c r="L50" s="48"/>
    </row>
    <row r="51">
      <c r="A51" s="42"/>
      <c r="B51" s="43"/>
      <c r="C51" s="69" t="s">
        <v>49</v>
      </c>
      <c r="D51" s="45">
        <v>9235.0</v>
      </c>
      <c r="E51" s="46"/>
      <c r="F51" s="46">
        <f t="shared" si="9"/>
        <v>-9235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42"/>
      <c r="B53" s="43"/>
      <c r="C53" s="44" t="s">
        <v>36</v>
      </c>
      <c r="D53" s="46"/>
      <c r="E53" s="46"/>
      <c r="F53" s="46">
        <f t="shared" si="9"/>
        <v>0</v>
      </c>
      <c r="G53" s="46"/>
      <c r="H53" s="46"/>
      <c r="I53" s="46"/>
      <c r="J53" s="47"/>
      <c r="K53" s="47"/>
      <c r="L53" s="48"/>
    </row>
    <row r="54">
      <c r="A54" s="50"/>
      <c r="B54" s="50"/>
      <c r="C54" s="51" t="s">
        <v>50</v>
      </c>
      <c r="D54" s="52">
        <f>SUM(D50:D53)</f>
        <v>31904</v>
      </c>
      <c r="E54" s="52">
        <f t="shared" ref="E54:F54" si="10">SUM(E51:E53)</f>
        <v>0</v>
      </c>
      <c r="F54" s="52">
        <f t="shared" si="10"/>
        <v>-9235</v>
      </c>
      <c r="G54" s="61"/>
      <c r="H54" s="52"/>
      <c r="I54" s="52"/>
      <c r="J54" s="52"/>
      <c r="K54" s="53"/>
      <c r="L54" s="50"/>
    </row>
    <row r="55">
      <c r="A55" s="70"/>
    </row>
    <row r="56" ht="23.25" customHeight="1">
      <c r="A56" s="71">
        <v>4.0</v>
      </c>
      <c r="B56" s="71" t="s">
        <v>36</v>
      </c>
      <c r="C56" s="71"/>
      <c r="D56" s="72"/>
      <c r="E56" s="72"/>
      <c r="F56" s="72"/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51</v>
      </c>
      <c r="D57" s="72"/>
      <c r="E57" s="72"/>
      <c r="F57" s="72">
        <f t="shared" ref="F57:F64" si="11">E57-D57</f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52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53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54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55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56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57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3"/>
      <c r="B64" s="74"/>
      <c r="C64" s="71" t="s">
        <v>58</v>
      </c>
      <c r="D64" s="72"/>
      <c r="E64" s="72"/>
      <c r="F64" s="72">
        <f t="shared" si="11"/>
        <v>0</v>
      </c>
      <c r="G64" s="73"/>
      <c r="H64" s="73"/>
      <c r="I64" s="73"/>
      <c r="J64" s="73"/>
      <c r="K64" s="73"/>
      <c r="L64" s="73"/>
    </row>
    <row r="65">
      <c r="A65" s="75"/>
      <c r="B65" s="75"/>
      <c r="C65" s="76" t="s">
        <v>59</v>
      </c>
      <c r="D65" s="77">
        <f t="shared" ref="D65:F65" si="12">SUM(D58:D60)</f>
        <v>0</v>
      </c>
      <c r="E65" s="77">
        <f t="shared" si="12"/>
        <v>0</v>
      </c>
      <c r="F65" s="77">
        <f t="shared" si="12"/>
        <v>0</v>
      </c>
      <c r="G65" s="75"/>
      <c r="H65" s="75"/>
      <c r="I65" s="75"/>
      <c r="J65" s="75"/>
      <c r="K65" s="75"/>
      <c r="L65" s="75"/>
    </row>
    <row r="66">
      <c r="A66" s="70"/>
    </row>
    <row r="67">
      <c r="A67" s="70"/>
      <c r="B67" s="70"/>
      <c r="C67" s="78"/>
      <c r="D67" s="79" t="s">
        <v>60</v>
      </c>
      <c r="E67" s="79" t="s">
        <v>61</v>
      </c>
      <c r="F67" s="79" t="s">
        <v>62</v>
      </c>
      <c r="G67" s="70"/>
      <c r="H67" s="70"/>
      <c r="I67" s="70"/>
      <c r="J67" s="70"/>
      <c r="K67" s="70"/>
      <c r="L67" s="70"/>
    </row>
    <row r="68" ht="42.0" customHeight="1">
      <c r="A68" s="80"/>
      <c r="B68" s="81" t="s">
        <v>63</v>
      </c>
      <c r="C68" s="82"/>
      <c r="D68" s="83">
        <f>D65+D54+D47+D33</f>
        <v>63802.17</v>
      </c>
      <c r="E68" s="83"/>
      <c r="F68" s="83">
        <f>C4-D68</f>
        <v>9652.83</v>
      </c>
      <c r="G68" s="84"/>
      <c r="H68" s="84"/>
      <c r="I68" s="84"/>
      <c r="J68" s="84"/>
      <c r="K68" s="84"/>
      <c r="L68" s="80"/>
    </row>
  </sheetData>
  <mergeCells count="6">
    <mergeCell ref="B2:C2"/>
    <mergeCell ref="D2:K2"/>
    <mergeCell ref="C3:D3"/>
    <mergeCell ref="A55:L55"/>
    <mergeCell ref="A66:L66"/>
    <mergeCell ref="B68:C68"/>
  </mergeCells>
  <conditionalFormatting sqref="J7:K7 J34:K34 J48:K48 J68:K68">
    <cfRule type="expression" dxfId="4" priority="1">
      <formula>AND(OR($D7="In progress",$D7="Not started" ),OR($J7=today(), $J7=today()+1))</formula>
    </cfRule>
  </conditionalFormatting>
  <conditionalFormatting sqref="D7 D34 D48 D68:F68">
    <cfRule type="cellIs" dxfId="5" priority="2" operator="equal">
      <formula>"Not started"</formula>
    </cfRule>
  </conditionalFormatting>
  <conditionalFormatting sqref="D7 D34 D48 D68:F68">
    <cfRule type="cellIs" dxfId="6" priority="3" operator="equal">
      <formula>"In progress"</formula>
    </cfRule>
  </conditionalFormatting>
  <conditionalFormatting sqref="A7:L7 A34:L34 A48:L48 A68:L68">
    <cfRule type="expression" dxfId="7" priority="4">
      <formula>RegExMatch(($D7),"Done")</formula>
    </cfRule>
  </conditionalFormatting>
  <conditionalFormatting sqref="E7:I7 E34:I34 D48:J48 D68:J68">
    <cfRule type="timePeriod" dxfId="8" priority="5" timePeriod="today"/>
  </conditionalFormatting>
  <conditionalFormatting sqref="E7:I7 E34:I34 D48:J48 D68:J68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</cols>
  <sheetData>
    <row r="3">
      <c r="A3" s="86" t="s">
        <v>67</v>
      </c>
      <c r="B3" s="86">
        <v>2000.0</v>
      </c>
    </row>
    <row r="4">
      <c r="A4" s="86" t="s">
        <v>68</v>
      </c>
      <c r="B4" s="86">
        <v>8115.0</v>
      </c>
    </row>
    <row r="5">
      <c r="A5" s="86" t="s">
        <v>69</v>
      </c>
      <c r="B5" s="86">
        <v>12500.0</v>
      </c>
    </row>
    <row r="6">
      <c r="A6" s="86" t="s">
        <v>70</v>
      </c>
      <c r="B6" s="86">
        <v>850.0</v>
      </c>
    </row>
    <row r="7">
      <c r="A7" s="86" t="s">
        <v>71</v>
      </c>
      <c r="B7" s="86">
        <v>3500.0</v>
      </c>
    </row>
    <row r="8">
      <c r="A8" s="86" t="s">
        <v>35</v>
      </c>
      <c r="B8" s="86">
        <v>585.0</v>
      </c>
    </row>
    <row r="9">
      <c r="A9" s="86" t="s">
        <v>41</v>
      </c>
      <c r="B9" s="86">
        <v>14000.0</v>
      </c>
    </row>
    <row r="10">
      <c r="A10" s="86" t="s">
        <v>72</v>
      </c>
      <c r="B10" s="86">
        <v>22670.0</v>
      </c>
    </row>
    <row r="11">
      <c r="A11" s="86" t="s">
        <v>73</v>
      </c>
      <c r="B11" s="86">
        <v>9235.0</v>
      </c>
    </row>
    <row r="13">
      <c r="A13" s="86" t="s">
        <v>74</v>
      </c>
      <c r="B13" s="87">
        <f>SUM(B3:B11)</f>
        <v>73455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75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76</v>
      </c>
      <c r="C4" s="17"/>
      <c r="D4" s="13"/>
      <c r="E4" s="18" t="s">
        <v>77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46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78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50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51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52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53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54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55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57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58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5"/>
      <c r="B64" s="75"/>
      <c r="C64" s="76" t="s">
        <v>59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70"/>
    </row>
    <row r="66">
      <c r="A66" s="70"/>
      <c r="B66" s="70"/>
      <c r="C66" s="78"/>
      <c r="D66" s="79" t="s">
        <v>60</v>
      </c>
      <c r="E66" s="79" t="s">
        <v>61</v>
      </c>
      <c r="F66" s="79" t="s">
        <v>62</v>
      </c>
      <c r="G66" s="70"/>
      <c r="H66" s="70"/>
      <c r="I66" s="70"/>
      <c r="J66" s="70"/>
      <c r="K66" s="70"/>
      <c r="L66" s="70"/>
    </row>
    <row r="67" ht="42.0" customHeight="1">
      <c r="A67" s="80"/>
      <c r="B67" s="81" t="s">
        <v>63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75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76</v>
      </c>
      <c r="C4" s="17"/>
      <c r="D4" s="13"/>
      <c r="E4" s="18" t="s">
        <v>77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46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78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50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51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52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53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54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55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57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58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5"/>
      <c r="B64" s="75"/>
      <c r="C64" s="76" t="s">
        <v>59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70"/>
    </row>
    <row r="66">
      <c r="A66" s="70"/>
      <c r="B66" s="70"/>
      <c r="C66" s="78"/>
      <c r="D66" s="79" t="s">
        <v>60</v>
      </c>
      <c r="E66" s="79" t="s">
        <v>61</v>
      </c>
      <c r="F66" s="79" t="s">
        <v>62</v>
      </c>
      <c r="G66" s="70"/>
      <c r="H66" s="70"/>
      <c r="I66" s="70"/>
      <c r="J66" s="70"/>
      <c r="K66" s="70"/>
      <c r="L66" s="70"/>
    </row>
    <row r="67" ht="42.0" customHeight="1">
      <c r="A67" s="80"/>
      <c r="B67" s="81" t="s">
        <v>63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75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76</v>
      </c>
      <c r="C4" s="17"/>
      <c r="D4" s="13"/>
      <c r="E4" s="18" t="s">
        <v>77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46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78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50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51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52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53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54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55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57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58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5"/>
      <c r="B64" s="75"/>
      <c r="C64" s="76" t="s">
        <v>59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70"/>
    </row>
    <row r="66">
      <c r="A66" s="70"/>
      <c r="B66" s="70"/>
      <c r="C66" s="78"/>
      <c r="D66" s="79" t="s">
        <v>60</v>
      </c>
      <c r="E66" s="79" t="s">
        <v>61</v>
      </c>
      <c r="F66" s="79" t="s">
        <v>62</v>
      </c>
      <c r="G66" s="70"/>
      <c r="H66" s="70"/>
      <c r="I66" s="70"/>
      <c r="J66" s="70"/>
      <c r="K66" s="70"/>
      <c r="L66" s="70"/>
    </row>
    <row r="67" ht="42.0" customHeight="1">
      <c r="A67" s="80"/>
      <c r="B67" s="81" t="s">
        <v>63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75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/>
      <c r="D3" s="12"/>
      <c r="E3" s="13" t="s">
        <v>3</v>
      </c>
      <c r="F3" s="14"/>
      <c r="G3" s="15"/>
      <c r="H3" s="15"/>
      <c r="I3" s="15"/>
      <c r="J3" s="15"/>
      <c r="K3" s="15"/>
      <c r="L3" s="16"/>
    </row>
    <row r="4" ht="36.75" customHeight="1">
      <c r="A4" s="9"/>
      <c r="B4" s="10" t="s">
        <v>76</v>
      </c>
      <c r="C4" s="17"/>
      <c r="D4" s="13"/>
      <c r="E4" s="18" t="s">
        <v>77</v>
      </c>
      <c r="F4" s="19">
        <v>0.0</v>
      </c>
      <c r="G4" s="15"/>
      <c r="H4" s="15"/>
      <c r="I4" s="15" t="s">
        <v>6</v>
      </c>
      <c r="J4" s="20"/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>
      <c r="A9" s="42"/>
      <c r="B9" s="43"/>
      <c r="C9" s="44" t="s">
        <v>18</v>
      </c>
      <c r="D9" s="46">
        <v>0.0</v>
      </c>
      <c r="E9" s="46"/>
      <c r="F9" s="46">
        <f t="shared" ref="F9:F31" si="1">E9-D9</f>
        <v>0</v>
      </c>
      <c r="G9" s="46"/>
      <c r="H9" s="46"/>
      <c r="I9" s="46">
        <f t="shared" ref="I9:I22" si="2">D9/75</f>
        <v>0</v>
      </c>
      <c r="J9" s="47"/>
      <c r="K9" s="47"/>
      <c r="L9" s="48"/>
    </row>
    <row r="10">
      <c r="A10" s="42"/>
      <c r="B10" s="43"/>
      <c r="C10" s="44" t="s">
        <v>19</v>
      </c>
      <c r="D10" s="46">
        <v>0.0</v>
      </c>
      <c r="E10" s="46"/>
      <c r="F10" s="46">
        <f t="shared" si="1"/>
        <v>0</v>
      </c>
      <c r="G10" s="46"/>
      <c r="H10" s="46"/>
      <c r="I10" s="46">
        <f t="shared" si="2"/>
        <v>0</v>
      </c>
      <c r="J10" s="47"/>
      <c r="K10" s="47"/>
      <c r="L10" s="48"/>
    </row>
    <row r="11">
      <c r="A11" s="42"/>
      <c r="B11" s="43"/>
      <c r="C11" s="44" t="s">
        <v>20</v>
      </c>
      <c r="D11" s="46">
        <v>0.0</v>
      </c>
      <c r="E11" s="46"/>
      <c r="F11" s="46">
        <f t="shared" si="1"/>
        <v>0</v>
      </c>
      <c r="G11" s="46"/>
      <c r="H11" s="46"/>
      <c r="I11" s="46">
        <f t="shared" si="2"/>
        <v>0</v>
      </c>
      <c r="J11" s="47"/>
      <c r="K11" s="47"/>
      <c r="L11" s="48"/>
    </row>
    <row r="12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>
      <c r="A14" s="42"/>
      <c r="B14" s="42"/>
      <c r="C14" s="44" t="s">
        <v>23</v>
      </c>
      <c r="D14" s="46">
        <v>0.0</v>
      </c>
      <c r="E14" s="46"/>
      <c r="F14" s="46">
        <f t="shared" si="1"/>
        <v>0</v>
      </c>
      <c r="G14" s="46"/>
      <c r="H14" s="46"/>
      <c r="I14" s="46">
        <f t="shared" si="2"/>
        <v>0</v>
      </c>
      <c r="J14" s="47"/>
      <c r="K14" s="47"/>
      <c r="L14" s="48"/>
    </row>
    <row r="15">
      <c r="A15" s="42"/>
      <c r="B15" s="42"/>
      <c r="C15" s="44" t="s">
        <v>24</v>
      </c>
      <c r="D15" s="46">
        <v>0.0</v>
      </c>
      <c r="E15" s="46"/>
      <c r="F15" s="46">
        <f t="shared" si="1"/>
        <v>0</v>
      </c>
      <c r="G15" s="46"/>
      <c r="H15" s="46"/>
      <c r="I15" s="46">
        <f t="shared" si="2"/>
        <v>0</v>
      </c>
      <c r="J15" s="47"/>
      <c r="K15" s="47"/>
      <c r="L15" s="48"/>
    </row>
    <row r="16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>
      <c r="A17" s="42"/>
      <c r="B17" s="42"/>
      <c r="C17" s="44" t="s">
        <v>26</v>
      </c>
      <c r="D17" s="46">
        <v>0.0</v>
      </c>
      <c r="E17" s="46"/>
      <c r="F17" s="46">
        <f t="shared" si="1"/>
        <v>0</v>
      </c>
      <c r="G17" s="46"/>
      <c r="H17" s="46"/>
      <c r="I17" s="46">
        <f t="shared" si="2"/>
        <v>0</v>
      </c>
      <c r="J17" s="47"/>
      <c r="K17" s="47"/>
      <c r="L17" s="48"/>
    </row>
    <row r="18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>
      <c r="A20" s="42"/>
      <c r="B20" s="42"/>
      <c r="C20" s="44" t="s">
        <v>29</v>
      </c>
      <c r="D20" s="46">
        <v>0.0</v>
      </c>
      <c r="E20" s="46"/>
      <c r="F20" s="46">
        <f t="shared" si="1"/>
        <v>0</v>
      </c>
      <c r="G20" s="46"/>
      <c r="H20" s="46"/>
      <c r="I20" s="46">
        <f t="shared" si="2"/>
        <v>0</v>
      </c>
      <c r="J20" s="47"/>
      <c r="K20" s="47"/>
      <c r="L20" s="48"/>
    </row>
    <row r="21">
      <c r="A21" s="42"/>
      <c r="B21" s="42"/>
      <c r="C21" s="44" t="s">
        <v>30</v>
      </c>
      <c r="D21" s="46">
        <v>0.0</v>
      </c>
      <c r="E21" s="46"/>
      <c r="F21" s="46">
        <f t="shared" si="1"/>
        <v>0</v>
      </c>
      <c r="G21" s="46"/>
      <c r="H21" s="46"/>
      <c r="I21" s="46">
        <f t="shared" si="2"/>
        <v>0</v>
      </c>
      <c r="J21" s="47"/>
      <c r="K21" s="47"/>
      <c r="L21" s="48"/>
    </row>
    <row r="22">
      <c r="A22" s="42"/>
      <c r="B22" s="42"/>
      <c r="C22" s="44" t="s">
        <v>31</v>
      </c>
      <c r="D22" s="46">
        <v>0.0</v>
      </c>
      <c r="E22" s="46"/>
      <c r="F22" s="46">
        <f t="shared" si="1"/>
        <v>0</v>
      </c>
      <c r="G22" s="46"/>
      <c r="H22" s="46"/>
      <c r="I22" s="46">
        <f t="shared" si="2"/>
        <v>0</v>
      </c>
      <c r="J22" s="47"/>
      <c r="K22" s="47"/>
      <c r="L22" s="48"/>
    </row>
    <row r="23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>
      <c r="A26" s="42"/>
      <c r="B26" s="42"/>
      <c r="C26" s="44" t="s">
        <v>35</v>
      </c>
      <c r="D26" s="46">
        <v>0.0</v>
      </c>
      <c r="E26" s="46"/>
      <c r="F26" s="46">
        <f t="shared" si="1"/>
        <v>0</v>
      </c>
      <c r="G26" s="46"/>
      <c r="H26" s="46"/>
      <c r="I26" s="46">
        <f t="shared" si="3"/>
        <v>0</v>
      </c>
      <c r="J26" s="47"/>
      <c r="K26" s="47"/>
      <c r="L26" s="48"/>
    </row>
    <row r="27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 t="shared" ref="D32:F32" si="5">SUM(D9:D31)</f>
        <v>0</v>
      </c>
      <c r="E32" s="52">
        <f t="shared" si="5"/>
        <v>0</v>
      </c>
      <c r="F32" s="52">
        <f t="shared" si="5"/>
        <v>0</v>
      </c>
      <c r="G32" s="52"/>
      <c r="H32" s="52"/>
      <c r="I32" s="52">
        <f t="shared" ref="I32:J32" si="6">SUM(I9:I31)</f>
        <v>0</v>
      </c>
      <c r="J32" s="52">
        <f t="shared" si="6"/>
        <v>0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>
      <c r="A36" s="42"/>
      <c r="B36" s="43"/>
      <c r="C36" s="44" t="s">
        <v>21</v>
      </c>
      <c r="D36" s="46"/>
      <c r="E36" s="46"/>
      <c r="F36" s="46">
        <f t="shared" ref="F36:F45" si="7">E36-D36</f>
        <v>0</v>
      </c>
      <c r="G36" s="46"/>
      <c r="H36" s="46"/>
      <c r="I36" s="46"/>
      <c r="J36" s="47"/>
      <c r="K36" s="47"/>
      <c r="L36" s="48"/>
    </row>
    <row r="37">
      <c r="A37" s="42"/>
      <c r="B37" s="43"/>
      <c r="C37" s="44" t="s">
        <v>42</v>
      </c>
      <c r="D37" s="46"/>
      <c r="E37" s="46"/>
      <c r="F37" s="46">
        <f t="shared" si="7"/>
        <v>0</v>
      </c>
      <c r="G37" s="46"/>
      <c r="H37" s="46"/>
      <c r="I37" s="46"/>
      <c r="J37" s="47"/>
      <c r="K37" s="47"/>
      <c r="L37" s="48"/>
    </row>
    <row r="38">
      <c r="A38" s="42"/>
      <c r="B38" s="43"/>
      <c r="C38" s="44" t="s">
        <v>43</v>
      </c>
      <c r="D38" s="46"/>
      <c r="E38" s="46"/>
      <c r="F38" s="46">
        <f t="shared" si="7"/>
        <v>0</v>
      </c>
      <c r="G38" s="46"/>
      <c r="H38" s="46"/>
      <c r="I38" s="46"/>
      <c r="J38" s="47"/>
      <c r="K38" s="47"/>
      <c r="L38" s="48"/>
    </row>
    <row r="39">
      <c r="A39" s="42"/>
      <c r="B39" s="43"/>
      <c r="C39" s="44" t="s">
        <v>26</v>
      </c>
      <c r="D39" s="46"/>
      <c r="E39" s="46"/>
      <c r="F39" s="46">
        <f t="shared" si="7"/>
        <v>0</v>
      </c>
      <c r="G39" s="46"/>
      <c r="H39" s="46"/>
      <c r="I39" s="46"/>
      <c r="J39" s="47"/>
      <c r="K39" s="47"/>
      <c r="L39" s="48"/>
    </row>
    <row r="40">
      <c r="A40" s="42"/>
      <c r="B40" s="43"/>
      <c r="C40" s="44" t="s">
        <v>31</v>
      </c>
      <c r="D40" s="46"/>
      <c r="E40" s="46"/>
      <c r="F40" s="46">
        <f t="shared" si="7"/>
        <v>0</v>
      </c>
      <c r="G40" s="46"/>
      <c r="H40" s="46"/>
      <c r="I40" s="46"/>
      <c r="J40" s="47"/>
      <c r="K40" s="47"/>
      <c r="L40" s="48"/>
    </row>
    <row r="41">
      <c r="A41" s="42"/>
      <c r="B41" s="42"/>
      <c r="C41" s="44" t="s">
        <v>44</v>
      </c>
      <c r="D41" s="46"/>
      <c r="E41" s="46"/>
      <c r="F41" s="46">
        <f t="shared" si="7"/>
        <v>0</v>
      </c>
      <c r="G41" s="46"/>
      <c r="H41" s="46"/>
      <c r="I41" s="46"/>
      <c r="J41" s="47"/>
      <c r="K41" s="47"/>
      <c r="L41" s="48"/>
    </row>
    <row r="42">
      <c r="A42" s="42"/>
      <c r="B42" s="42"/>
      <c r="C42" s="44" t="s">
        <v>35</v>
      </c>
      <c r="D42" s="46"/>
      <c r="E42" s="46"/>
      <c r="F42" s="46">
        <f t="shared" si="7"/>
        <v>0</v>
      </c>
      <c r="G42" s="46"/>
      <c r="H42" s="46"/>
      <c r="I42" s="46"/>
      <c r="J42" s="47"/>
      <c r="K42" s="47"/>
      <c r="L42" s="48"/>
    </row>
    <row r="43">
      <c r="A43" s="42"/>
      <c r="B43" s="42"/>
      <c r="C43" s="44" t="s">
        <v>36</v>
      </c>
      <c r="D43" s="46"/>
      <c r="E43" s="46"/>
      <c r="F43" s="46">
        <f t="shared" si="7"/>
        <v>0</v>
      </c>
      <c r="G43" s="46"/>
      <c r="H43" s="46"/>
      <c r="I43" s="46"/>
      <c r="J43" s="47"/>
      <c r="K43" s="47"/>
      <c r="L43" s="48"/>
    </row>
    <row r="44">
      <c r="A44" s="42"/>
      <c r="B44" s="42"/>
      <c r="C44" s="44" t="s">
        <v>45</v>
      </c>
      <c r="D44" s="46"/>
      <c r="E44" s="46"/>
      <c r="F44" s="46">
        <f t="shared" si="7"/>
        <v>0</v>
      </c>
      <c r="G44" s="46"/>
      <c r="H44" s="46"/>
      <c r="I44" s="46"/>
      <c r="J44" s="47"/>
      <c r="K44" s="47"/>
      <c r="L44" s="48"/>
    </row>
    <row r="45">
      <c r="A45" s="42"/>
      <c r="B45" s="42"/>
      <c r="C45" s="44" t="s">
        <v>45</v>
      </c>
      <c r="D45" s="46"/>
      <c r="E45" s="46"/>
      <c r="F45" s="46">
        <f t="shared" si="7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46</v>
      </c>
      <c r="D46" s="52">
        <f t="shared" ref="D46:F46" si="8">SUM(D36:D43)</f>
        <v>0</v>
      </c>
      <c r="E46" s="52">
        <f t="shared" si="8"/>
        <v>0</v>
      </c>
      <c r="F46" s="52">
        <f t="shared" si="8"/>
        <v>0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44" t="s">
        <v>78</v>
      </c>
      <c r="D49" s="46"/>
      <c r="E49" s="46"/>
      <c r="F49" s="46"/>
      <c r="G49" s="46"/>
      <c r="H49" s="46"/>
      <c r="I49" s="46"/>
      <c r="J49" s="47"/>
      <c r="K49" s="47"/>
      <c r="L49" s="48"/>
    </row>
    <row r="50">
      <c r="A50" s="42"/>
      <c r="B50" s="43"/>
      <c r="C50" s="44" t="s">
        <v>36</v>
      </c>
      <c r="D50" s="46"/>
      <c r="E50" s="46"/>
      <c r="F50" s="46">
        <f t="shared" ref="F50:F52" si="9">E50-D50</f>
        <v>0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9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9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50</v>
      </c>
      <c r="D53" s="52">
        <f t="shared" ref="D53:F53" si="10">SUM(D50:D52)</f>
        <v>0</v>
      </c>
      <c r="E53" s="52">
        <f t="shared" si="10"/>
        <v>0</v>
      </c>
      <c r="F53" s="52">
        <f t="shared" si="10"/>
        <v>0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51</v>
      </c>
      <c r="D56" s="72"/>
      <c r="E56" s="72"/>
      <c r="F56" s="72">
        <f t="shared" ref="F56:F63" si="11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52</v>
      </c>
      <c r="D57" s="72"/>
      <c r="E57" s="72"/>
      <c r="F57" s="72">
        <f t="shared" si="11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53</v>
      </c>
      <c r="D58" s="72"/>
      <c r="E58" s="72"/>
      <c r="F58" s="72">
        <f t="shared" si="11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54</v>
      </c>
      <c r="D59" s="72"/>
      <c r="E59" s="72"/>
      <c r="F59" s="72">
        <f t="shared" si="11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55</v>
      </c>
      <c r="D60" s="72"/>
      <c r="E60" s="72"/>
      <c r="F60" s="72">
        <f t="shared" si="11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11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57</v>
      </c>
      <c r="D62" s="72"/>
      <c r="E62" s="72"/>
      <c r="F62" s="72">
        <f t="shared" si="11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58</v>
      </c>
      <c r="D63" s="72"/>
      <c r="E63" s="72"/>
      <c r="F63" s="72">
        <f t="shared" si="11"/>
        <v>0</v>
      </c>
      <c r="G63" s="73"/>
      <c r="H63" s="73"/>
      <c r="I63" s="73"/>
      <c r="J63" s="73"/>
      <c r="K63" s="73"/>
      <c r="L63" s="73"/>
    </row>
    <row r="64">
      <c r="A64" s="75"/>
      <c r="B64" s="75"/>
      <c r="C64" s="76" t="s">
        <v>59</v>
      </c>
      <c r="D64" s="77">
        <f t="shared" ref="D64:F64" si="12">SUM(D57:D59)</f>
        <v>0</v>
      </c>
      <c r="E64" s="77">
        <f t="shared" si="12"/>
        <v>0</v>
      </c>
      <c r="F64" s="77">
        <f t="shared" si="12"/>
        <v>0</v>
      </c>
      <c r="G64" s="75"/>
      <c r="H64" s="75"/>
      <c r="I64" s="75"/>
      <c r="J64" s="75"/>
      <c r="K64" s="75"/>
      <c r="L64" s="75"/>
    </row>
    <row r="65">
      <c r="A65" s="70"/>
    </row>
    <row r="66">
      <c r="A66" s="70"/>
      <c r="B66" s="70"/>
      <c r="C66" s="78"/>
      <c r="D66" s="79" t="s">
        <v>60</v>
      </c>
      <c r="E66" s="79" t="s">
        <v>61</v>
      </c>
      <c r="F66" s="79" t="s">
        <v>62</v>
      </c>
      <c r="G66" s="70"/>
      <c r="H66" s="70"/>
      <c r="I66" s="70"/>
      <c r="J66" s="70"/>
      <c r="K66" s="70"/>
      <c r="L66" s="70"/>
    </row>
    <row r="67" ht="42.0" customHeight="1">
      <c r="A67" s="80"/>
      <c r="B67" s="81" t="s">
        <v>63</v>
      </c>
      <c r="C67" s="82"/>
      <c r="D67" s="83">
        <f>D64+D53+D46+D32</f>
        <v>0</v>
      </c>
      <c r="E67" s="83"/>
      <c r="F67" s="83"/>
      <c r="G67" s="84"/>
      <c r="H67" s="84"/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conditionalFormatting sqref="A5:L67">
    <cfRule type="expression" dxfId="7" priority="7">
      <formula>RegExMatch((#REF!),"Done")</formula>
    </cfRule>
  </conditionalFormatting>
  <drawing r:id="rId1"/>
  <tableParts count="4">
    <tablePart r:id="rId6"/>
    <tablePart r:id="rId7"/>
    <tablePart r:id="rId8"/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19.0"/>
    <col customWidth="1" min="3" max="3" width="36.38"/>
    <col customWidth="1" min="4" max="4" width="15.25"/>
    <col customWidth="1" min="5" max="5" width="13.25"/>
    <col customWidth="1" min="6" max="6" width="11.0"/>
    <col customWidth="1" min="7" max="7" width="7.38"/>
    <col customWidth="1" min="8" max="9" width="14.13"/>
    <col customWidth="1" min="10" max="10" width="9.25"/>
    <col customWidth="1" min="11" max="11" width="12.75"/>
    <col customWidth="1" min="12" max="12" width="2.5"/>
  </cols>
  <sheetData>
    <row r="1" ht="12.0" customHeight="1">
      <c r="A1" s="1"/>
      <c r="B1" s="1"/>
      <c r="C1" s="1"/>
      <c r="D1" s="2"/>
      <c r="E1" s="2"/>
      <c r="F1" s="2"/>
      <c r="G1" s="2"/>
      <c r="H1" s="2"/>
      <c r="I1" s="2"/>
      <c r="J1" s="3"/>
      <c r="K1" s="3"/>
      <c r="L1" s="2"/>
    </row>
    <row r="2" ht="44.25" customHeight="1">
      <c r="A2" s="1"/>
      <c r="B2" s="4" t="s">
        <v>0</v>
      </c>
      <c r="C2" s="5"/>
      <c r="D2" s="6"/>
      <c r="E2" s="7"/>
      <c r="F2" s="7"/>
      <c r="G2" s="7"/>
      <c r="H2" s="7"/>
      <c r="I2" s="7"/>
      <c r="J2" s="7"/>
      <c r="K2" s="5"/>
      <c r="L2" s="8"/>
    </row>
    <row r="3" ht="36.75" customHeight="1">
      <c r="A3" s="9"/>
      <c r="B3" s="10" t="s">
        <v>1</v>
      </c>
      <c r="C3" s="11" t="s">
        <v>2</v>
      </c>
      <c r="D3" s="12"/>
      <c r="E3" s="13" t="s">
        <v>3</v>
      </c>
      <c r="F3" s="14">
        <v>193.0</v>
      </c>
      <c r="G3" s="15"/>
      <c r="H3" s="15"/>
      <c r="I3" s="15"/>
      <c r="J3" s="15"/>
      <c r="K3" s="15"/>
      <c r="L3" s="16"/>
    </row>
    <row r="4" ht="36.75" customHeight="1">
      <c r="A4" s="9"/>
      <c r="B4" s="10" t="s">
        <v>4</v>
      </c>
      <c r="C4" s="17">
        <v>73455.0</v>
      </c>
      <c r="D4" s="13"/>
      <c r="E4" s="18" t="s">
        <v>5</v>
      </c>
      <c r="F4" s="19">
        <v>0.0</v>
      </c>
      <c r="G4" s="15"/>
      <c r="H4" s="15"/>
      <c r="I4" s="15" t="s">
        <v>6</v>
      </c>
      <c r="J4" s="20">
        <v>45947.0</v>
      </c>
      <c r="K4" s="15"/>
      <c r="L4" s="16"/>
    </row>
    <row r="5" ht="13.5" customHeight="1">
      <c r="A5" s="9"/>
      <c r="B5" s="21"/>
      <c r="C5" s="21"/>
      <c r="D5" s="15"/>
      <c r="E5" s="22"/>
      <c r="F5" s="23"/>
      <c r="G5" s="23"/>
      <c r="H5" s="23"/>
      <c r="I5" s="24"/>
      <c r="J5" s="15"/>
      <c r="K5" s="15"/>
      <c r="L5" s="16"/>
    </row>
    <row r="6" ht="29.25" customHeight="1">
      <c r="A6" s="25"/>
      <c r="B6" s="25" t="s">
        <v>7</v>
      </c>
      <c r="C6" s="25" t="s">
        <v>8</v>
      </c>
      <c r="D6" s="26" t="s">
        <v>9</v>
      </c>
      <c r="E6" s="27" t="s">
        <v>10</v>
      </c>
      <c r="F6" s="28" t="s">
        <v>11</v>
      </c>
      <c r="G6" s="28" t="s">
        <v>12</v>
      </c>
      <c r="H6" s="28" t="s">
        <v>13</v>
      </c>
      <c r="I6" s="29" t="s">
        <v>14</v>
      </c>
      <c r="J6" s="30" t="s">
        <v>15</v>
      </c>
      <c r="K6" s="30" t="s">
        <v>16</v>
      </c>
      <c r="L6" s="25"/>
    </row>
    <row r="7" ht="1.5" customHeight="1">
      <c r="A7" s="31"/>
      <c r="B7" s="32"/>
      <c r="C7" s="33"/>
      <c r="D7" s="34"/>
      <c r="E7" s="35"/>
      <c r="F7" s="36"/>
      <c r="G7" s="36"/>
      <c r="H7" s="36"/>
      <c r="I7" s="35"/>
      <c r="J7" s="37"/>
      <c r="K7" s="37"/>
      <c r="L7" s="35"/>
    </row>
    <row r="8" ht="22.5" customHeight="1">
      <c r="A8" s="38">
        <v>1.0</v>
      </c>
      <c r="B8" s="38" t="s">
        <v>17</v>
      </c>
      <c r="C8" s="38"/>
      <c r="D8" s="39"/>
      <c r="E8" s="39"/>
      <c r="F8" s="39"/>
      <c r="G8" s="39"/>
      <c r="H8" s="39"/>
      <c r="I8" s="39"/>
      <c r="J8" s="40"/>
      <c r="K8" s="40"/>
      <c r="L8" s="41"/>
    </row>
    <row r="9" hidden="1">
      <c r="A9" s="42"/>
      <c r="B9" s="43"/>
      <c r="C9" s="44" t="s">
        <v>18</v>
      </c>
      <c r="D9" s="45">
        <v>1000.0</v>
      </c>
      <c r="E9" s="46"/>
      <c r="F9" s="46">
        <f t="shared" ref="F9:F31" si="1">E9-D9</f>
        <v>-1000</v>
      </c>
      <c r="G9" s="46"/>
      <c r="H9" s="46"/>
      <c r="I9" s="46">
        <f t="shared" ref="I9:I22" si="2">D9/75</f>
        <v>13.33333333</v>
      </c>
      <c r="J9" s="47"/>
      <c r="K9" s="47"/>
      <c r="L9" s="48"/>
    </row>
    <row r="10" hidden="1">
      <c r="A10" s="42"/>
      <c r="B10" s="43"/>
      <c r="C10" s="44" t="s">
        <v>19</v>
      </c>
      <c r="D10" s="45">
        <v>2000.0</v>
      </c>
      <c r="E10" s="46"/>
      <c r="F10" s="46">
        <f t="shared" si="1"/>
        <v>-2000</v>
      </c>
      <c r="G10" s="46"/>
      <c r="H10" s="46"/>
      <c r="I10" s="46">
        <f t="shared" si="2"/>
        <v>26.66666667</v>
      </c>
      <c r="J10" s="47"/>
      <c r="K10" s="47"/>
      <c r="L10" s="48"/>
    </row>
    <row r="11" hidden="1">
      <c r="A11" s="42"/>
      <c r="B11" s="43"/>
      <c r="C11" s="44" t="s">
        <v>20</v>
      </c>
      <c r="D11" s="45">
        <v>710.0</v>
      </c>
      <c r="E11" s="46"/>
      <c r="F11" s="46">
        <f t="shared" si="1"/>
        <v>-710</v>
      </c>
      <c r="G11" s="46"/>
      <c r="H11" s="46"/>
      <c r="I11" s="46">
        <f t="shared" si="2"/>
        <v>9.466666667</v>
      </c>
      <c r="J11" s="47"/>
      <c r="K11" s="47"/>
      <c r="L11" s="48"/>
    </row>
    <row r="12" hidden="1">
      <c r="A12" s="42"/>
      <c r="B12" s="42"/>
      <c r="C12" s="44" t="s">
        <v>21</v>
      </c>
      <c r="D12" s="46">
        <v>0.0</v>
      </c>
      <c r="E12" s="46"/>
      <c r="F12" s="46">
        <f t="shared" si="1"/>
        <v>0</v>
      </c>
      <c r="G12" s="46"/>
      <c r="H12" s="46"/>
      <c r="I12" s="46">
        <f t="shared" si="2"/>
        <v>0</v>
      </c>
      <c r="J12" s="47"/>
      <c r="K12" s="47"/>
      <c r="L12" s="48"/>
    </row>
    <row r="13" hidden="1">
      <c r="A13" s="42"/>
      <c r="B13" s="42"/>
      <c r="C13" s="44" t="s">
        <v>22</v>
      </c>
      <c r="D13" s="46">
        <v>0.0</v>
      </c>
      <c r="E13" s="46"/>
      <c r="F13" s="46">
        <f t="shared" si="1"/>
        <v>0</v>
      </c>
      <c r="G13" s="46"/>
      <c r="H13" s="46"/>
      <c r="I13" s="46">
        <f t="shared" si="2"/>
        <v>0</v>
      </c>
      <c r="J13" s="47"/>
      <c r="K13" s="47"/>
      <c r="L13" s="48"/>
    </row>
    <row r="14" hidden="1">
      <c r="A14" s="42"/>
      <c r="B14" s="42"/>
      <c r="C14" s="44" t="s">
        <v>23</v>
      </c>
      <c r="D14" s="45">
        <v>500.0</v>
      </c>
      <c r="E14" s="46"/>
      <c r="F14" s="46">
        <f t="shared" si="1"/>
        <v>-500</v>
      </c>
      <c r="G14" s="46"/>
      <c r="H14" s="46"/>
      <c r="I14" s="46">
        <f t="shared" si="2"/>
        <v>6.666666667</v>
      </c>
      <c r="J14" s="47"/>
      <c r="K14" s="47"/>
      <c r="L14" s="48"/>
    </row>
    <row r="15" hidden="1">
      <c r="A15" s="42"/>
      <c r="B15" s="42"/>
      <c r="C15" s="44" t="s">
        <v>24</v>
      </c>
      <c r="D15" s="49">
        <v>1431.68</v>
      </c>
      <c r="E15" s="46"/>
      <c r="F15" s="46">
        <f t="shared" si="1"/>
        <v>-1431.68</v>
      </c>
      <c r="G15" s="46"/>
      <c r="H15" s="46"/>
      <c r="I15" s="46">
        <f t="shared" si="2"/>
        <v>19.08906667</v>
      </c>
      <c r="J15" s="47"/>
      <c r="K15" s="47"/>
      <c r="L15" s="48"/>
    </row>
    <row r="16" hidden="1">
      <c r="A16" s="42"/>
      <c r="B16" s="42"/>
      <c r="C16" s="44" t="s">
        <v>25</v>
      </c>
      <c r="D16" s="46">
        <v>0.0</v>
      </c>
      <c r="E16" s="46"/>
      <c r="F16" s="46">
        <f t="shared" si="1"/>
        <v>0</v>
      </c>
      <c r="G16" s="46"/>
      <c r="H16" s="46"/>
      <c r="I16" s="46">
        <f t="shared" si="2"/>
        <v>0</v>
      </c>
      <c r="J16" s="47"/>
      <c r="K16" s="47"/>
      <c r="L16" s="48"/>
    </row>
    <row r="17" hidden="1">
      <c r="A17" s="42"/>
      <c r="B17" s="42"/>
      <c r="C17" s="44" t="s">
        <v>26</v>
      </c>
      <c r="D17" s="49">
        <v>600.0</v>
      </c>
      <c r="E17" s="46"/>
      <c r="F17" s="46">
        <f t="shared" si="1"/>
        <v>-600</v>
      </c>
      <c r="G17" s="46"/>
      <c r="H17" s="46"/>
      <c r="I17" s="46">
        <f t="shared" si="2"/>
        <v>8</v>
      </c>
      <c r="J17" s="47"/>
      <c r="K17" s="47"/>
      <c r="L17" s="48"/>
    </row>
    <row r="18" hidden="1">
      <c r="A18" s="42"/>
      <c r="B18" s="42"/>
      <c r="C18" s="44" t="s">
        <v>27</v>
      </c>
      <c r="D18" s="46">
        <v>0.0</v>
      </c>
      <c r="E18" s="46"/>
      <c r="F18" s="46">
        <f t="shared" si="1"/>
        <v>0</v>
      </c>
      <c r="G18" s="46"/>
      <c r="H18" s="46"/>
      <c r="I18" s="46">
        <f t="shared" si="2"/>
        <v>0</v>
      </c>
      <c r="J18" s="47"/>
      <c r="K18" s="47"/>
      <c r="L18" s="48"/>
    </row>
    <row r="19" hidden="1">
      <c r="A19" s="42"/>
      <c r="B19" s="42"/>
      <c r="C19" s="44" t="s">
        <v>28</v>
      </c>
      <c r="D19" s="46">
        <v>0.0</v>
      </c>
      <c r="E19" s="46"/>
      <c r="F19" s="46">
        <f t="shared" si="1"/>
        <v>0</v>
      </c>
      <c r="G19" s="46"/>
      <c r="H19" s="46"/>
      <c r="I19" s="46">
        <f t="shared" si="2"/>
        <v>0</v>
      </c>
      <c r="J19" s="47"/>
      <c r="K19" s="47"/>
      <c r="L19" s="48"/>
    </row>
    <row r="20" hidden="1">
      <c r="A20" s="42"/>
      <c r="B20" s="42"/>
      <c r="C20" s="44" t="s">
        <v>29</v>
      </c>
      <c r="D20" s="49">
        <v>3538.0</v>
      </c>
      <c r="E20" s="46"/>
      <c r="F20" s="46">
        <f t="shared" si="1"/>
        <v>-3538</v>
      </c>
      <c r="G20" s="46"/>
      <c r="H20" s="46"/>
      <c r="I20" s="46">
        <f t="shared" si="2"/>
        <v>47.17333333</v>
      </c>
      <c r="J20" s="47"/>
      <c r="K20" s="47"/>
      <c r="L20" s="48"/>
    </row>
    <row r="21" hidden="1">
      <c r="A21" s="42"/>
      <c r="B21" s="42"/>
      <c r="C21" s="44" t="s">
        <v>30</v>
      </c>
      <c r="D21" s="49">
        <v>955.94</v>
      </c>
      <c r="E21" s="46"/>
      <c r="F21" s="46">
        <f t="shared" si="1"/>
        <v>-955.94</v>
      </c>
      <c r="G21" s="46"/>
      <c r="H21" s="46"/>
      <c r="I21" s="46">
        <f t="shared" si="2"/>
        <v>12.74586667</v>
      </c>
      <c r="J21" s="47"/>
      <c r="K21" s="47"/>
      <c r="L21" s="48"/>
    </row>
    <row r="22" hidden="1">
      <c r="A22" s="42"/>
      <c r="B22" s="42"/>
      <c r="C22" s="44" t="s">
        <v>31</v>
      </c>
      <c r="D22" s="47">
        <f>1055.71+375+7342.84</f>
        <v>8773.55</v>
      </c>
      <c r="E22" s="46"/>
      <c r="F22" s="46">
        <f t="shared" si="1"/>
        <v>-8773.55</v>
      </c>
      <c r="G22" s="46"/>
      <c r="H22" s="46"/>
      <c r="I22" s="46">
        <f t="shared" si="2"/>
        <v>116.9806667</v>
      </c>
      <c r="J22" s="47"/>
      <c r="K22" s="47"/>
      <c r="L22" s="48"/>
    </row>
    <row r="23" hidden="1">
      <c r="A23" s="42"/>
      <c r="B23" s="42"/>
      <c r="C23" s="44" t="s">
        <v>32</v>
      </c>
      <c r="D23" s="46">
        <v>0.0</v>
      </c>
      <c r="E23" s="46"/>
      <c r="F23" s="46">
        <f t="shared" si="1"/>
        <v>0</v>
      </c>
      <c r="G23" s="46"/>
      <c r="H23" s="46"/>
      <c r="I23" s="46">
        <f>D23/65</f>
        <v>0</v>
      </c>
      <c r="J23" s="47"/>
      <c r="K23" s="47"/>
      <c r="L23" s="48"/>
    </row>
    <row r="24" hidden="1">
      <c r="A24" s="42"/>
      <c r="B24" s="42"/>
      <c r="C24" s="44" t="s">
        <v>33</v>
      </c>
      <c r="D24" s="46">
        <v>0.0</v>
      </c>
      <c r="E24" s="46"/>
      <c r="F24" s="46">
        <f t="shared" si="1"/>
        <v>0</v>
      </c>
      <c r="G24" s="46"/>
      <c r="H24" s="46"/>
      <c r="I24" s="46">
        <f t="shared" ref="I24:I28" si="3">D24/75</f>
        <v>0</v>
      </c>
      <c r="J24" s="47"/>
      <c r="K24" s="47"/>
      <c r="L24" s="48"/>
    </row>
    <row r="25" hidden="1">
      <c r="A25" s="42"/>
      <c r="B25" s="42"/>
      <c r="C25" s="44" t="s">
        <v>34</v>
      </c>
      <c r="D25" s="46">
        <v>0.0</v>
      </c>
      <c r="E25" s="46"/>
      <c r="F25" s="46">
        <f t="shared" si="1"/>
        <v>0</v>
      </c>
      <c r="G25" s="46"/>
      <c r="H25" s="46"/>
      <c r="I25" s="46">
        <f t="shared" si="3"/>
        <v>0</v>
      </c>
      <c r="J25" s="47"/>
      <c r="K25" s="47"/>
      <c r="L25" s="48"/>
    </row>
    <row r="26" hidden="1">
      <c r="A26" s="42"/>
      <c r="B26" s="42"/>
      <c r="C26" s="44" t="s">
        <v>35</v>
      </c>
      <c r="D26" s="49">
        <v>150.0</v>
      </c>
      <c r="E26" s="46"/>
      <c r="F26" s="46">
        <f t="shared" si="1"/>
        <v>-150</v>
      </c>
      <c r="G26" s="46"/>
      <c r="H26" s="46"/>
      <c r="I26" s="46">
        <f t="shared" si="3"/>
        <v>2</v>
      </c>
      <c r="J26" s="47"/>
      <c r="K26" s="47"/>
      <c r="L26" s="48"/>
    </row>
    <row r="27" hidden="1">
      <c r="A27" s="42"/>
      <c r="B27" s="42"/>
      <c r="C27" s="44" t="s">
        <v>36</v>
      </c>
      <c r="D27" s="46">
        <v>0.0</v>
      </c>
      <c r="E27" s="46"/>
      <c r="F27" s="46">
        <f t="shared" si="1"/>
        <v>0</v>
      </c>
      <c r="G27" s="46"/>
      <c r="H27" s="46"/>
      <c r="I27" s="46">
        <f t="shared" si="3"/>
        <v>0</v>
      </c>
      <c r="J27" s="47"/>
      <c r="K27" s="47"/>
      <c r="L27" s="42"/>
    </row>
    <row r="28" hidden="1">
      <c r="A28" s="42"/>
      <c r="B28" s="42"/>
      <c r="C28" s="44" t="s">
        <v>37</v>
      </c>
      <c r="D28" s="46">
        <v>0.0</v>
      </c>
      <c r="E28" s="46"/>
      <c r="F28" s="46">
        <f t="shared" si="1"/>
        <v>0</v>
      </c>
      <c r="G28" s="46"/>
      <c r="H28" s="46"/>
      <c r="I28" s="46">
        <f t="shared" si="3"/>
        <v>0</v>
      </c>
      <c r="J28" s="47"/>
      <c r="K28" s="47"/>
      <c r="L28" s="42"/>
    </row>
    <row r="29" hidden="1">
      <c r="A29" s="42"/>
      <c r="B29" s="42"/>
      <c r="C29" s="44" t="s">
        <v>38</v>
      </c>
      <c r="D29" s="46">
        <v>0.0</v>
      </c>
      <c r="E29" s="46"/>
      <c r="F29" s="46">
        <f t="shared" si="1"/>
        <v>0</v>
      </c>
      <c r="G29" s="46"/>
      <c r="H29" s="46"/>
      <c r="I29" s="46"/>
      <c r="J29" s="47"/>
      <c r="K29" s="47"/>
      <c r="L29" s="42"/>
    </row>
    <row r="30" hidden="1">
      <c r="A30" s="42"/>
      <c r="B30" s="42"/>
      <c r="C30" s="44" t="s">
        <v>39</v>
      </c>
      <c r="D30" s="46">
        <v>0.0</v>
      </c>
      <c r="E30" s="46"/>
      <c r="F30" s="46">
        <f t="shared" si="1"/>
        <v>0</v>
      </c>
      <c r="G30" s="46"/>
      <c r="H30" s="46"/>
      <c r="I30" s="46">
        <f t="shared" ref="I30:I31" si="4">D30/75</f>
        <v>0</v>
      </c>
      <c r="J30" s="47"/>
      <c r="K30" s="47"/>
      <c r="L30" s="42"/>
    </row>
    <row r="31" hidden="1">
      <c r="A31" s="42"/>
      <c r="B31" s="42"/>
      <c r="C31" s="44" t="s">
        <v>39</v>
      </c>
      <c r="D31" s="46">
        <v>0.0</v>
      </c>
      <c r="E31" s="46"/>
      <c r="F31" s="46">
        <f t="shared" si="1"/>
        <v>0</v>
      </c>
      <c r="G31" s="46"/>
      <c r="H31" s="46"/>
      <c r="I31" s="46">
        <f t="shared" si="4"/>
        <v>0</v>
      </c>
      <c r="J31" s="47"/>
      <c r="K31" s="47"/>
      <c r="L31" s="42"/>
    </row>
    <row r="32">
      <c r="A32" s="50"/>
      <c r="B32" s="50"/>
      <c r="C32" s="51" t="s">
        <v>40</v>
      </c>
      <c r="D32" s="52">
        <f>SUM(D9:D31)</f>
        <v>19659.17</v>
      </c>
      <c r="E32" s="88">
        <f>23414+4000</f>
        <v>27414</v>
      </c>
      <c r="F32" s="52">
        <f>D32-E32</f>
        <v>-7754.83</v>
      </c>
      <c r="G32" s="52"/>
      <c r="H32" s="52"/>
      <c r="I32" s="52">
        <f>SUM(I9:I31)</f>
        <v>262.1222667</v>
      </c>
      <c r="J32" s="88">
        <v>369.5</v>
      </c>
      <c r="K32" s="53"/>
      <c r="L32" s="50"/>
    </row>
    <row r="33" ht="20.25" customHeight="1">
      <c r="A33" s="54"/>
      <c r="B33" s="55"/>
      <c r="C33" s="56"/>
      <c r="D33" s="57"/>
      <c r="E33" s="58"/>
      <c r="F33" s="58"/>
      <c r="G33" s="58"/>
      <c r="H33" s="58"/>
      <c r="I33" s="58"/>
      <c r="J33" s="59"/>
      <c r="K33" s="59"/>
      <c r="L33" s="60"/>
    </row>
    <row r="34" ht="27.0" customHeight="1">
      <c r="A34" s="44">
        <v>2.0</v>
      </c>
      <c r="B34" s="44" t="s">
        <v>41</v>
      </c>
      <c r="C34" s="44"/>
      <c r="D34" s="46"/>
      <c r="E34" s="46"/>
      <c r="F34" s="46"/>
      <c r="G34" s="46"/>
      <c r="H34" s="46"/>
      <c r="I34" s="46"/>
      <c r="J34" s="47"/>
      <c r="K34" s="47"/>
      <c r="L34" s="48"/>
    </row>
    <row r="35" hidden="1">
      <c r="A35" s="42"/>
      <c r="B35" s="43"/>
      <c r="C35" s="44" t="s">
        <v>18</v>
      </c>
      <c r="D35" s="46"/>
      <c r="E35" s="46"/>
      <c r="F35" s="46"/>
      <c r="G35" s="46"/>
      <c r="H35" s="46"/>
      <c r="I35" s="46"/>
      <c r="J35" s="47"/>
      <c r="K35" s="47"/>
      <c r="L35" s="48"/>
    </row>
    <row r="36" hidden="1">
      <c r="A36" s="42"/>
      <c r="B36" s="43"/>
      <c r="C36" s="44" t="s">
        <v>21</v>
      </c>
      <c r="D36" s="46"/>
      <c r="E36" s="46"/>
      <c r="F36" s="46">
        <f t="shared" ref="F36:F45" si="5">E36-D36</f>
        <v>0</v>
      </c>
      <c r="G36" s="46"/>
      <c r="H36" s="46"/>
      <c r="I36" s="46"/>
      <c r="J36" s="47"/>
      <c r="K36" s="47"/>
      <c r="L36" s="48"/>
    </row>
    <row r="37" hidden="1">
      <c r="A37" s="42"/>
      <c r="B37" s="43"/>
      <c r="C37" s="44" t="s">
        <v>42</v>
      </c>
      <c r="D37" s="46"/>
      <c r="E37" s="46"/>
      <c r="F37" s="46">
        <f t="shared" si="5"/>
        <v>0</v>
      </c>
      <c r="G37" s="46"/>
      <c r="H37" s="46"/>
      <c r="I37" s="46"/>
      <c r="J37" s="47"/>
      <c r="K37" s="47"/>
      <c r="L37" s="48"/>
    </row>
    <row r="38" hidden="1">
      <c r="A38" s="42"/>
      <c r="B38" s="43"/>
      <c r="C38" s="44" t="s">
        <v>43</v>
      </c>
      <c r="D38" s="46"/>
      <c r="E38" s="46"/>
      <c r="F38" s="46">
        <f t="shared" si="5"/>
        <v>0</v>
      </c>
      <c r="G38" s="46"/>
      <c r="H38" s="46"/>
      <c r="I38" s="46"/>
      <c r="J38" s="47"/>
      <c r="K38" s="47"/>
      <c r="L38" s="48"/>
    </row>
    <row r="39" hidden="1">
      <c r="A39" s="42"/>
      <c r="B39" s="43"/>
      <c r="C39" s="44" t="s">
        <v>26</v>
      </c>
      <c r="D39" s="46"/>
      <c r="E39" s="46"/>
      <c r="F39" s="46">
        <f t="shared" si="5"/>
        <v>0</v>
      </c>
      <c r="G39" s="46"/>
      <c r="H39" s="46"/>
      <c r="I39" s="46"/>
      <c r="J39" s="47"/>
      <c r="K39" s="47"/>
      <c r="L39" s="48"/>
    </row>
    <row r="40" hidden="1">
      <c r="A40" s="42"/>
      <c r="B40" s="43"/>
      <c r="C40" s="44" t="s">
        <v>31</v>
      </c>
      <c r="D40" s="45">
        <v>11539.0</v>
      </c>
      <c r="E40" s="46"/>
      <c r="F40" s="46">
        <f t="shared" si="5"/>
        <v>-11539</v>
      </c>
      <c r="G40" s="46"/>
      <c r="H40" s="46"/>
      <c r="I40" s="46"/>
      <c r="J40" s="47"/>
      <c r="K40" s="47"/>
      <c r="L40" s="48"/>
    </row>
    <row r="41" hidden="1">
      <c r="A41" s="42"/>
      <c r="B41" s="42"/>
      <c r="C41" s="44" t="s">
        <v>44</v>
      </c>
      <c r="D41" s="46"/>
      <c r="E41" s="46"/>
      <c r="F41" s="46">
        <f t="shared" si="5"/>
        <v>0</v>
      </c>
      <c r="G41" s="46"/>
      <c r="H41" s="46"/>
      <c r="I41" s="46"/>
      <c r="J41" s="47"/>
      <c r="K41" s="47"/>
      <c r="L41" s="48"/>
    </row>
    <row r="42" hidden="1">
      <c r="A42" s="42"/>
      <c r="B42" s="42"/>
      <c r="C42" s="44" t="s">
        <v>35</v>
      </c>
      <c r="D42" s="46"/>
      <c r="E42" s="46"/>
      <c r="F42" s="46">
        <f t="shared" si="5"/>
        <v>0</v>
      </c>
      <c r="G42" s="46"/>
      <c r="H42" s="46"/>
      <c r="I42" s="46"/>
      <c r="J42" s="47"/>
      <c r="K42" s="47"/>
      <c r="L42" s="48"/>
    </row>
    <row r="43" hidden="1">
      <c r="A43" s="42"/>
      <c r="B43" s="42"/>
      <c r="C43" s="44" t="s">
        <v>36</v>
      </c>
      <c r="D43" s="46"/>
      <c r="E43" s="46"/>
      <c r="F43" s="46">
        <f t="shared" si="5"/>
        <v>0</v>
      </c>
      <c r="G43" s="46"/>
      <c r="H43" s="46"/>
      <c r="I43" s="46"/>
      <c r="J43" s="47"/>
      <c r="K43" s="47"/>
      <c r="L43" s="48"/>
    </row>
    <row r="44" hidden="1">
      <c r="A44" s="42"/>
      <c r="B44" s="42"/>
      <c r="C44" s="44" t="s">
        <v>45</v>
      </c>
      <c r="D44" s="46"/>
      <c r="E44" s="46"/>
      <c r="F44" s="46">
        <f t="shared" si="5"/>
        <v>0</v>
      </c>
      <c r="G44" s="46"/>
      <c r="H44" s="46"/>
      <c r="I44" s="46"/>
      <c r="J44" s="47"/>
      <c r="K44" s="47"/>
      <c r="L44" s="48"/>
    </row>
    <row r="45" hidden="1">
      <c r="A45" s="42"/>
      <c r="B45" s="42"/>
      <c r="C45" s="44" t="s">
        <v>45</v>
      </c>
      <c r="D45" s="46"/>
      <c r="E45" s="46"/>
      <c r="F45" s="46">
        <f t="shared" si="5"/>
        <v>0</v>
      </c>
      <c r="G45" s="46"/>
      <c r="H45" s="46"/>
      <c r="I45" s="46"/>
      <c r="J45" s="47"/>
      <c r="K45" s="47"/>
      <c r="L45" s="48"/>
    </row>
    <row r="46">
      <c r="A46" s="50"/>
      <c r="B46" s="50"/>
      <c r="C46" s="51" t="s">
        <v>46</v>
      </c>
      <c r="D46" s="52">
        <f>SUM(D36:D43)</f>
        <v>11539</v>
      </c>
      <c r="E46" s="88">
        <v>8237.13</v>
      </c>
      <c r="F46" s="52">
        <f>D46-E46</f>
        <v>3301.87</v>
      </c>
      <c r="G46" s="61"/>
      <c r="H46" s="52"/>
      <c r="I46" s="52"/>
      <c r="J46" s="52"/>
      <c r="K46" s="53"/>
      <c r="L46" s="50"/>
    </row>
    <row r="47" ht="16.5" customHeight="1">
      <c r="A47" s="62"/>
      <c r="B47" s="63"/>
      <c r="C47" s="64"/>
      <c r="D47" s="65"/>
      <c r="E47" s="66"/>
      <c r="F47" s="66"/>
      <c r="G47" s="66"/>
      <c r="H47" s="66"/>
      <c r="I47" s="66"/>
      <c r="J47" s="67"/>
      <c r="K47" s="67"/>
      <c r="L47" s="68"/>
    </row>
    <row r="48" ht="22.5" customHeight="1">
      <c r="A48" s="44">
        <v>3.0</v>
      </c>
      <c r="B48" s="44" t="s">
        <v>47</v>
      </c>
      <c r="C48" s="44"/>
      <c r="D48" s="46"/>
      <c r="E48" s="46"/>
      <c r="F48" s="46"/>
      <c r="G48" s="46"/>
      <c r="H48" s="46"/>
      <c r="I48" s="46"/>
      <c r="J48" s="47"/>
      <c r="K48" s="47"/>
      <c r="L48" s="48"/>
    </row>
    <row r="49">
      <c r="A49" s="42"/>
      <c r="B49" s="43"/>
      <c r="C49" s="69" t="s">
        <v>48</v>
      </c>
      <c r="D49" s="45">
        <v>22669.0</v>
      </c>
      <c r="E49" s="46"/>
      <c r="F49" s="46">
        <f t="shared" ref="F49:F52" si="6">E49-D49</f>
        <v>-22669</v>
      </c>
      <c r="G49" s="46"/>
      <c r="H49" s="46"/>
      <c r="I49" s="46"/>
      <c r="J49" s="47"/>
      <c r="K49" s="47"/>
      <c r="L49" s="48"/>
    </row>
    <row r="50">
      <c r="A50" s="42"/>
      <c r="B50" s="43"/>
      <c r="C50" s="69" t="s">
        <v>49</v>
      </c>
      <c r="D50" s="45">
        <v>9235.0</v>
      </c>
      <c r="E50" s="46"/>
      <c r="F50" s="46">
        <f t="shared" si="6"/>
        <v>-9235</v>
      </c>
      <c r="G50" s="46"/>
      <c r="H50" s="46"/>
      <c r="I50" s="46"/>
      <c r="J50" s="47"/>
      <c r="K50" s="47"/>
      <c r="L50" s="48"/>
    </row>
    <row r="51">
      <c r="A51" s="42"/>
      <c r="B51" s="43"/>
      <c r="C51" s="44" t="s">
        <v>36</v>
      </c>
      <c r="D51" s="46"/>
      <c r="E51" s="46"/>
      <c r="F51" s="46">
        <f t="shared" si="6"/>
        <v>0</v>
      </c>
      <c r="G51" s="46"/>
      <c r="H51" s="46"/>
      <c r="I51" s="46"/>
      <c r="J51" s="47"/>
      <c r="K51" s="47"/>
      <c r="L51" s="48"/>
    </row>
    <row r="52">
      <c r="A52" s="42"/>
      <c r="B52" s="43"/>
      <c r="C52" s="44" t="s">
        <v>36</v>
      </c>
      <c r="D52" s="46"/>
      <c r="E52" s="46"/>
      <c r="F52" s="46">
        <f t="shared" si="6"/>
        <v>0</v>
      </c>
      <c r="G52" s="46"/>
      <c r="H52" s="46"/>
      <c r="I52" s="46"/>
      <c r="J52" s="47"/>
      <c r="K52" s="47"/>
      <c r="L52" s="48"/>
    </row>
    <row r="53">
      <c r="A53" s="50"/>
      <c r="B53" s="50"/>
      <c r="C53" s="51" t="s">
        <v>50</v>
      </c>
      <c r="D53" s="52">
        <f>SUM(D49:D52)</f>
        <v>31904</v>
      </c>
      <c r="E53" s="88">
        <v>31904.0</v>
      </c>
      <c r="F53" s="88">
        <v>0.0</v>
      </c>
      <c r="G53" s="61"/>
      <c r="H53" s="52"/>
      <c r="I53" s="52"/>
      <c r="J53" s="52"/>
      <c r="K53" s="53"/>
      <c r="L53" s="50"/>
    </row>
    <row r="54">
      <c r="A54" s="70"/>
    </row>
    <row r="55" ht="23.25" customHeight="1">
      <c r="A55" s="71">
        <v>4.0</v>
      </c>
      <c r="B55" s="71" t="s">
        <v>36</v>
      </c>
      <c r="C55" s="71"/>
      <c r="D55" s="72"/>
      <c r="E55" s="72"/>
      <c r="F55" s="72"/>
      <c r="G55" s="73"/>
      <c r="H55" s="73"/>
      <c r="I55" s="73"/>
      <c r="J55" s="73"/>
      <c r="K55" s="73"/>
      <c r="L55" s="73"/>
    </row>
    <row r="56">
      <c r="A56" s="73"/>
      <c r="B56" s="74"/>
      <c r="C56" s="71" t="s">
        <v>51</v>
      </c>
      <c r="D56" s="72"/>
      <c r="E56" s="72"/>
      <c r="F56" s="72">
        <f t="shared" ref="F56:F63" si="7">E56-D56</f>
        <v>0</v>
      </c>
      <c r="G56" s="73"/>
      <c r="H56" s="73"/>
      <c r="I56" s="73"/>
      <c r="J56" s="73"/>
      <c r="K56" s="73"/>
      <c r="L56" s="73"/>
    </row>
    <row r="57">
      <c r="A57" s="73"/>
      <c r="B57" s="74"/>
      <c r="C57" s="71" t="s">
        <v>52</v>
      </c>
      <c r="D57" s="72"/>
      <c r="E57" s="72"/>
      <c r="F57" s="72">
        <f t="shared" si="7"/>
        <v>0</v>
      </c>
      <c r="G57" s="73"/>
      <c r="H57" s="73"/>
      <c r="I57" s="73"/>
      <c r="J57" s="73"/>
      <c r="K57" s="73"/>
      <c r="L57" s="73"/>
    </row>
    <row r="58">
      <c r="A58" s="73"/>
      <c r="B58" s="74"/>
      <c r="C58" s="71" t="s">
        <v>53</v>
      </c>
      <c r="D58" s="72"/>
      <c r="E58" s="72"/>
      <c r="F58" s="72">
        <f t="shared" si="7"/>
        <v>0</v>
      </c>
      <c r="G58" s="73"/>
      <c r="H58" s="73"/>
      <c r="I58" s="73"/>
      <c r="J58" s="73"/>
      <c r="K58" s="73"/>
      <c r="L58" s="73"/>
    </row>
    <row r="59">
      <c r="A59" s="73"/>
      <c r="B59" s="74"/>
      <c r="C59" s="71" t="s">
        <v>54</v>
      </c>
      <c r="D59" s="72"/>
      <c r="E59" s="72"/>
      <c r="F59" s="72">
        <f t="shared" si="7"/>
        <v>0</v>
      </c>
      <c r="G59" s="73"/>
      <c r="H59" s="73"/>
      <c r="I59" s="73"/>
      <c r="J59" s="73"/>
      <c r="K59" s="73"/>
      <c r="L59" s="73"/>
    </row>
    <row r="60">
      <c r="A60" s="73"/>
      <c r="B60" s="74"/>
      <c r="C60" s="71" t="s">
        <v>55</v>
      </c>
      <c r="D60" s="72"/>
      <c r="E60" s="72"/>
      <c r="F60" s="72">
        <f t="shared" si="7"/>
        <v>0</v>
      </c>
      <c r="G60" s="73"/>
      <c r="H60" s="73"/>
      <c r="I60" s="73"/>
      <c r="J60" s="73"/>
      <c r="K60" s="73"/>
      <c r="L60" s="73"/>
    </row>
    <row r="61">
      <c r="A61" s="73"/>
      <c r="B61" s="74"/>
      <c r="C61" s="71" t="s">
        <v>56</v>
      </c>
      <c r="D61" s="72"/>
      <c r="E61" s="72"/>
      <c r="F61" s="72">
        <f t="shared" si="7"/>
        <v>0</v>
      </c>
      <c r="G61" s="73"/>
      <c r="H61" s="73"/>
      <c r="I61" s="73"/>
      <c r="J61" s="73"/>
      <c r="K61" s="73"/>
      <c r="L61" s="73"/>
    </row>
    <row r="62">
      <c r="A62" s="73"/>
      <c r="B62" s="74"/>
      <c r="C62" s="71" t="s">
        <v>57</v>
      </c>
      <c r="D62" s="72"/>
      <c r="E62" s="72"/>
      <c r="F62" s="72">
        <f t="shared" si="7"/>
        <v>0</v>
      </c>
      <c r="G62" s="73"/>
      <c r="H62" s="73"/>
      <c r="I62" s="73"/>
      <c r="J62" s="73"/>
      <c r="K62" s="73"/>
      <c r="L62" s="73"/>
    </row>
    <row r="63">
      <c r="A63" s="73"/>
      <c r="B63" s="74"/>
      <c r="C63" s="71" t="s">
        <v>58</v>
      </c>
      <c r="D63" s="72"/>
      <c r="E63" s="72"/>
      <c r="F63" s="72">
        <f t="shared" si="7"/>
        <v>0</v>
      </c>
      <c r="G63" s="73"/>
      <c r="H63" s="73"/>
      <c r="I63" s="73"/>
      <c r="J63" s="73"/>
      <c r="K63" s="73"/>
      <c r="L63" s="73"/>
    </row>
    <row r="64">
      <c r="A64" s="75"/>
      <c r="B64" s="75"/>
      <c r="C64" s="76" t="s">
        <v>59</v>
      </c>
      <c r="D64" s="77">
        <f>SUM(D57:D59)</f>
        <v>0</v>
      </c>
      <c r="E64" s="89">
        <v>670.0</v>
      </c>
      <c r="F64" s="89">
        <v>670.0</v>
      </c>
      <c r="G64" s="75"/>
      <c r="H64" s="75"/>
      <c r="I64" s="75"/>
      <c r="J64" s="75"/>
      <c r="K64" s="75"/>
      <c r="L64" s="75"/>
    </row>
    <row r="65">
      <c r="A65" s="70"/>
    </row>
    <row r="66">
      <c r="A66" s="70"/>
      <c r="B66" s="70"/>
      <c r="C66" s="78"/>
      <c r="D66" s="79" t="s">
        <v>60</v>
      </c>
      <c r="E66" s="79" t="s">
        <v>61</v>
      </c>
      <c r="F66" s="79" t="s">
        <v>62</v>
      </c>
      <c r="G66" s="70"/>
      <c r="H66" s="70"/>
      <c r="I66" s="70"/>
      <c r="J66" s="70"/>
      <c r="K66" s="70"/>
      <c r="L66" s="70"/>
    </row>
    <row r="67" ht="42.0" customHeight="1">
      <c r="A67" s="80"/>
      <c r="B67" s="81" t="s">
        <v>63</v>
      </c>
      <c r="C67" s="82"/>
      <c r="D67" s="83">
        <f t="shared" ref="D67:E67" si="8">D64+D53+D46+D32</f>
        <v>63102.17</v>
      </c>
      <c r="E67" s="83">
        <f t="shared" si="8"/>
        <v>68225.13</v>
      </c>
      <c r="F67" s="83">
        <f>F32+F46+F64</f>
        <v>-3782.96</v>
      </c>
      <c r="G67" s="90">
        <f>H67/C4</f>
        <v>0.07119828466</v>
      </c>
      <c r="H67" s="91">
        <f>C4-E67</f>
        <v>5229.87</v>
      </c>
      <c r="I67" s="84"/>
      <c r="J67" s="84"/>
      <c r="K67" s="84"/>
      <c r="L67" s="80"/>
    </row>
  </sheetData>
  <mergeCells count="6">
    <mergeCell ref="B2:C2"/>
    <mergeCell ref="D2:K2"/>
    <mergeCell ref="C3:D3"/>
    <mergeCell ref="A54:L54"/>
    <mergeCell ref="A65:L65"/>
    <mergeCell ref="B67:C67"/>
  </mergeCells>
  <conditionalFormatting sqref="J7:K7 J33:K33 J47:K47 J67:K67">
    <cfRule type="expression" dxfId="4" priority="1">
      <formula>AND(OR($D7="In progress",$D7="Not started" ),OR($J7=today(), $J7=today()+1))</formula>
    </cfRule>
  </conditionalFormatting>
  <conditionalFormatting sqref="D7 D33 D47 D67:F67">
    <cfRule type="cellIs" dxfId="5" priority="2" operator="equal">
      <formula>"Not started"</formula>
    </cfRule>
  </conditionalFormatting>
  <conditionalFormatting sqref="D7 D33 D47 D67:F67">
    <cfRule type="cellIs" dxfId="6" priority="3" operator="equal">
      <formula>"In progress"</formula>
    </cfRule>
  </conditionalFormatting>
  <conditionalFormatting sqref="A7:L7 A33:L33 A47:L47 A67:L67">
    <cfRule type="expression" dxfId="7" priority="4">
      <formula>RegExMatch(($D7),"Done")</formula>
    </cfRule>
  </conditionalFormatting>
  <conditionalFormatting sqref="E7:I7 E33:I33 D47:J47 D67:J67">
    <cfRule type="timePeriod" dxfId="8" priority="5" timePeriod="today"/>
  </conditionalFormatting>
  <conditionalFormatting sqref="E7:I7 E33:I33 D47:J47 D67:J67">
    <cfRule type="expression" dxfId="4" priority="6">
      <formula>AND($E7&lt;TODAY(), OR($D7="In progress", $D7="Not started"))</formula>
    </cfRule>
  </conditionalFormatting>
  <printOptions gridLines="1" horizontalCentered="1"/>
  <pageMargins bottom="0.75" footer="0.0" header="0.0" left="0.25" right="0.25" top="0.75"/>
  <pageSetup fitToWidth="0" cellComments="atEnd" orientation="portrait" pageOrder="overThenDown"/>
  <drawing r:id="rId1"/>
  <tableParts count="4">
    <tablePart r:id="rId6"/>
    <tablePart r:id="rId7"/>
    <tablePart r:id="rId8"/>
    <tablePart r:id="rId9"/>
  </tableParts>
</worksheet>
</file>