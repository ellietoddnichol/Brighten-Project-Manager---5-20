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SOV" sheetId="2" r:id="rId6"/>
    <sheet state="visible" name="CO1" sheetId="3" r:id="rId7"/>
    <sheet state="visible" name="CO2" sheetId="4" r:id="rId8"/>
    <sheet state="visible" name="CO3" sheetId="5" r:id="rId9"/>
    <sheet state="visible" name="Updated Budget" sheetId="6" r:id="rId10"/>
  </sheets>
  <definedNames/>
  <calcPr/>
</workbook>
</file>

<file path=xl/sharedStrings.xml><?xml version="1.0" encoding="utf-8"?>
<sst xmlns="http://schemas.openxmlformats.org/spreadsheetml/2006/main" count="381" uniqueCount="76">
  <si>
    <t>Job Cost Budget</t>
  </si>
  <si>
    <t>Project Name:</t>
  </si>
  <si>
    <t>BV CTE '26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</si>
  <si>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</si>
  <si>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</si>
  <si>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</si>
  <si>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</si>
  <si>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</si>
  <si>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</si>
  <si>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</si>
  <si>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</si>
  <si>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</si>
  <si>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</si>
  <si>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</si>
  <si>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</si>
  <si>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</si>
  <si>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</si>
  <si>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</si>
  <si>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</si>
  <si>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</si>
  <si>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</si>
  <si>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</si>
  <si>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</si>
  <si>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</si>
  <si>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</si>
  <si>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>Finish Carpentry</t>
  </si>
  <si>
    <t>Doors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</si>
  <si>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</si>
  <si>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</si>
  <si>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</si>
  <si>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</si>
  <si>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</si>
  <si>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</si>
  <si>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</si>
  <si>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Ceiling Tile</t>
  </si>
  <si>
    <t>Specialties</t>
  </si>
  <si>
    <t>Other</t>
  </si>
  <si>
    <t>Overtime</t>
  </si>
  <si>
    <t>Allowance Hrs</t>
  </si>
  <si>
    <t>WO#</t>
  </si>
  <si>
    <t>Labor Sub Totals</t>
  </si>
  <si>
    <t>Material</t>
  </si>
  <si>
    <t>Rough Carp</t>
  </si>
  <si>
    <t>Finish Carp</t>
  </si>
  <si>
    <t>Ceiling</t>
  </si>
  <si>
    <t>WO #</t>
  </si>
  <si>
    <t>Material Sub Totals</t>
  </si>
  <si>
    <t>Subcontractors</t>
  </si>
  <si>
    <t>Acoustical Ceilings - Briarwood</t>
  </si>
  <si>
    <t>Taping - C4</t>
  </si>
  <si>
    <t>Subcontractor Totals</t>
  </si>
  <si>
    <t>Equipment Rental</t>
  </si>
  <si>
    <t>Engineering</t>
  </si>
  <si>
    <t>Mileage</t>
  </si>
  <si>
    <t>Tool Rental</t>
  </si>
  <si>
    <t>Bonding</t>
  </si>
  <si>
    <t>Allowance</t>
  </si>
  <si>
    <t>Contingency</t>
  </si>
  <si>
    <t>Dumpster</t>
  </si>
  <si>
    <t>Other Sub Totals</t>
  </si>
  <si>
    <t>Budget</t>
  </si>
  <si>
    <t>Actual</t>
  </si>
  <si>
    <t>Difference</t>
  </si>
  <si>
    <t>Overall Job Totals</t>
  </si>
  <si>
    <t>Pre- Con</t>
  </si>
  <si>
    <t xml:space="preserve">Framing </t>
  </si>
  <si>
    <t>Drywall/Insulation</t>
  </si>
  <si>
    <t>DFHW</t>
  </si>
  <si>
    <t>Backing</t>
  </si>
  <si>
    <t>ACT sub</t>
  </si>
  <si>
    <t>Taping sub</t>
  </si>
  <si>
    <t>Contract amount</t>
  </si>
  <si>
    <t>CO Budget Update</t>
  </si>
  <si>
    <t>Change Amount:</t>
  </si>
  <si>
    <t>CO #</t>
  </si>
  <si>
    <t>Acoustical Ceilings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</si>
</sst>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</numFmts>
  <fonts count="23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Font="1" applyNumberFormat="1"/>
    <xf borderId="0" fillId="0" fontId="17" numFmtId="167" xfId="0" applyFont="1" applyNumberFormat="1"/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0" fontId="17" numFmtId="0" xfId="0" applyAlignment="1" applyFont="1">
      <alignment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0" fillId="2" fontId="17" numFmtId="4" xfId="0" applyAlignment="1" applyFont="1" applyNumberFormat="1">
      <alignment readingOrder="0"/>
    </xf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14" fillId="0" fontId="18" numFmtId="0" xfId="0" applyBorder="1" applyFont="1"/>
    <xf borderId="14" fillId="0" fontId="21" numFmtId="0" xfId="0" applyAlignment="1" applyBorder="1" applyFont="1">
      <alignment horizontal="right" readingOrder="0"/>
    </xf>
    <xf borderId="14" fillId="0" fontId="4" numFmtId="0" xfId="0" applyBorder="1" applyFont="1"/>
    <xf borderId="14" fillId="0" fontId="20" numFmtId="4" xfId="0" applyAlignment="1" applyBorder="1" applyFont="1" applyNumberFormat="1">
      <alignment horizontal="right" readingOrder="0"/>
    </xf>
    <xf borderId="14" fillId="0" fontId="20" numFmtId="0" xfId="0" applyAlignment="1" applyBorder="1" applyFont="1">
      <alignment horizontal="right" readingOrder="0"/>
    </xf>
    <xf borderId="14" fillId="0" fontId="20" numFmtId="165" xfId="0" applyAlignment="1" applyBorder="1" applyFont="1" applyNumberFormat="1">
      <alignment horizontal="right" readingOrder="0"/>
    </xf>
    <xf borderId="14" fillId="0" fontId="20" numFmtId="10" xfId="0" applyAlignment="1" applyBorder="1" applyFont="1" applyNumberFormat="1">
      <alignment horizontal="right" readingOrder="0"/>
    </xf>
    <xf borderId="0" fillId="0" fontId="22" numFmtId="0" xfId="0" applyAlignment="1" applyFont="1">
      <alignment readingOrder="0"/>
    </xf>
    <xf borderId="0" fillId="0" fontId="22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0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L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8:L53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5:L6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2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4:L46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8:L53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5:L64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158.0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162265.0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46007.0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1750.0</v>
      </c>
      <c r="E9" s="46"/>
      <c r="F9" s="46">
        <f t="shared" ref="F9:F31" si="1">E9-D9</f>
        <v>-1750</v>
      </c>
      <c r="G9" s="46"/>
      <c r="H9" s="46"/>
      <c r="I9" s="46">
        <f t="shared" ref="I9:I22" si="2">D9/75</f>
        <v>23.33333333</v>
      </c>
      <c r="J9" s="47"/>
      <c r="K9" s="47"/>
      <c r="L9" s="48"/>
    </row>
    <row r="10">
      <c r="A10" s="42"/>
      <c r="B10" s="43"/>
      <c r="C10" s="44" t="s">
        <v>19</v>
      </c>
      <c r="D10" s="45">
        <v>2000.0</v>
      </c>
      <c r="E10" s="46"/>
      <c r="F10" s="46">
        <f t="shared" si="1"/>
        <v>-2000</v>
      </c>
      <c r="G10" s="46"/>
      <c r="H10" s="46"/>
      <c r="I10" s="46">
        <f t="shared" si="2"/>
        <v>26.66666667</v>
      </c>
      <c r="J10" s="47"/>
      <c r="K10" s="47"/>
      <c r="L10" s="48"/>
    </row>
    <row r="11">
      <c r="A11" s="42"/>
      <c r="B11" s="43"/>
      <c r="C11" s="44" t="s">
        <v>20</v>
      </c>
      <c r="D11" s="45">
        <v>1000.0</v>
      </c>
      <c r="E11" s="46"/>
      <c r="F11" s="46">
        <f t="shared" si="1"/>
        <v>-1000</v>
      </c>
      <c r="G11" s="46"/>
      <c r="H11" s="46"/>
      <c r="I11" s="46">
        <f t="shared" si="2"/>
        <v>13.33333333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5">
        <v>2000.0</v>
      </c>
      <c r="E14" s="46"/>
      <c r="F14" s="46">
        <f t="shared" si="1"/>
        <v>-2000</v>
      </c>
      <c r="G14" s="46"/>
      <c r="H14" s="46"/>
      <c r="I14" s="46">
        <f t="shared" si="2"/>
        <v>26.66666667</v>
      </c>
      <c r="J14" s="47"/>
      <c r="K14" s="47"/>
      <c r="L14" s="48"/>
    </row>
    <row r="15">
      <c r="A15" s="42"/>
      <c r="B15" s="42"/>
      <c r="C15" s="44" t="s">
        <v>24</v>
      </c>
      <c r="D15" s="45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5">
        <f>12419+251+1041</f>
        <v>13711</v>
      </c>
      <c r="E20" s="46"/>
      <c r="F20" s="46">
        <f t="shared" si="1"/>
        <v>-13711</v>
      </c>
      <c r="G20" s="46"/>
      <c r="H20" s="46"/>
      <c r="I20" s="46">
        <f t="shared" si="2"/>
        <v>182.8133333</v>
      </c>
      <c r="J20" s="47"/>
      <c r="K20" s="47"/>
      <c r="L20" s="48"/>
    </row>
    <row r="21">
      <c r="A21" s="42"/>
      <c r="B21" s="42"/>
      <c r="C21" s="44" t="s">
        <v>30</v>
      </c>
      <c r="D21" s="45">
        <v>1361.0</v>
      </c>
      <c r="E21" s="46"/>
      <c r="F21" s="46">
        <f t="shared" si="1"/>
        <v>-1361</v>
      </c>
      <c r="G21" s="46"/>
      <c r="H21" s="46"/>
      <c r="I21" s="46">
        <f t="shared" si="2"/>
        <v>18.14666667</v>
      </c>
      <c r="J21" s="47"/>
      <c r="K21" s="47"/>
      <c r="L21" s="48"/>
    </row>
    <row r="22">
      <c r="A22" s="42"/>
      <c r="B22" s="42"/>
      <c r="C22" s="44" t="s">
        <v>31</v>
      </c>
      <c r="D22" s="45">
        <f>8032+1787+10788+1280</f>
        <v>21887</v>
      </c>
      <c r="E22" s="46"/>
      <c r="F22" s="46">
        <f t="shared" si="1"/>
        <v>-21887</v>
      </c>
      <c r="G22" s="46"/>
      <c r="H22" s="46"/>
      <c r="I22" s="46">
        <f t="shared" si="2"/>
        <v>291.8266667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49"/>
      <c r="B32" s="49"/>
      <c r="C32" s="50" t="s">
        <v>40</v>
      </c>
      <c r="D32" s="51">
        <f t="shared" ref="D32:F32" si="5">SUM(D9:D31)</f>
        <v>43709</v>
      </c>
      <c r="E32" s="51">
        <f t="shared" si="5"/>
        <v>0</v>
      </c>
      <c r="F32" s="51">
        <f t="shared" si="5"/>
        <v>-43709</v>
      </c>
      <c r="G32" s="51"/>
      <c r="H32" s="51"/>
      <c r="I32" s="51">
        <f t="shared" ref="I32:J32" si="6">SUM(I9:I31)</f>
        <v>582.7866667</v>
      </c>
      <c r="J32" s="51">
        <f t="shared" si="6"/>
        <v>0</v>
      </c>
      <c r="K32" s="52"/>
      <c r="L32" s="49"/>
    </row>
    <row r="33" ht="20.25" customHeight="1">
      <c r="A33" s="53"/>
      <c r="B33" s="54"/>
      <c r="C33" s="55"/>
      <c r="D33" s="56"/>
      <c r="E33" s="57"/>
      <c r="F33" s="57"/>
      <c r="G33" s="57"/>
      <c r="H33" s="57"/>
      <c r="I33" s="57"/>
      <c r="J33" s="58"/>
      <c r="K33" s="58"/>
      <c r="L33" s="59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5">
        <f>26533.37-1173</f>
        <v>25360.37</v>
      </c>
      <c r="E40" s="46"/>
      <c r="F40" s="46">
        <f t="shared" si="7"/>
        <v>-25360.37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49"/>
      <c r="B46" s="49"/>
      <c r="C46" s="50" t="s">
        <v>46</v>
      </c>
      <c r="D46" s="51">
        <f t="shared" ref="D46:F46" si="8">SUM(D36:D43)</f>
        <v>25360.37</v>
      </c>
      <c r="E46" s="51">
        <f t="shared" si="8"/>
        <v>0</v>
      </c>
      <c r="F46" s="51">
        <f t="shared" si="8"/>
        <v>-25360.37</v>
      </c>
      <c r="G46" s="60"/>
      <c r="H46" s="51"/>
      <c r="I46" s="51"/>
      <c r="J46" s="51"/>
      <c r="K46" s="52"/>
      <c r="L46" s="49"/>
    </row>
    <row r="47" ht="16.5" customHeight="1">
      <c r="A47" s="61"/>
      <c r="B47" s="62"/>
      <c r="C47" s="63"/>
      <c r="D47" s="64"/>
      <c r="E47" s="65"/>
      <c r="F47" s="65"/>
      <c r="G47" s="65"/>
      <c r="H47" s="65"/>
      <c r="I47" s="65"/>
      <c r="J47" s="66"/>
      <c r="K47" s="66"/>
      <c r="L47" s="67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68" t="s">
        <v>48</v>
      </c>
      <c r="D49" s="45">
        <v>44977.0</v>
      </c>
      <c r="E49" s="46"/>
      <c r="F49" s="46">
        <f t="shared" ref="F49:F52" si="9">E49-D49</f>
        <v>-44977</v>
      </c>
      <c r="G49" s="46"/>
      <c r="H49" s="46"/>
      <c r="I49" s="46"/>
      <c r="J49" s="47"/>
      <c r="K49" s="47"/>
      <c r="L49" s="48"/>
    </row>
    <row r="50">
      <c r="A50" s="42"/>
      <c r="B50" s="43"/>
      <c r="C50" s="68" t="s">
        <v>49</v>
      </c>
      <c r="D50" s="45">
        <v>20814.0</v>
      </c>
      <c r="E50" s="46"/>
      <c r="F50" s="46">
        <f t="shared" si="9"/>
        <v>-20814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49"/>
      <c r="B53" s="49"/>
      <c r="C53" s="50" t="s">
        <v>50</v>
      </c>
      <c r="D53" s="51">
        <f>SUM(D49:D52)</f>
        <v>65791</v>
      </c>
      <c r="E53" s="51">
        <f t="shared" ref="E53:F53" si="10">SUM(E50:E52)</f>
        <v>0</v>
      </c>
      <c r="F53" s="51">
        <f t="shared" si="10"/>
        <v>-20814</v>
      </c>
      <c r="G53" s="60"/>
      <c r="H53" s="51"/>
      <c r="I53" s="51"/>
      <c r="J53" s="51"/>
      <c r="K53" s="52"/>
      <c r="L53" s="49"/>
    </row>
    <row r="54">
      <c r="A54" s="69"/>
    </row>
    <row r="55" ht="23.25" customHeight="1">
      <c r="A55" s="70">
        <v>4.0</v>
      </c>
      <c r="B55" s="70" t="s">
        <v>36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51</v>
      </c>
      <c r="D56" s="74">
        <v>1540.0</v>
      </c>
      <c r="E56" s="71"/>
      <c r="F56" s="71">
        <f t="shared" ref="F56:F63" si="11">E56-D56</f>
        <v>-1540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52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53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54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55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56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57</v>
      </c>
      <c r="D62" s="74">
        <v>5600.0</v>
      </c>
      <c r="E62" s="71"/>
      <c r="F62" s="71">
        <f t="shared" si="11"/>
        <v>-5600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58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59</v>
      </c>
      <c r="D64" s="77">
        <f>SUM(D56:D63)</f>
        <v>7140</v>
      </c>
      <c r="E64" s="77">
        <f t="shared" ref="E64:F64" si="12">SUM(E57:E59)</f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60</v>
      </c>
      <c r="E66" s="79" t="s">
        <v>61</v>
      </c>
      <c r="F66" s="79" t="s">
        <v>62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63</v>
      </c>
      <c r="C67" s="82"/>
      <c r="D67" s="83">
        <f>D64+D53+D46+D32</f>
        <v>142000.37</v>
      </c>
      <c r="E67" s="83"/>
      <c r="F67" s="83"/>
      <c r="G67" s="84"/>
      <c r="H67" s="85">
        <f>C4-D67</f>
        <v>20264.63</v>
      </c>
      <c r="I67" s="86">
        <f>H67/C4</f>
        <v>0.1248860198</v>
      </c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</cols>
  <sheetData>
    <row r="3">
      <c r="A3" s="87" t="s">
        <v>64</v>
      </c>
      <c r="B3" s="87">
        <v>2000.0</v>
      </c>
    </row>
    <row r="4">
      <c r="A4" s="87" t="s">
        <v>65</v>
      </c>
      <c r="B4" s="87">
        <v>8115.0</v>
      </c>
    </row>
    <row r="5">
      <c r="A5" s="87" t="s">
        <v>66</v>
      </c>
      <c r="B5" s="87">
        <v>12500.0</v>
      </c>
    </row>
    <row r="6">
      <c r="A6" s="87" t="s">
        <v>67</v>
      </c>
      <c r="B6" s="87">
        <v>850.0</v>
      </c>
    </row>
    <row r="7">
      <c r="A7" s="87" t="s">
        <v>68</v>
      </c>
      <c r="B7" s="87">
        <v>3500.0</v>
      </c>
    </row>
    <row r="8">
      <c r="A8" s="87" t="s">
        <v>35</v>
      </c>
      <c r="B8" s="87">
        <v>585.0</v>
      </c>
    </row>
    <row r="9">
      <c r="A9" s="87" t="s">
        <v>41</v>
      </c>
      <c r="B9" s="87">
        <v>14000.0</v>
      </c>
    </row>
    <row r="10">
      <c r="A10" s="87" t="s">
        <v>69</v>
      </c>
      <c r="B10" s="87">
        <v>22670.0</v>
      </c>
    </row>
    <row r="11">
      <c r="A11" s="87" t="s">
        <v>70</v>
      </c>
      <c r="B11" s="87">
        <v>9235.0</v>
      </c>
    </row>
    <row r="13">
      <c r="A13" s="87" t="s">
        <v>71</v>
      </c>
      <c r="B13" s="88">
        <f>SUM(B3:B11)</f>
        <v>73455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72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73</v>
      </c>
      <c r="C4" s="17"/>
      <c r="D4" s="13"/>
      <c r="E4" s="18" t="s">
        <v>74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49"/>
      <c r="B32" s="49"/>
      <c r="C32" s="50" t="s">
        <v>40</v>
      </c>
      <c r="D32" s="51">
        <f t="shared" ref="D32:F32" si="5">SUM(D9:D31)</f>
        <v>0</v>
      </c>
      <c r="E32" s="51">
        <f t="shared" si="5"/>
        <v>0</v>
      </c>
      <c r="F32" s="51">
        <f t="shared" si="5"/>
        <v>0</v>
      </c>
      <c r="G32" s="51"/>
      <c r="H32" s="51"/>
      <c r="I32" s="51">
        <f t="shared" ref="I32:J32" si="6">SUM(I9:I31)</f>
        <v>0</v>
      </c>
      <c r="J32" s="51">
        <f t="shared" si="6"/>
        <v>0</v>
      </c>
      <c r="K32" s="52"/>
      <c r="L32" s="49"/>
    </row>
    <row r="33" ht="20.25" customHeight="1">
      <c r="A33" s="53"/>
      <c r="B33" s="54"/>
      <c r="C33" s="55"/>
      <c r="D33" s="56"/>
      <c r="E33" s="57"/>
      <c r="F33" s="57"/>
      <c r="G33" s="57"/>
      <c r="H33" s="57"/>
      <c r="I33" s="57"/>
      <c r="J33" s="58"/>
      <c r="K33" s="58"/>
      <c r="L33" s="59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49"/>
      <c r="B46" s="49"/>
      <c r="C46" s="50" t="s">
        <v>46</v>
      </c>
      <c r="D46" s="51">
        <f t="shared" ref="D46:F46" si="8">SUM(D36:D43)</f>
        <v>0</v>
      </c>
      <c r="E46" s="51">
        <f t="shared" si="8"/>
        <v>0</v>
      </c>
      <c r="F46" s="51">
        <f t="shared" si="8"/>
        <v>0</v>
      </c>
      <c r="G46" s="60"/>
      <c r="H46" s="51"/>
      <c r="I46" s="51"/>
      <c r="J46" s="51"/>
      <c r="K46" s="52"/>
      <c r="L46" s="49"/>
    </row>
    <row r="47" ht="16.5" customHeight="1">
      <c r="A47" s="61"/>
      <c r="B47" s="62"/>
      <c r="C47" s="63"/>
      <c r="D47" s="64"/>
      <c r="E47" s="65"/>
      <c r="F47" s="65"/>
      <c r="G47" s="65"/>
      <c r="H47" s="65"/>
      <c r="I47" s="65"/>
      <c r="J47" s="66"/>
      <c r="K47" s="66"/>
      <c r="L47" s="67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75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49"/>
      <c r="B53" s="49"/>
      <c r="C53" s="50" t="s">
        <v>50</v>
      </c>
      <c r="D53" s="51">
        <f t="shared" ref="D53:F53" si="10">SUM(D50:D52)</f>
        <v>0</v>
      </c>
      <c r="E53" s="51">
        <f t="shared" si="10"/>
        <v>0</v>
      </c>
      <c r="F53" s="51">
        <f t="shared" si="10"/>
        <v>0</v>
      </c>
      <c r="G53" s="60"/>
      <c r="H53" s="51"/>
      <c r="I53" s="51"/>
      <c r="J53" s="51"/>
      <c r="K53" s="52"/>
      <c r="L53" s="49"/>
    </row>
    <row r="54">
      <c r="A54" s="69"/>
    </row>
    <row r="55" ht="23.25" customHeight="1">
      <c r="A55" s="70">
        <v>4.0</v>
      </c>
      <c r="B55" s="70" t="s">
        <v>36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51</v>
      </c>
      <c r="D56" s="71"/>
      <c r="E56" s="71"/>
      <c r="F56" s="71">
        <f t="shared" ref="F56:F63" si="11">E56-D56</f>
        <v>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52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53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54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55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56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57</v>
      </c>
      <c r="D62" s="71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58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60</v>
      </c>
      <c r="E66" s="79" t="s">
        <v>61</v>
      </c>
      <c r="F66" s="79" t="s">
        <v>62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63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72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73</v>
      </c>
      <c r="C4" s="17"/>
      <c r="D4" s="13"/>
      <c r="E4" s="18" t="s">
        <v>74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49"/>
      <c r="B32" s="49"/>
      <c r="C32" s="50" t="s">
        <v>40</v>
      </c>
      <c r="D32" s="51">
        <f t="shared" ref="D32:F32" si="5">SUM(D9:D31)</f>
        <v>0</v>
      </c>
      <c r="E32" s="51">
        <f t="shared" si="5"/>
        <v>0</v>
      </c>
      <c r="F32" s="51">
        <f t="shared" si="5"/>
        <v>0</v>
      </c>
      <c r="G32" s="51"/>
      <c r="H32" s="51"/>
      <c r="I32" s="51">
        <f t="shared" ref="I32:J32" si="6">SUM(I9:I31)</f>
        <v>0</v>
      </c>
      <c r="J32" s="51">
        <f t="shared" si="6"/>
        <v>0</v>
      </c>
      <c r="K32" s="52"/>
      <c r="L32" s="49"/>
    </row>
    <row r="33" ht="20.25" customHeight="1">
      <c r="A33" s="53"/>
      <c r="B33" s="54"/>
      <c r="C33" s="55"/>
      <c r="D33" s="56"/>
      <c r="E33" s="57"/>
      <c r="F33" s="57"/>
      <c r="G33" s="57"/>
      <c r="H33" s="57"/>
      <c r="I33" s="57"/>
      <c r="J33" s="58"/>
      <c r="K33" s="58"/>
      <c r="L33" s="59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49"/>
      <c r="B46" s="49"/>
      <c r="C46" s="50" t="s">
        <v>46</v>
      </c>
      <c r="D46" s="51">
        <f t="shared" ref="D46:F46" si="8">SUM(D36:D43)</f>
        <v>0</v>
      </c>
      <c r="E46" s="51">
        <f t="shared" si="8"/>
        <v>0</v>
      </c>
      <c r="F46" s="51">
        <f t="shared" si="8"/>
        <v>0</v>
      </c>
      <c r="G46" s="60"/>
      <c r="H46" s="51"/>
      <c r="I46" s="51"/>
      <c r="J46" s="51"/>
      <c r="K46" s="52"/>
      <c r="L46" s="49"/>
    </row>
    <row r="47" ht="16.5" customHeight="1">
      <c r="A47" s="61"/>
      <c r="B47" s="62"/>
      <c r="C47" s="63"/>
      <c r="D47" s="64"/>
      <c r="E47" s="65"/>
      <c r="F47" s="65"/>
      <c r="G47" s="65"/>
      <c r="H47" s="65"/>
      <c r="I47" s="65"/>
      <c r="J47" s="66"/>
      <c r="K47" s="66"/>
      <c r="L47" s="67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75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49"/>
      <c r="B53" s="49"/>
      <c r="C53" s="50" t="s">
        <v>50</v>
      </c>
      <c r="D53" s="51">
        <f t="shared" ref="D53:F53" si="10">SUM(D50:D52)</f>
        <v>0</v>
      </c>
      <c r="E53" s="51">
        <f t="shared" si="10"/>
        <v>0</v>
      </c>
      <c r="F53" s="51">
        <f t="shared" si="10"/>
        <v>0</v>
      </c>
      <c r="G53" s="60"/>
      <c r="H53" s="51"/>
      <c r="I53" s="51"/>
      <c r="J53" s="51"/>
      <c r="K53" s="52"/>
      <c r="L53" s="49"/>
    </row>
    <row r="54">
      <c r="A54" s="69"/>
    </row>
    <row r="55" ht="23.25" customHeight="1">
      <c r="A55" s="70">
        <v>4.0</v>
      </c>
      <c r="B55" s="70" t="s">
        <v>36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51</v>
      </c>
      <c r="D56" s="71"/>
      <c r="E56" s="71"/>
      <c r="F56" s="71">
        <f t="shared" ref="F56:F63" si="11">E56-D56</f>
        <v>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52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53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54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55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56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57</v>
      </c>
      <c r="D62" s="71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58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60</v>
      </c>
      <c r="E66" s="79" t="s">
        <v>61</v>
      </c>
      <c r="F66" s="79" t="s">
        <v>62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63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72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73</v>
      </c>
      <c r="C4" s="17"/>
      <c r="D4" s="13"/>
      <c r="E4" s="18" t="s">
        <v>74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49"/>
      <c r="B32" s="49"/>
      <c r="C32" s="50" t="s">
        <v>40</v>
      </c>
      <c r="D32" s="51">
        <f t="shared" ref="D32:F32" si="5">SUM(D9:D31)</f>
        <v>0</v>
      </c>
      <c r="E32" s="51">
        <f t="shared" si="5"/>
        <v>0</v>
      </c>
      <c r="F32" s="51">
        <f t="shared" si="5"/>
        <v>0</v>
      </c>
      <c r="G32" s="51"/>
      <c r="H32" s="51"/>
      <c r="I32" s="51">
        <f t="shared" ref="I32:J32" si="6">SUM(I9:I31)</f>
        <v>0</v>
      </c>
      <c r="J32" s="51">
        <f t="shared" si="6"/>
        <v>0</v>
      </c>
      <c r="K32" s="52"/>
      <c r="L32" s="49"/>
    </row>
    <row r="33" ht="20.25" customHeight="1">
      <c r="A33" s="53"/>
      <c r="B33" s="54"/>
      <c r="C33" s="55"/>
      <c r="D33" s="56"/>
      <c r="E33" s="57"/>
      <c r="F33" s="57"/>
      <c r="G33" s="57"/>
      <c r="H33" s="57"/>
      <c r="I33" s="57"/>
      <c r="J33" s="58"/>
      <c r="K33" s="58"/>
      <c r="L33" s="59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49"/>
      <c r="B46" s="49"/>
      <c r="C46" s="50" t="s">
        <v>46</v>
      </c>
      <c r="D46" s="51">
        <f t="shared" ref="D46:F46" si="8">SUM(D36:D43)</f>
        <v>0</v>
      </c>
      <c r="E46" s="51">
        <f t="shared" si="8"/>
        <v>0</v>
      </c>
      <c r="F46" s="51">
        <f t="shared" si="8"/>
        <v>0</v>
      </c>
      <c r="G46" s="60"/>
      <c r="H46" s="51"/>
      <c r="I46" s="51"/>
      <c r="J46" s="51"/>
      <c r="K46" s="52"/>
      <c r="L46" s="49"/>
    </row>
    <row r="47" ht="16.5" customHeight="1">
      <c r="A47" s="61"/>
      <c r="B47" s="62"/>
      <c r="C47" s="63"/>
      <c r="D47" s="64"/>
      <c r="E47" s="65"/>
      <c r="F47" s="65"/>
      <c r="G47" s="65"/>
      <c r="H47" s="65"/>
      <c r="I47" s="65"/>
      <c r="J47" s="66"/>
      <c r="K47" s="66"/>
      <c r="L47" s="67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75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49"/>
      <c r="B53" s="49"/>
      <c r="C53" s="50" t="s">
        <v>50</v>
      </c>
      <c r="D53" s="51">
        <f t="shared" ref="D53:F53" si="10">SUM(D50:D52)</f>
        <v>0</v>
      </c>
      <c r="E53" s="51">
        <f t="shared" si="10"/>
        <v>0</v>
      </c>
      <c r="F53" s="51">
        <f t="shared" si="10"/>
        <v>0</v>
      </c>
      <c r="G53" s="60"/>
      <c r="H53" s="51"/>
      <c r="I53" s="51"/>
      <c r="J53" s="51"/>
      <c r="K53" s="52"/>
      <c r="L53" s="49"/>
    </row>
    <row r="54">
      <c r="A54" s="69"/>
    </row>
    <row r="55" ht="23.25" customHeight="1">
      <c r="A55" s="70">
        <v>4.0</v>
      </c>
      <c r="B55" s="70" t="s">
        <v>36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51</v>
      </c>
      <c r="D56" s="71"/>
      <c r="E56" s="71"/>
      <c r="F56" s="71">
        <f t="shared" ref="F56:F63" si="11">E56-D56</f>
        <v>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52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53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54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55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56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57</v>
      </c>
      <c r="D62" s="71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58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60</v>
      </c>
      <c r="E66" s="79" t="s">
        <v>61</v>
      </c>
      <c r="F66" s="79" t="s">
        <v>62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63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72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73</v>
      </c>
      <c r="C4" s="17"/>
      <c r="D4" s="13"/>
      <c r="E4" s="18" t="s">
        <v>74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49"/>
      <c r="B32" s="49"/>
      <c r="C32" s="50" t="s">
        <v>40</v>
      </c>
      <c r="D32" s="51">
        <f t="shared" ref="D32:F32" si="5">SUM(D9:D31)</f>
        <v>0</v>
      </c>
      <c r="E32" s="51">
        <f t="shared" si="5"/>
        <v>0</v>
      </c>
      <c r="F32" s="51">
        <f t="shared" si="5"/>
        <v>0</v>
      </c>
      <c r="G32" s="51"/>
      <c r="H32" s="51"/>
      <c r="I32" s="51">
        <f t="shared" ref="I32:J32" si="6">SUM(I9:I31)</f>
        <v>0</v>
      </c>
      <c r="J32" s="51">
        <f t="shared" si="6"/>
        <v>0</v>
      </c>
      <c r="K32" s="52"/>
      <c r="L32" s="49"/>
    </row>
    <row r="33" ht="20.25" customHeight="1">
      <c r="A33" s="53"/>
      <c r="B33" s="54"/>
      <c r="C33" s="55"/>
      <c r="D33" s="56"/>
      <c r="E33" s="57"/>
      <c r="F33" s="57"/>
      <c r="G33" s="57"/>
      <c r="H33" s="57"/>
      <c r="I33" s="57"/>
      <c r="J33" s="58"/>
      <c r="K33" s="58"/>
      <c r="L33" s="59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49"/>
      <c r="B46" s="49"/>
      <c r="C46" s="50" t="s">
        <v>46</v>
      </c>
      <c r="D46" s="51">
        <f t="shared" ref="D46:F46" si="8">SUM(D36:D43)</f>
        <v>0</v>
      </c>
      <c r="E46" s="51">
        <f t="shared" si="8"/>
        <v>0</v>
      </c>
      <c r="F46" s="51">
        <f t="shared" si="8"/>
        <v>0</v>
      </c>
      <c r="G46" s="60"/>
      <c r="H46" s="51"/>
      <c r="I46" s="51"/>
      <c r="J46" s="51"/>
      <c r="K46" s="52"/>
      <c r="L46" s="49"/>
    </row>
    <row r="47" ht="16.5" customHeight="1">
      <c r="A47" s="61"/>
      <c r="B47" s="62"/>
      <c r="C47" s="63"/>
      <c r="D47" s="64"/>
      <c r="E47" s="65"/>
      <c r="F47" s="65"/>
      <c r="G47" s="65"/>
      <c r="H47" s="65"/>
      <c r="I47" s="65"/>
      <c r="J47" s="66"/>
      <c r="K47" s="66"/>
      <c r="L47" s="67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75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49"/>
      <c r="B53" s="49"/>
      <c r="C53" s="50" t="s">
        <v>50</v>
      </c>
      <c r="D53" s="51">
        <f t="shared" ref="D53:F53" si="10">SUM(D50:D52)</f>
        <v>0</v>
      </c>
      <c r="E53" s="51">
        <f t="shared" si="10"/>
        <v>0</v>
      </c>
      <c r="F53" s="51">
        <f t="shared" si="10"/>
        <v>0</v>
      </c>
      <c r="G53" s="60"/>
      <c r="H53" s="51"/>
      <c r="I53" s="51"/>
      <c r="J53" s="51"/>
      <c r="K53" s="52"/>
      <c r="L53" s="49"/>
    </row>
    <row r="54">
      <c r="A54" s="69"/>
    </row>
    <row r="55" ht="23.25" customHeight="1">
      <c r="A55" s="70">
        <v>4.0</v>
      </c>
      <c r="B55" s="70" t="s">
        <v>36</v>
      </c>
      <c r="C55" s="70"/>
      <c r="D55" s="71"/>
      <c r="E55" s="71"/>
      <c r="F55" s="71"/>
      <c r="G55" s="72"/>
      <c r="H55" s="72"/>
      <c r="I55" s="72"/>
      <c r="J55" s="72"/>
      <c r="K55" s="72"/>
      <c r="L55" s="72"/>
    </row>
    <row r="56">
      <c r="A56" s="72"/>
      <c r="B56" s="73"/>
      <c r="C56" s="70" t="s">
        <v>51</v>
      </c>
      <c r="D56" s="71"/>
      <c r="E56" s="71"/>
      <c r="F56" s="71">
        <f t="shared" ref="F56:F63" si="11">E56-D56</f>
        <v>0</v>
      </c>
      <c r="G56" s="72"/>
      <c r="H56" s="72"/>
      <c r="I56" s="72"/>
      <c r="J56" s="72"/>
      <c r="K56" s="72"/>
      <c r="L56" s="72"/>
    </row>
    <row r="57">
      <c r="A57" s="72"/>
      <c r="B57" s="73"/>
      <c r="C57" s="70" t="s">
        <v>52</v>
      </c>
      <c r="D57" s="71"/>
      <c r="E57" s="71"/>
      <c r="F57" s="71">
        <f t="shared" si="11"/>
        <v>0</v>
      </c>
      <c r="G57" s="72"/>
      <c r="H57" s="72"/>
      <c r="I57" s="72"/>
      <c r="J57" s="72"/>
      <c r="K57" s="72"/>
      <c r="L57" s="72"/>
    </row>
    <row r="58">
      <c r="A58" s="72"/>
      <c r="B58" s="73"/>
      <c r="C58" s="70" t="s">
        <v>53</v>
      </c>
      <c r="D58" s="71"/>
      <c r="E58" s="71"/>
      <c r="F58" s="71">
        <f t="shared" si="11"/>
        <v>0</v>
      </c>
      <c r="G58" s="72"/>
      <c r="H58" s="72"/>
      <c r="I58" s="72"/>
      <c r="J58" s="72"/>
      <c r="K58" s="72"/>
      <c r="L58" s="72"/>
    </row>
    <row r="59">
      <c r="A59" s="72"/>
      <c r="B59" s="73"/>
      <c r="C59" s="70" t="s">
        <v>54</v>
      </c>
      <c r="D59" s="71"/>
      <c r="E59" s="71"/>
      <c r="F59" s="71">
        <f t="shared" si="11"/>
        <v>0</v>
      </c>
      <c r="G59" s="72"/>
      <c r="H59" s="72"/>
      <c r="I59" s="72"/>
      <c r="J59" s="72"/>
      <c r="K59" s="72"/>
      <c r="L59" s="72"/>
    </row>
    <row r="60">
      <c r="A60" s="72"/>
      <c r="B60" s="73"/>
      <c r="C60" s="70" t="s">
        <v>55</v>
      </c>
      <c r="D60" s="71"/>
      <c r="E60" s="71"/>
      <c r="F60" s="71">
        <f t="shared" si="11"/>
        <v>0</v>
      </c>
      <c r="G60" s="72"/>
      <c r="H60" s="72"/>
      <c r="I60" s="72"/>
      <c r="J60" s="72"/>
      <c r="K60" s="72"/>
      <c r="L60" s="72"/>
    </row>
    <row r="61">
      <c r="A61" s="72"/>
      <c r="B61" s="73"/>
      <c r="C61" s="70" t="s">
        <v>56</v>
      </c>
      <c r="D61" s="71"/>
      <c r="E61" s="71"/>
      <c r="F61" s="71">
        <f t="shared" si="11"/>
        <v>0</v>
      </c>
      <c r="G61" s="72"/>
      <c r="H61" s="72"/>
      <c r="I61" s="72"/>
      <c r="J61" s="72"/>
      <c r="K61" s="72"/>
      <c r="L61" s="72"/>
    </row>
    <row r="62">
      <c r="A62" s="72"/>
      <c r="B62" s="73"/>
      <c r="C62" s="70" t="s">
        <v>57</v>
      </c>
      <c r="D62" s="71"/>
      <c r="E62" s="71"/>
      <c r="F62" s="71">
        <f t="shared" si="11"/>
        <v>0</v>
      </c>
      <c r="G62" s="72"/>
      <c r="H62" s="72"/>
      <c r="I62" s="72"/>
      <c r="J62" s="72"/>
      <c r="K62" s="72"/>
      <c r="L62" s="72"/>
    </row>
    <row r="63">
      <c r="A63" s="72"/>
      <c r="B63" s="73"/>
      <c r="C63" s="70" t="s">
        <v>58</v>
      </c>
      <c r="D63" s="71"/>
      <c r="E63" s="71"/>
      <c r="F63" s="71">
        <f t="shared" si="11"/>
        <v>0</v>
      </c>
      <c r="G63" s="72"/>
      <c r="H63" s="72"/>
      <c r="I63" s="72"/>
      <c r="J63" s="72"/>
      <c r="K63" s="72"/>
      <c r="L63" s="72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69"/>
    </row>
    <row r="66">
      <c r="A66" s="69"/>
      <c r="B66" s="69"/>
      <c r="C66" s="78"/>
      <c r="D66" s="79" t="s">
        <v>60</v>
      </c>
      <c r="E66" s="79" t="s">
        <v>61</v>
      </c>
      <c r="F66" s="79" t="s">
        <v>62</v>
      </c>
      <c r="G66" s="69"/>
      <c r="H66" s="69"/>
      <c r="I66" s="69"/>
      <c r="J66" s="69"/>
      <c r="K66" s="69"/>
      <c r="L66" s="69"/>
    </row>
    <row r="67" ht="42.0" customHeight="1">
      <c r="A67" s="80"/>
      <c r="B67" s="81" t="s">
        <v>63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