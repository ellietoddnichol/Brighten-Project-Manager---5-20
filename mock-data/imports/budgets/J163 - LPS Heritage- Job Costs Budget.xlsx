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" sheetId="1" r:id="rId5"/>
    <sheet state="visible" name="Updated Budget" sheetId="2" r:id="rId6"/>
    <sheet state="visible" name="CO1" sheetId="3" r:id="rId7"/>
    <sheet state="visible" name="CO2" sheetId="4" r:id="rId8"/>
    <sheet state="visible" name="CO3" sheetId="5" r:id="rId9"/>
  </sheets>
  <definedNames/>
  <calcPr/>
</workbook>
</file>

<file path=xl/sharedStrings.xml><?xml version="1.0" encoding="utf-8"?>
<sst xmlns="http://schemas.openxmlformats.org/spreadsheetml/2006/main" count="393" uniqueCount="91">
  <si>
    <t>Job Cost Budget</t>
  </si>
  <si>
    <t>Project Name:</t>
  </si>
  <si>
    <t>LPS Heritage Middle</t>
  </si>
  <si>
    <t xml:space="preserve">Job # </t>
  </si>
  <si>
    <t>Contract Amount:</t>
  </si>
  <si>
    <t>Thru CO #</t>
  </si>
  <si>
    <t>Last Update</t>
  </si>
  <si>
    <t>Section</t>
  </si>
  <si>
    <t>Cost Code</t>
  </si>
  <si>
    <t>$ Budgeted</t>
  </si>
  <si>
    <t>$ Actual</t>
  </si>
  <si>
    <t>Overrun</t>
  </si>
  <si>
    <t>%</t>
  </si>
  <si>
    <t>Change</t>
  </si>
  <si>
    <t>Hrs Budgeted</t>
  </si>
  <si>
    <t>Hrs Actual</t>
  </si>
  <si>
    <t>Hrs Remaining</t>
  </si>
  <si>
    <t>Labor</t>
  </si>
  <si>
    <t>Supervision</t>
  </si>
  <si>
    <t>Clean-up</t>
  </si>
  <si>
    <t>Delivery</t>
  </si>
  <si>
    <t>Temp Protections</t>
  </si>
  <si>
    <t>Demo</t>
  </si>
  <si>
    <t>Layout</t>
  </si>
  <si>
    <t>Rough Carpentry</t>
  </si>
  <si>
    <t>Finish Carpentry</t>
  </si>
  <si>
    <t>Doors</t>
  </si>
  <si>
    <t>Exterior Framing</t>
  </si>
  <si>
    <t>Sheathing</t>
  </si>
  <si>
    <t>Interior Framing</t>
  </si>
  <si>
    <t>Insulation</t>
  </si>
  <si>
    <t>Drywall</t>
  </si>
  <si>
    <t>Taping</t>
  </si>
  <si>
    <t>Caulking</t>
  </si>
  <si>
    <t>Ceiling Tile</t>
  </si>
  <si>
    <t>Specialties</t>
  </si>
  <si>
    <t>Other</t>
  </si>
  <si>
    <t>Overtime</t>
  </si>
  <si>
    <t>Allowance Hrs</t>
  </si>
  <si>
    <t>WO#</t>
  </si>
  <si>
    <t>Labor Sub Totals</t>
  </si>
  <si>
    <t>Material</t>
  </si>
  <si>
    <t>Rough Carp</t>
  </si>
  <si>
    <t>Finish Carp</t>
  </si>
  <si>
    <t>Ceiling</t>
  </si>
  <si>
    <t>WO #</t>
  </si>
  <si>
    <t>Material Sub Totals</t>
  </si>
  <si>
    <t>Subcontractors</t>
  </si>
  <si>
    <t>Acoustical Ceilings (Briarwood)</t>
  </si>
  <si>
    <t>Taping (C4)</t>
  </si>
  <si>
    <t>Spray Foam (KC Plaster)</t>
  </si>
  <si>
    <t>Subcontractor Totals</t>
  </si>
  <si>
    <t>Equipment Rental</t>
  </si>
  <si>
    <t>Engineering</t>
  </si>
  <si>
    <t>Mileage</t>
  </si>
  <si>
    <t>Tool Rental</t>
  </si>
  <si>
    <t>Bonding</t>
  </si>
  <si>
    <t>Allowance</t>
  </si>
  <si>
    <t xml:space="preserve">Contingency </t>
  </si>
  <si>
    <t>Dumpster</t>
  </si>
  <si>
    <t>Other Sub Totals</t>
  </si>
  <si>
    <t>Budget</t>
  </si>
  <si>
    <t>Contract Amount</t>
  </si>
  <si>
    <t>Estimated Profit</t>
  </si>
  <si>
    <t>Percent</t>
  </si>
  <si>
    <t>Overall Job Totals</t>
  </si>
  <si>
    <t>Budget Update</t>
  </si>
  <si>
    <t>Updated Contract :</t>
  </si>
  <si>
    <t>Ceiling Grid</t>
  </si>
  <si>
    <t>Change Order 3 - RFI 36</t>
  </si>
  <si>
    <t>Change Order 1 - Secure Entry Walls and Openings</t>
  </si>
  <si>
    <t>Change Order 2 - CE #004 - PR001</t>
  </si>
  <si>
    <t xml:space="preserve">Change Order 4 - Exterior Wall furrring </t>
  </si>
  <si>
    <t>Change Order 5 - PR06</t>
  </si>
  <si>
    <t>Change Order 6 - CCD003</t>
  </si>
  <si>
    <t>Change Order 7 - Plaster Patching at Stairwell Ceilings</t>
  </si>
  <si>
    <t>Change Order 8 - C4 OT</t>
  </si>
  <si>
    <t>Change Order 9 - Extra 1 st flr framing</t>
  </si>
  <si>
    <t xml:space="preserve">Change Order 7-9 </t>
  </si>
  <si>
    <t>Allowance Materials</t>
  </si>
  <si>
    <t>Contingency</t>
  </si>
  <si>
    <t>Change Order Equipment Rental 2</t>
  </si>
  <si>
    <t>Total Actual</t>
  </si>
  <si>
    <t>CO Budget Update</t>
  </si>
  <si>
    <t>Change Amount:</t>
  </si>
  <si>
    <t>Thro CO #</t>
  </si>
  <si>
    <t>Acoustical Ceilings</t>
  </si>
  <si>
    <t>Actual</t>
  </si>
  <si>
    <t>Difference</t>
  </si>
  <si>
    <t>TUKHS GME Clinic @ Olathe Med</t>
  </si>
  <si>
    <t>CO #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</si>
</sst>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&quot;$&quot;* #,##0.00_);_(&quot;$&quot;* \(#,##0.00\);_(&quot;$&quot;* &quot;-&quot;??_);_(@_)"/>
    <numFmt numFmtId="165" formatCode="&quot;$&quot;#,##0.00"/>
    <numFmt numFmtId="166" formatCode="m/d"/>
    <numFmt numFmtId="167" formatCode="m/d/yyyy"/>
    <numFmt numFmtId="168" formatCode="m/d/yy"/>
  </numFmts>
  <fonts count="25">
    <font>
      <sz val="10.0"/>
      <color rgb="FF000000"/>
      <name val="Arial"/>
      <scheme val="minor"/>
    </font>
    <font>
      <sz val="22.0"/>
      <color rgb="FFFFFFFF"/>
      <name val="Amaranth"/>
    </font>
    <font>
      <sz val="10.0"/>
      <color rgb="FFFFFFFF"/>
      <name val="Arial"/>
    </font>
    <font>
      <b/>
      <sz val="27.0"/>
      <color rgb="FF000000"/>
      <name val="Economica"/>
    </font>
    <font/>
    <font>
      <sz val="10.0"/>
      <color rgb="FF666666"/>
      <name val="Open Sans"/>
    </font>
    <font>
      <sz val="10.0"/>
      <color rgb="FF9FC5E8"/>
      <name val="Arial"/>
    </font>
    <font>
      <sz val="20.0"/>
      <color rgb="FF000000"/>
      <name val="Economica"/>
    </font>
    <font>
      <b/>
      <sz val="20.0"/>
      <color rgb="FF000000"/>
      <name val="Economica"/>
    </font>
    <font>
      <sz val="20.0"/>
      <color rgb="FF666666"/>
      <name val="Economica"/>
    </font>
    <font>
      <b/>
      <sz val="20.0"/>
      <color rgb="FF000000"/>
      <name val="Spectral"/>
    </font>
    <font>
      <sz val="13.0"/>
      <color rgb="FF000000"/>
      <name val="Economica"/>
    </font>
    <font>
      <b/>
      <sz val="12.0"/>
      <color rgb="FF666666"/>
      <name val="Economica"/>
    </font>
    <font>
      <b/>
      <sz val="36.0"/>
      <color rgb="FF000000"/>
      <name val="Economica"/>
    </font>
    <font>
      <b/>
      <sz val="12.0"/>
      <color rgb="FF000000"/>
      <name val="Economica"/>
    </font>
    <font>
      <sz val="12.0"/>
      <color theme="1"/>
      <name val="Open Sans"/>
    </font>
    <font>
      <sz val="12.0"/>
      <color rgb="FF000000"/>
      <name val="Open Sans"/>
    </font>
    <font>
      <sz val="12.0"/>
      <color theme="1"/>
      <name val="Economica"/>
    </font>
    <font>
      <color rgb="FF1F1F1F"/>
      <name val="&quot;Google Sans Text&quot;"/>
    </font>
    <font>
      <color theme="1"/>
      <name val="Open Sans"/>
    </font>
    <font>
      <b/>
      <sz val="14.0"/>
      <color theme="1"/>
      <name val="Economica"/>
    </font>
    <font>
      <color rgb="FF000000"/>
      <name val="Open Sans"/>
    </font>
    <font>
      <b/>
      <sz val="20.0"/>
      <color theme="1"/>
      <name val="Economica"/>
    </font>
    <font>
      <color theme="1"/>
      <name val="Arial"/>
    </font>
    <font>
      <b/>
      <sz val="12.0"/>
      <color theme="1"/>
      <name val="Economic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</fills>
  <borders count="16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ck">
        <color rgb="FF000000"/>
      </top>
    </border>
    <border>
      <left style="thin">
        <color rgb="FFFFFFFF"/>
      </left>
      <top style="thick">
        <color rgb="FF000000"/>
      </top>
    </border>
    <border>
      <top style="thick">
        <color rgb="FF000000"/>
      </top>
    </border>
    <border>
      <right style="thin">
        <color rgb="FFFFFFFF"/>
      </right>
      <top style="thick">
        <color rgb="FF00000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3F3F3"/>
      </bottom>
    </border>
    <border>
      <left style="thin">
        <color rgb="FFFFFFFF"/>
      </left>
      <right style="thin">
        <color rgb="FFFFFFFF"/>
      </right>
      <bottom style="thin">
        <color rgb="FFF3F3F3"/>
      </bottom>
    </border>
    <border>
      <bottom style="thick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top" wrapText="1"/>
    </xf>
    <xf borderId="1" fillId="2" fontId="2" numFmtId="0" xfId="0" applyAlignment="1" applyBorder="1" applyFont="1">
      <alignment horizontal="left" readingOrder="0" shrinkToFit="0" vertical="top" wrapText="1"/>
    </xf>
    <xf borderId="1" fillId="2" fontId="1" numFmtId="164" xfId="0" applyAlignment="1" applyBorder="1" applyFont="1" applyNumberFormat="1">
      <alignment readingOrder="0" shrinkToFit="0" vertical="top" wrapText="1"/>
    </xf>
    <xf borderId="2" fillId="2" fontId="3" numFmtId="0" xfId="0" applyAlignment="1" applyBorder="1" applyFont="1">
      <alignment readingOrder="0" shrinkToFit="0" vertical="top" wrapText="1"/>
    </xf>
    <xf borderId="3" fillId="0" fontId="4" numFmtId="0" xfId="0" applyBorder="1" applyFont="1"/>
    <xf borderId="2" fillId="2" fontId="5" numFmtId="0" xfId="0" applyAlignment="1" applyBorder="1" applyFont="1">
      <alignment horizontal="right" readingOrder="0" shrinkToFit="0" vertical="center" wrapText="1"/>
    </xf>
    <xf borderId="4" fillId="0" fontId="4" numFmtId="0" xfId="0" applyBorder="1" applyFont="1"/>
    <xf borderId="1" fillId="2" fontId="6" numFmtId="0" xfId="0" applyAlignment="1" applyBorder="1" applyFont="1">
      <alignment horizontal="left" readingOrder="0" shrinkToFit="0" vertical="top" wrapText="1"/>
    </xf>
    <xf borderId="5" fillId="2" fontId="1" numFmtId="0" xfId="0" applyAlignment="1" applyBorder="1" applyFont="1">
      <alignment readingOrder="0" shrinkToFit="0" vertical="top" wrapText="1"/>
    </xf>
    <xf borderId="5" fillId="2" fontId="7" numFmtId="0" xfId="0" applyAlignment="1" applyBorder="1" applyFont="1">
      <alignment readingOrder="0" shrinkToFit="0" vertical="top" wrapText="1"/>
    </xf>
    <xf borderId="6" fillId="2" fontId="8" numFmtId="0" xfId="0" applyAlignment="1" applyBorder="1" applyFont="1">
      <alignment readingOrder="0" shrinkToFit="0" vertical="top" wrapText="1"/>
    </xf>
    <xf borderId="7" fillId="0" fontId="4" numFmtId="0" xfId="0" applyBorder="1" applyFont="1"/>
    <xf borderId="6" fillId="2" fontId="7" numFmtId="0" xfId="0" applyAlignment="1" applyBorder="1" applyFont="1">
      <alignment readingOrder="0" shrinkToFit="0" vertical="top" wrapText="1"/>
    </xf>
    <xf borderId="6" fillId="2" fontId="9" numFmtId="0" xfId="0" applyAlignment="1" applyBorder="1" applyFont="1">
      <alignment horizontal="right" readingOrder="0" shrinkToFit="0" vertical="center" wrapText="1"/>
    </xf>
    <xf borderId="5" fillId="2" fontId="5" numFmtId="0" xfId="0" applyAlignment="1" applyBorder="1" applyFont="1">
      <alignment horizontal="right" readingOrder="0" shrinkToFit="0" vertical="center" wrapText="1"/>
    </xf>
    <xf borderId="5" fillId="2" fontId="6" numFmtId="0" xfId="0" applyAlignment="1" applyBorder="1" applyFont="1">
      <alignment horizontal="left" readingOrder="0" shrinkToFit="0" vertical="top" wrapText="1"/>
    </xf>
    <xf borderId="5" fillId="2" fontId="10" numFmtId="165" xfId="0" applyAlignment="1" applyBorder="1" applyFont="1" applyNumberFormat="1">
      <alignment readingOrder="0" shrinkToFit="0" vertical="top" wrapText="1"/>
    </xf>
    <xf borderId="6" fillId="2" fontId="11" numFmtId="0" xfId="0" applyAlignment="1" applyBorder="1" applyFont="1">
      <alignment horizontal="left" readingOrder="0" shrinkToFit="0" vertical="center" wrapText="1"/>
    </xf>
    <xf borderId="5" fillId="2" fontId="12" numFmtId="0" xfId="0" applyAlignment="1" applyBorder="1" applyFont="1">
      <alignment horizontal="right" readingOrder="0" shrinkToFit="0" vertical="center" wrapText="1"/>
    </xf>
    <xf borderId="5" fillId="2" fontId="5" numFmtId="166" xfId="0" applyAlignment="1" applyBorder="1" applyFont="1" applyNumberFormat="1">
      <alignment horizontal="right" readingOrder="0" shrinkToFit="0" vertical="center" wrapText="1"/>
    </xf>
    <xf borderId="5" fillId="2" fontId="13" numFmtId="0" xfId="0" applyAlignment="1" applyBorder="1" applyFont="1">
      <alignment readingOrder="0" shrinkToFit="0" vertical="top" wrapText="1"/>
    </xf>
    <xf borderId="6" fillId="2" fontId="5" numFmtId="0" xfId="0" applyAlignment="1" applyBorder="1" applyFont="1">
      <alignment horizontal="right" readingOrder="0" shrinkToFit="0" vertical="center" wrapText="1"/>
    </xf>
    <xf borderId="0" fillId="2" fontId="5" numFmtId="0" xfId="0" applyAlignment="1" applyFont="1">
      <alignment horizontal="right" readingOrder="0" shrinkToFit="0" vertical="center" wrapText="1"/>
    </xf>
    <xf borderId="7" fillId="2" fontId="5" numFmtId="0" xfId="0" applyAlignment="1" applyBorder="1" applyFont="1">
      <alignment horizontal="right" readingOrder="0" shrinkToFit="0" vertical="center" wrapText="1"/>
    </xf>
    <xf borderId="8" fillId="2" fontId="14" numFmtId="0" xfId="0" applyAlignment="1" applyBorder="1" applyFont="1">
      <alignment readingOrder="0" shrinkToFit="0" vertical="center" wrapText="1"/>
    </xf>
    <xf borderId="8" fillId="2" fontId="14" numFmtId="0" xfId="0" applyAlignment="1" applyBorder="1" applyFont="1">
      <alignment horizontal="center" readingOrder="0" shrinkToFit="0" vertical="center" wrapText="1"/>
    </xf>
    <xf borderId="9" fillId="2" fontId="14" numFmtId="0" xfId="0" applyAlignment="1" applyBorder="1" applyFont="1">
      <alignment horizontal="center" readingOrder="0" shrinkToFit="0" vertical="center" wrapText="1"/>
    </xf>
    <xf borderId="10" fillId="2" fontId="14" numFmtId="0" xfId="0" applyAlignment="1" applyBorder="1" applyFont="1">
      <alignment horizontal="center" readingOrder="0" shrinkToFit="0" vertical="center" wrapText="1"/>
    </xf>
    <xf borderId="11" fillId="2" fontId="14" numFmtId="0" xfId="0" applyAlignment="1" applyBorder="1" applyFont="1">
      <alignment horizontal="center" readingOrder="0" shrinkToFit="0" vertical="center" wrapText="1"/>
    </xf>
    <xf borderId="8" fillId="2" fontId="14" numFmtId="164" xfId="0" applyAlignment="1" applyBorder="1" applyFont="1" applyNumberFormat="1">
      <alignment horizontal="right" readingOrder="0" shrinkToFit="0" vertical="center" wrapText="1"/>
    </xf>
    <xf borderId="12" fillId="0" fontId="15" numFmtId="0" xfId="0" applyBorder="1" applyFont="1"/>
    <xf borderId="12" fillId="0" fontId="15" numFmtId="0" xfId="0" applyAlignment="1" applyBorder="1" applyFont="1">
      <alignment readingOrder="0"/>
    </xf>
    <xf borderId="12" fillId="0" fontId="15" numFmtId="0" xfId="0" applyAlignment="1" applyBorder="1" applyFont="1">
      <alignment readingOrder="0" shrinkToFit="0" wrapText="1"/>
    </xf>
    <xf borderId="12" fillId="0" fontId="15" numFmtId="0" xfId="0" applyAlignment="1" applyBorder="1" applyFont="1">
      <alignment horizontal="left" readingOrder="0"/>
    </xf>
    <xf borderId="12" fillId="0" fontId="16" numFmtId="167" xfId="0" applyAlignment="1" applyBorder="1" applyFont="1" applyNumberFormat="1">
      <alignment horizontal="right" readingOrder="0"/>
    </xf>
    <xf borderId="13" fillId="0" fontId="16" numFmtId="167" xfId="0" applyAlignment="1" applyBorder="1" applyFont="1" applyNumberFormat="1">
      <alignment horizontal="right" readingOrder="0"/>
    </xf>
    <xf borderId="12" fillId="0" fontId="16" numFmtId="164" xfId="0" applyAlignment="1" applyBorder="1" applyFont="1" applyNumberFormat="1">
      <alignment horizontal="right" readingOrder="0"/>
    </xf>
    <xf borderId="0" fillId="3" fontId="17" numFmtId="0" xfId="0" applyFill="1" applyFont="1"/>
    <xf borderId="0" fillId="3" fontId="17" numFmtId="4" xfId="0" applyFont="1" applyNumberFormat="1"/>
    <xf borderId="0" fillId="3" fontId="17" numFmtId="3" xfId="0" applyFont="1" applyNumberFormat="1"/>
    <xf borderId="0" fillId="3" fontId="17" numFmtId="167" xfId="0" applyFont="1" applyNumberFormat="1"/>
    <xf borderId="0" fillId="0" fontId="17" numFmtId="0" xfId="0" applyFont="1"/>
    <xf borderId="0" fillId="0" fontId="17" numFmtId="168" xfId="0" applyFont="1" applyNumberFormat="1"/>
    <xf borderId="0" fillId="0" fontId="17" numFmtId="0" xfId="0" applyFont="1"/>
    <xf borderId="0" fillId="0" fontId="17" numFmtId="4" xfId="0" applyAlignment="1" applyFont="1" applyNumberFormat="1">
      <alignment readingOrder="0"/>
    </xf>
    <xf borderId="0" fillId="0" fontId="17" numFmtId="4" xfId="0" applyFont="1" applyNumberFormat="1"/>
    <xf borderId="0" fillId="0" fontId="18" numFmtId="0" xfId="0" applyAlignment="1" applyFont="1">
      <alignment readingOrder="0"/>
    </xf>
    <xf borderId="0" fillId="0" fontId="17" numFmtId="3" xfId="0" applyFont="1" applyNumberFormat="1"/>
    <xf borderId="0" fillId="0" fontId="17" numFmtId="167" xfId="0" applyFont="1" applyNumberFormat="1"/>
    <xf borderId="0" fillId="0" fontId="17" numFmtId="3" xfId="0" applyAlignment="1" applyFont="1" applyNumberFormat="1">
      <alignment readingOrder="0"/>
    </xf>
    <xf borderId="0" fillId="0" fontId="18" numFmtId="4" xfId="0" applyAlignment="1" applyFont="1" applyNumberFormat="1">
      <alignment readingOrder="0"/>
    </xf>
    <xf borderId="0" fillId="0" fontId="17" numFmtId="0" xfId="0" applyAlignment="1" applyFont="1">
      <alignment readingOrder="0"/>
    </xf>
    <xf borderId="10" fillId="0" fontId="17" numFmtId="0" xfId="0" applyBorder="1" applyFont="1"/>
    <xf borderId="10" fillId="0" fontId="17" numFmtId="0" xfId="0" applyBorder="1" applyFont="1"/>
    <xf borderId="10" fillId="0" fontId="17" numFmtId="4" xfId="0" applyBorder="1" applyFont="1" applyNumberFormat="1"/>
    <xf borderId="10" fillId="0" fontId="17" numFmtId="164" xfId="0" applyBorder="1" applyFont="1" applyNumberFormat="1"/>
    <xf borderId="13" fillId="0" fontId="19" numFmtId="0" xfId="0" applyBorder="1" applyFont="1"/>
    <xf borderId="13" fillId="0" fontId="20" numFmtId="0" xfId="0" applyAlignment="1" applyBorder="1" applyFont="1">
      <alignment horizontal="center" readingOrder="0"/>
    </xf>
    <xf borderId="13" fillId="0" fontId="19" numFmtId="0" xfId="0" applyAlignment="1" applyBorder="1" applyFont="1">
      <alignment readingOrder="0" shrinkToFit="0" wrapText="1"/>
    </xf>
    <xf borderId="13" fillId="0" fontId="19" numFmtId="4" xfId="0" applyAlignment="1" applyBorder="1" applyFont="1" applyNumberFormat="1">
      <alignment horizontal="left" readingOrder="0"/>
    </xf>
    <xf borderId="13" fillId="0" fontId="21" numFmtId="4" xfId="0" applyAlignment="1" applyBorder="1" applyFont="1" applyNumberFormat="1">
      <alignment horizontal="right" readingOrder="0"/>
    </xf>
    <xf borderId="13" fillId="0" fontId="21" numFmtId="3" xfId="0" applyAlignment="1" applyBorder="1" applyFont="1" applyNumberFormat="1">
      <alignment horizontal="right" readingOrder="0"/>
    </xf>
    <xf borderId="13" fillId="0" fontId="21" numFmtId="167" xfId="0" applyAlignment="1" applyBorder="1" applyFont="1" applyNumberFormat="1">
      <alignment horizontal="right" readingOrder="0"/>
    </xf>
    <xf borderId="10" fillId="0" fontId="17" numFmtId="10" xfId="0" applyBorder="1" applyFont="1" applyNumberFormat="1"/>
    <xf borderId="13" fillId="0" fontId="19" numFmtId="0" xfId="0" applyBorder="1" applyFont="1"/>
    <xf borderId="13" fillId="0" fontId="20" numFmtId="0" xfId="0" applyAlignment="1" applyBorder="1" applyFont="1">
      <alignment horizontal="center" readingOrder="0"/>
    </xf>
    <xf borderId="13" fillId="0" fontId="19" numFmtId="0" xfId="0" applyAlignment="1" applyBorder="1" applyFont="1">
      <alignment readingOrder="0" shrinkToFit="0" wrapText="1"/>
    </xf>
    <xf borderId="13" fillId="0" fontId="19" numFmtId="4" xfId="0" applyAlignment="1" applyBorder="1" applyFont="1" applyNumberFormat="1">
      <alignment horizontal="left" readingOrder="0"/>
    </xf>
    <xf borderId="13" fillId="0" fontId="21" numFmtId="4" xfId="0" applyAlignment="1" applyBorder="1" applyFont="1" applyNumberFormat="1">
      <alignment horizontal="right" readingOrder="0"/>
    </xf>
    <xf borderId="13" fillId="0" fontId="21" numFmtId="3" xfId="0" applyAlignment="1" applyBorder="1" applyFont="1" applyNumberFormat="1">
      <alignment horizontal="right" readingOrder="0"/>
    </xf>
    <xf borderId="13" fillId="0" fontId="21" numFmtId="167" xfId="0" applyAlignment="1" applyBorder="1" applyFont="1" applyNumberFormat="1">
      <alignment horizontal="right" readingOrder="0"/>
    </xf>
    <xf borderId="0" fillId="2" fontId="17" numFmtId="0" xfId="0" applyFont="1"/>
    <xf borderId="0" fillId="2" fontId="17" numFmtId="0" xfId="0" applyFont="1"/>
    <xf borderId="0" fillId="2" fontId="17" numFmtId="4" xfId="0" applyFont="1" applyNumberFormat="1"/>
    <xf borderId="0" fillId="2" fontId="17" numFmtId="0" xfId="0" applyFont="1"/>
    <xf borderId="0" fillId="2" fontId="17" numFmtId="168" xfId="0" applyFont="1" applyNumberFormat="1"/>
    <xf borderId="0" fillId="2" fontId="17" numFmtId="4" xfId="0" applyAlignment="1" applyFont="1" applyNumberFormat="1">
      <alignment readingOrder="0"/>
    </xf>
    <xf borderId="0" fillId="2" fontId="17" numFmtId="0" xfId="0" applyAlignment="1" applyFont="1">
      <alignment readingOrder="0"/>
    </xf>
    <xf borderId="14" fillId="2" fontId="17" numFmtId="4" xfId="0" applyBorder="1" applyFont="1" applyNumberFormat="1"/>
    <xf borderId="10" fillId="2" fontId="17" numFmtId="0" xfId="0" applyBorder="1" applyFont="1"/>
    <xf borderId="10" fillId="2" fontId="17" numFmtId="0" xfId="0" applyBorder="1" applyFont="1"/>
    <xf borderId="10" fillId="2" fontId="17" numFmtId="4" xfId="0" applyBorder="1" applyFont="1" applyNumberFormat="1"/>
    <xf borderId="0" fillId="2" fontId="17" numFmtId="0" xfId="0" applyFont="1"/>
    <xf borderId="0" fillId="2" fontId="17" numFmtId="4" xfId="0" applyFont="1" applyNumberFormat="1"/>
    <xf borderId="0" fillId="2" fontId="17" numFmtId="4" xfId="0" applyAlignment="1" applyFont="1" applyNumberFormat="1">
      <alignment readingOrder="0"/>
    </xf>
    <xf borderId="0" fillId="2" fontId="17" numFmtId="0" xfId="0" applyAlignment="1" applyFont="1">
      <alignment readingOrder="0"/>
    </xf>
    <xf borderId="15" fillId="0" fontId="19" numFmtId="0" xfId="0" applyBorder="1" applyFont="1"/>
    <xf borderId="15" fillId="0" fontId="22" numFmtId="0" xfId="0" applyAlignment="1" applyBorder="1" applyFont="1">
      <alignment horizontal="right" readingOrder="0"/>
    </xf>
    <xf borderId="15" fillId="0" fontId="4" numFmtId="0" xfId="0" applyBorder="1" applyFont="1"/>
    <xf borderId="15" fillId="0" fontId="16" numFmtId="4" xfId="0" applyAlignment="1" applyBorder="1" applyFont="1" applyNumberFormat="1">
      <alignment horizontal="right" readingOrder="0"/>
    </xf>
    <xf borderId="15" fillId="0" fontId="16" numFmtId="10" xfId="0" applyAlignment="1" applyBorder="1" applyFont="1" applyNumberFormat="1">
      <alignment horizontal="right" readingOrder="0"/>
    </xf>
    <xf borderId="15" fillId="0" fontId="21" numFmtId="0" xfId="0" applyAlignment="1" applyBorder="1" applyFont="1">
      <alignment horizontal="right" readingOrder="0"/>
    </xf>
    <xf borderId="1" fillId="2" fontId="2" numFmtId="10" xfId="0" applyAlignment="1" applyBorder="1" applyFont="1" applyNumberFormat="1">
      <alignment horizontal="left" readingOrder="0" shrinkToFit="0" vertical="top" wrapText="1"/>
    </xf>
    <xf borderId="5" fillId="2" fontId="5" numFmtId="10" xfId="0" applyAlignment="1" applyBorder="1" applyFont="1" applyNumberFormat="1">
      <alignment horizontal="right" readingOrder="0" shrinkToFit="0" vertical="center" wrapText="1"/>
    </xf>
    <xf borderId="5" fillId="2" fontId="5" numFmtId="167" xfId="0" applyAlignment="1" applyBorder="1" applyFont="1" applyNumberFormat="1">
      <alignment horizontal="right" readingOrder="0" shrinkToFit="0" vertical="center" wrapText="1"/>
    </xf>
    <xf borderId="5" fillId="2" fontId="5" numFmtId="168" xfId="0" applyAlignment="1" applyBorder="1" applyFont="1" applyNumberFormat="1">
      <alignment horizontal="right" readingOrder="0" shrinkToFit="0" vertical="center" wrapText="1"/>
    </xf>
    <xf borderId="0" fillId="2" fontId="5" numFmtId="10" xfId="0" applyAlignment="1" applyFont="1" applyNumberFormat="1">
      <alignment horizontal="right" readingOrder="0" shrinkToFit="0" vertical="center" wrapText="1"/>
    </xf>
    <xf borderId="10" fillId="2" fontId="14" numFmtId="10" xfId="0" applyAlignment="1" applyBorder="1" applyFont="1" applyNumberFormat="1">
      <alignment horizontal="center" readingOrder="0" shrinkToFit="0" vertical="center" wrapText="1"/>
    </xf>
    <xf borderId="13" fillId="0" fontId="16" numFmtId="10" xfId="0" applyAlignment="1" applyBorder="1" applyFont="1" applyNumberFormat="1">
      <alignment horizontal="right" readingOrder="0"/>
    </xf>
    <xf borderId="0" fillId="3" fontId="17" numFmtId="10" xfId="0" applyFont="1" applyNumberFormat="1"/>
    <xf borderId="0" fillId="0" fontId="17" numFmtId="10" xfId="0" applyFont="1" applyNumberFormat="1"/>
    <xf borderId="0" fillId="2" fontId="23" numFmtId="3" xfId="0" applyAlignment="1" applyFont="1" applyNumberFormat="1">
      <alignment vertical="bottom"/>
    </xf>
    <xf borderId="0" fillId="4" fontId="17" numFmtId="3" xfId="0" applyAlignment="1" applyFill="1" applyFont="1" applyNumberFormat="1">
      <alignment horizontal="right" vertical="bottom"/>
    </xf>
    <xf borderId="0" fillId="0" fontId="17" numFmtId="165" xfId="0" applyAlignment="1" applyFont="1" applyNumberFormat="1">
      <alignment readingOrder="0"/>
    </xf>
    <xf borderId="10" fillId="0" fontId="24" numFmtId="4" xfId="0" applyAlignment="1" applyBorder="1" applyFont="1" applyNumberFormat="1">
      <alignment readingOrder="0"/>
    </xf>
    <xf borderId="13" fillId="0" fontId="21" numFmtId="10" xfId="0" applyAlignment="1" applyBorder="1" applyFont="1" applyNumberFormat="1">
      <alignment horizontal="right" readingOrder="0"/>
    </xf>
    <xf borderId="0" fillId="2" fontId="17" numFmtId="4" xfId="0" applyAlignment="1" applyFont="1" applyNumberFormat="1">
      <alignment horizontal="right" vertical="bottom"/>
    </xf>
    <xf borderId="0" fillId="4" fontId="17" numFmtId="4" xfId="0" applyAlignment="1" applyFont="1" applyNumberFormat="1">
      <alignment horizontal="right" vertical="bottom"/>
    </xf>
    <xf borderId="0" fillId="2" fontId="17" numFmtId="4" xfId="0" applyAlignment="1" applyFont="1" applyNumberFormat="1">
      <alignment horizontal="right" readingOrder="0" vertical="bottom"/>
    </xf>
    <xf borderId="0" fillId="2" fontId="17" numFmtId="165" xfId="0" applyAlignment="1" applyFont="1" applyNumberFormat="1">
      <alignment horizontal="right" readingOrder="0" vertical="bottom"/>
    </xf>
    <xf borderId="13" fillId="0" fontId="21" numFmtId="10" xfId="0" applyAlignment="1" applyBorder="1" applyFont="1" applyNumberFormat="1">
      <alignment horizontal="right" readingOrder="0"/>
    </xf>
    <xf borderId="10" fillId="0" fontId="24" numFmtId="4" xfId="0" applyBorder="1" applyFont="1" applyNumberFormat="1"/>
    <xf borderId="0" fillId="2" fontId="17" numFmtId="10" xfId="0" applyFont="1" applyNumberFormat="1"/>
    <xf borderId="14" fillId="2" fontId="17" numFmtId="0" xfId="0" applyBorder="1" applyFont="1"/>
    <xf borderId="10" fillId="2" fontId="17" numFmtId="10" xfId="0" applyBorder="1" applyFont="1" applyNumberFormat="1"/>
    <xf borderId="0" fillId="2" fontId="17" numFmtId="10" xfId="0" applyAlignment="1" applyFont="1" applyNumberFormat="1">
      <alignment readingOrder="0"/>
    </xf>
    <xf borderId="15" fillId="0" fontId="21" numFmtId="4" xfId="0" applyAlignment="1" applyBorder="1" applyFont="1" applyNumberFormat="1">
      <alignment horizontal="right" readingOrder="0"/>
    </xf>
    <xf borderId="15" fillId="0" fontId="21" numFmtId="10" xfId="0" applyAlignment="1" applyBorder="1" applyFont="1" applyNumberFormat="1">
      <alignment horizontal="right" readingOrder="0"/>
    </xf>
    <xf borderId="15" fillId="0" fontId="21" numFmtId="165" xfId="0" applyAlignment="1" applyBorder="1" applyFont="1" applyNumberFormat="1">
      <alignment horizontal="right" readingOrder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CC0000"/>
      </font>
      <fill>
        <patternFill patternType="none"/>
      </fill>
      <border/>
    </dxf>
    <dxf>
      <font>
        <color rgb="FF000000"/>
      </font>
      <fill>
        <patternFill patternType="none"/>
      </fill>
      <border/>
    </dxf>
    <dxf>
      <font>
        <i/>
        <color rgb="FF008000"/>
      </font>
      <fill>
        <patternFill patternType="none"/>
      </fill>
      <border/>
    </dxf>
    <dxf>
      <font>
        <color rgb="FF666666"/>
      </font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  <tableStyles count="20">
    <tableStyle count="3" pivot="0" name="Original-style">
      <tableStyleElement dxfId="1" type="headerRow"/>
      <tableStyleElement dxfId="2" type="firstRowStripe"/>
      <tableStyleElement dxfId="3" type="secondRowStripe"/>
    </tableStyle>
    <tableStyle count="3" pivot="0" name="Original-style 2">
      <tableStyleElement dxfId="1" type="headerRow"/>
      <tableStyleElement dxfId="2" type="firstRowStripe"/>
      <tableStyleElement dxfId="3" type="secondRowStripe"/>
    </tableStyle>
    <tableStyle count="3" pivot="0" name="Original-style 3">
      <tableStyleElement dxfId="1" type="headerRow"/>
      <tableStyleElement dxfId="2" type="firstRowStripe"/>
      <tableStyleElement dxfId="3" type="secondRowStripe"/>
    </tableStyle>
    <tableStyle count="3" pivot="0" name="Original-style 4">
      <tableStyleElement dxfId="1" type="headerRow"/>
      <tableStyleElement dxfId="2" type="firstRowStripe"/>
      <tableStyleElement dxfId="3" type="secondRowStripe"/>
    </tableStyle>
    <tableStyle count="3" pivot="0" name="Updated Budget-style">
      <tableStyleElement dxfId="1" type="headerRow"/>
      <tableStyleElement dxfId="2" type="firstRowStripe"/>
      <tableStyleElement dxfId="3" type="secondRowStripe"/>
    </tableStyle>
    <tableStyle count="3" pivot="0" name="Updated Budget-style 2">
      <tableStyleElement dxfId="1" type="headerRow"/>
      <tableStyleElement dxfId="2" type="firstRowStripe"/>
      <tableStyleElement dxfId="3" type="secondRowStripe"/>
    </tableStyle>
    <tableStyle count="3" pivot="0" name="Updated Budget-style 3">
      <tableStyleElement dxfId="1" type="headerRow"/>
      <tableStyleElement dxfId="2" type="firstRowStripe"/>
      <tableStyleElement dxfId="3" type="secondRowStripe"/>
    </tableStyle>
    <tableStyle count="3" pivot="0" name="Updated Budget-style 4">
      <tableStyleElement dxfId="1" type="headerRow"/>
      <tableStyleElement dxfId="2" type="firstRowStripe"/>
      <tableStyleElement dxfId="3" type="secondRowStripe"/>
    </tableStyle>
    <tableStyle count="3" pivot="0" name="CO1-style">
      <tableStyleElement dxfId="1" type="headerRow"/>
      <tableStyleElement dxfId="2" type="firstRowStripe"/>
      <tableStyleElement dxfId="3" type="secondRowStripe"/>
    </tableStyle>
    <tableStyle count="3" pivot="0" name="CO1-style 2">
      <tableStyleElement dxfId="1" type="headerRow"/>
      <tableStyleElement dxfId="2" type="firstRowStripe"/>
      <tableStyleElement dxfId="3" type="secondRowStripe"/>
    </tableStyle>
    <tableStyle count="3" pivot="0" name="CO1-style 3">
      <tableStyleElement dxfId="1" type="headerRow"/>
      <tableStyleElement dxfId="2" type="firstRowStripe"/>
      <tableStyleElement dxfId="3" type="secondRowStripe"/>
    </tableStyle>
    <tableStyle count="3" pivot="0" name="CO1-style 4">
      <tableStyleElement dxfId="1" type="headerRow"/>
      <tableStyleElement dxfId="2" type="firstRowStripe"/>
      <tableStyleElement dxfId="3" type="secondRowStripe"/>
    </tableStyle>
    <tableStyle count="3" pivot="0" name="CO2-style">
      <tableStyleElement dxfId="1" type="headerRow"/>
      <tableStyleElement dxfId="2" type="firstRowStripe"/>
      <tableStyleElement dxfId="3" type="secondRowStripe"/>
    </tableStyle>
    <tableStyle count="3" pivot="0" name="CO2-style 2">
      <tableStyleElement dxfId="1" type="headerRow"/>
      <tableStyleElement dxfId="2" type="firstRowStripe"/>
      <tableStyleElement dxfId="3" type="secondRowStripe"/>
    </tableStyle>
    <tableStyle count="3" pivot="0" name="CO2-style 3">
      <tableStyleElement dxfId="1" type="headerRow"/>
      <tableStyleElement dxfId="2" type="firstRowStripe"/>
      <tableStyleElement dxfId="3" type="secondRowStripe"/>
    </tableStyle>
    <tableStyle count="3" pivot="0" name="CO2-style 4">
      <tableStyleElement dxfId="1" type="headerRow"/>
      <tableStyleElement dxfId="2" type="firstRowStripe"/>
      <tableStyleElement dxfId="3" type="secondRowStripe"/>
    </tableStyle>
    <tableStyle count="3" pivot="0" name="CO3-style">
      <tableStyleElement dxfId="1" type="headerRow"/>
      <tableStyleElement dxfId="2" type="firstRowStripe"/>
      <tableStyleElement dxfId="3" type="secondRowStripe"/>
    </tableStyle>
    <tableStyle count="3" pivot="0" name="CO3-style 2">
      <tableStyleElement dxfId="1" type="headerRow"/>
      <tableStyleElement dxfId="2" type="firstRowStripe"/>
      <tableStyleElement dxfId="3" type="secondRowStripe"/>
    </tableStyle>
    <tableStyle count="3" pivot="0" name="CO3-style 3">
      <tableStyleElement dxfId="1" type="headerRow"/>
      <tableStyleElement dxfId="2" type="firstRowStripe"/>
      <tableStyleElement dxfId="3" type="secondRowStripe"/>
    </tableStyle>
    <tableStyle count="3" pivot="0" name="CO3-style 4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1162050" cy="371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1162050" cy="371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1162050" cy="371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1162050" cy="371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1162050" cy="371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6:L32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Origina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34:L46" displayName="Table_2" name="Table_2" id="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Original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48:L53" displayName="Table_3" name="Table_3" id="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Original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55:L64" displayName="Table_4" name="Table_4" id="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Original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6:L39" displayName="Table_5" name="Table_5" id="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Updated Budge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41:L59" displayName="Table_6" name="Table_6" id="6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Updated Budget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61:L66" displayName="Table_7" name="Table_7" id="7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Updated Budget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68:L78" displayName="Table_8" name="Table_8" id="8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Updated Budget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A6:L32" displayName="Table_9" name="Table_9" id="9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A34:L46" displayName="Table_10" name="Table_10" id="10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A48:L53" displayName="Table_11" name="Table_11" id="1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1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A55:L64" displayName="Table_12" name="Table_12" id="1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1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A6:L32" displayName="Table_13" name="Table_13" id="1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headerRowCount="0" ref="A34:L46" displayName="Table_14" name="Table_14" id="1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2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headerRowCount="0" ref="A48:L53" displayName="Table_15" name="Table_15" id="1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2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headerRowCount="0" ref="A55:L64" displayName="Table_16" name="Table_16" id="16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2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headerRowCount="0" ref="A6:L32" displayName="Table_17" name="Table_17" id="17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.xml><?xml version="1.0" encoding="utf-8"?>
<table xmlns="http://schemas.openxmlformats.org/spreadsheetml/2006/main" headerRowCount="0" ref="A34:L46" displayName="Table_18" name="Table_18" id="18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3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.xml><?xml version="1.0" encoding="utf-8"?>
<table xmlns="http://schemas.openxmlformats.org/spreadsheetml/2006/main" headerRowCount="0" ref="A48:L53" displayName="Table_19" name="Table_19" id="19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3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.xml><?xml version="1.0" encoding="utf-8"?>
<table xmlns="http://schemas.openxmlformats.org/spreadsheetml/2006/main" headerRowCount="0" ref="A55:L64" displayName="Table_20" name="Table_20" id="20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3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8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9" Type="http://schemas.openxmlformats.org/officeDocument/2006/relationships/table" Target="../tables/table12.xml"/><Relationship Id="rId6" Type="http://schemas.openxmlformats.org/officeDocument/2006/relationships/table" Target="../tables/table9.xml"/><Relationship Id="rId7" Type="http://schemas.openxmlformats.org/officeDocument/2006/relationships/table" Target="../tables/table10.xml"/><Relationship Id="rId8" Type="http://schemas.openxmlformats.org/officeDocument/2006/relationships/table" Target="../tables/table1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16.xml"/><Relationship Id="rId6" Type="http://schemas.openxmlformats.org/officeDocument/2006/relationships/table" Target="../tables/table13.xml"/><Relationship Id="rId7" Type="http://schemas.openxmlformats.org/officeDocument/2006/relationships/table" Target="../tables/table14.xml"/><Relationship Id="rId8" Type="http://schemas.openxmlformats.org/officeDocument/2006/relationships/table" Target="../tables/table1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9" Type="http://schemas.openxmlformats.org/officeDocument/2006/relationships/table" Target="../tables/table20.xml"/><Relationship Id="rId6" Type="http://schemas.openxmlformats.org/officeDocument/2006/relationships/table" Target="../tables/table17.xml"/><Relationship Id="rId7" Type="http://schemas.openxmlformats.org/officeDocument/2006/relationships/table" Target="../tables/table18.xml"/><Relationship Id="rId8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19.0"/>
    <col customWidth="1" min="3" max="3" width="36.38"/>
    <col customWidth="1" min="4" max="4" width="15.25"/>
    <col customWidth="1" min="5" max="5" width="13.25"/>
    <col customWidth="1" min="6" max="6" width="13.13"/>
    <col customWidth="1" min="7" max="7" width="7.38"/>
    <col customWidth="1" min="8" max="9" width="14.13"/>
    <col customWidth="1" min="10" max="10" width="9.25"/>
    <col customWidth="1" min="11" max="11" width="12.75"/>
    <col customWidth="1" min="12" max="12" width="2.5"/>
  </cols>
  <sheetData>
    <row r="1" ht="12.0" customHeight="1">
      <c r="A1" s="1"/>
      <c r="B1" s="1"/>
      <c r="C1" s="1"/>
      <c r="D1" s="2"/>
      <c r="E1" s="2"/>
      <c r="F1" s="2"/>
      <c r="G1" s="2"/>
      <c r="H1" s="2"/>
      <c r="I1" s="2"/>
      <c r="J1" s="3"/>
      <c r="K1" s="3"/>
      <c r="L1" s="2"/>
    </row>
    <row r="2" ht="44.25" customHeight="1">
      <c r="A2" s="1"/>
      <c r="B2" s="4" t="s">
        <v>0</v>
      </c>
      <c r="C2" s="5"/>
      <c r="D2" s="6"/>
      <c r="E2" s="7"/>
      <c r="F2" s="7"/>
      <c r="G2" s="7"/>
      <c r="H2" s="7"/>
      <c r="I2" s="7"/>
      <c r="J2" s="7"/>
      <c r="K2" s="5"/>
      <c r="L2" s="8"/>
    </row>
    <row r="3" ht="36.75" customHeight="1">
      <c r="A3" s="9"/>
      <c r="B3" s="10" t="s">
        <v>1</v>
      </c>
      <c r="C3" s="11" t="s">
        <v>2</v>
      </c>
      <c r="D3" s="12"/>
      <c r="E3" s="13" t="s">
        <v>3</v>
      </c>
      <c r="F3" s="14">
        <v>163.0</v>
      </c>
      <c r="G3" s="15"/>
      <c r="H3" s="15"/>
      <c r="I3" s="15"/>
      <c r="J3" s="15"/>
      <c r="K3" s="15"/>
      <c r="L3" s="16"/>
    </row>
    <row r="4" ht="36.75" customHeight="1">
      <c r="A4" s="9"/>
      <c r="B4" s="10" t="s">
        <v>4</v>
      </c>
      <c r="C4" s="17">
        <v>981200.0</v>
      </c>
      <c r="D4" s="13"/>
      <c r="E4" s="18" t="s">
        <v>5</v>
      </c>
      <c r="F4" s="19">
        <v>0.0</v>
      </c>
      <c r="G4" s="15"/>
      <c r="H4" s="15"/>
      <c r="I4" s="15" t="s">
        <v>6</v>
      </c>
      <c r="J4" s="20">
        <v>45927.0</v>
      </c>
      <c r="K4" s="15"/>
      <c r="L4" s="16"/>
    </row>
    <row r="5" ht="13.5" customHeight="1">
      <c r="A5" s="9"/>
      <c r="B5" s="21"/>
      <c r="C5" s="21"/>
      <c r="D5" s="15"/>
      <c r="E5" s="22"/>
      <c r="F5" s="23"/>
      <c r="G5" s="23"/>
      <c r="H5" s="23"/>
      <c r="I5" s="24"/>
      <c r="J5" s="15"/>
      <c r="K5" s="15"/>
      <c r="L5" s="16"/>
    </row>
    <row r="6" ht="29.25" customHeight="1">
      <c r="A6" s="25"/>
      <c r="B6" s="25" t="s">
        <v>7</v>
      </c>
      <c r="C6" s="25" t="s">
        <v>8</v>
      </c>
      <c r="D6" s="26" t="s">
        <v>9</v>
      </c>
      <c r="E6" s="27" t="s">
        <v>10</v>
      </c>
      <c r="F6" s="28" t="s">
        <v>11</v>
      </c>
      <c r="G6" s="28" t="s">
        <v>12</v>
      </c>
      <c r="H6" s="28" t="s">
        <v>13</v>
      </c>
      <c r="I6" s="29" t="s">
        <v>14</v>
      </c>
      <c r="J6" s="30" t="s">
        <v>15</v>
      </c>
      <c r="K6" s="30" t="s">
        <v>16</v>
      </c>
      <c r="L6" s="25"/>
    </row>
    <row r="7" ht="1.5" customHeight="1">
      <c r="A7" s="31"/>
      <c r="B7" s="32"/>
      <c r="C7" s="33"/>
      <c r="D7" s="34"/>
      <c r="E7" s="35"/>
      <c r="F7" s="36"/>
      <c r="G7" s="36"/>
      <c r="H7" s="36"/>
      <c r="I7" s="35"/>
      <c r="J7" s="37"/>
      <c r="K7" s="37"/>
      <c r="L7" s="35"/>
    </row>
    <row r="8" ht="22.5" customHeight="1">
      <c r="A8" s="38">
        <v>1.0</v>
      </c>
      <c r="B8" s="38" t="s">
        <v>17</v>
      </c>
      <c r="C8" s="38"/>
      <c r="D8" s="39"/>
      <c r="E8" s="39"/>
      <c r="F8" s="39"/>
      <c r="G8" s="39"/>
      <c r="H8" s="39"/>
      <c r="I8" s="39"/>
      <c r="J8" s="40"/>
      <c r="K8" s="40"/>
      <c r="L8" s="41"/>
    </row>
    <row r="9">
      <c r="A9" s="42"/>
      <c r="B9" s="43"/>
      <c r="C9" s="44" t="s">
        <v>18</v>
      </c>
      <c r="D9" s="45">
        <v>11500.0</v>
      </c>
      <c r="E9" s="46"/>
      <c r="F9" s="46">
        <f t="shared" ref="F9:F31" si="1">E9-D9</f>
        <v>-11500</v>
      </c>
      <c r="G9" s="46"/>
      <c r="H9" s="46"/>
      <c r="I9" s="46">
        <f t="shared" ref="I9:I22" si="2">D9/75</f>
        <v>153.3333333</v>
      </c>
      <c r="J9" s="47">
        <v>253.67</v>
      </c>
      <c r="K9" s="48"/>
      <c r="L9" s="49"/>
    </row>
    <row r="10">
      <c r="A10" s="42"/>
      <c r="B10" s="43"/>
      <c r="C10" s="44" t="s">
        <v>19</v>
      </c>
      <c r="D10" s="45">
        <v>10485.0</v>
      </c>
      <c r="E10" s="46"/>
      <c r="F10" s="46">
        <f t="shared" si="1"/>
        <v>-10485</v>
      </c>
      <c r="G10" s="46"/>
      <c r="H10" s="46"/>
      <c r="I10" s="46">
        <f t="shared" si="2"/>
        <v>139.8</v>
      </c>
      <c r="J10" s="47">
        <v>195.5</v>
      </c>
      <c r="K10" s="48"/>
      <c r="L10" s="49"/>
    </row>
    <row r="11">
      <c r="A11" s="42"/>
      <c r="B11" s="43"/>
      <c r="C11" s="44" t="s">
        <v>20</v>
      </c>
      <c r="D11" s="45">
        <v>3400.0</v>
      </c>
      <c r="E11" s="46"/>
      <c r="F11" s="46">
        <f t="shared" si="1"/>
        <v>-3400</v>
      </c>
      <c r="G11" s="46"/>
      <c r="H11" s="46"/>
      <c r="I11" s="46">
        <f t="shared" si="2"/>
        <v>45.33333333</v>
      </c>
      <c r="J11" s="47">
        <v>60.0</v>
      </c>
      <c r="K11" s="48"/>
      <c r="L11" s="49"/>
    </row>
    <row r="12">
      <c r="A12" s="42"/>
      <c r="B12" s="42"/>
      <c r="C12" s="44" t="s">
        <v>21</v>
      </c>
      <c r="D12" s="46">
        <v>0.0</v>
      </c>
      <c r="E12" s="46"/>
      <c r="F12" s="46">
        <f t="shared" si="1"/>
        <v>0</v>
      </c>
      <c r="G12" s="46"/>
      <c r="H12" s="46"/>
      <c r="I12" s="46">
        <f t="shared" si="2"/>
        <v>0</v>
      </c>
      <c r="J12" s="50"/>
      <c r="K12" s="48"/>
      <c r="L12" s="49"/>
    </row>
    <row r="13">
      <c r="A13" s="42"/>
      <c r="B13" s="42"/>
      <c r="C13" s="44" t="s">
        <v>22</v>
      </c>
      <c r="D13" s="46">
        <v>0.0</v>
      </c>
      <c r="E13" s="46"/>
      <c r="F13" s="46">
        <f t="shared" si="1"/>
        <v>0</v>
      </c>
      <c r="G13" s="46"/>
      <c r="H13" s="46"/>
      <c r="I13" s="46">
        <f t="shared" si="2"/>
        <v>0</v>
      </c>
      <c r="J13" s="50"/>
      <c r="K13" s="48"/>
      <c r="L13" s="49"/>
    </row>
    <row r="14">
      <c r="A14" s="42"/>
      <c r="B14" s="42"/>
      <c r="C14" s="44" t="s">
        <v>23</v>
      </c>
      <c r="D14" s="45">
        <v>3800.0</v>
      </c>
      <c r="E14" s="46"/>
      <c r="F14" s="46">
        <f t="shared" si="1"/>
        <v>-3800</v>
      </c>
      <c r="G14" s="46"/>
      <c r="H14" s="46"/>
      <c r="I14" s="46">
        <f t="shared" si="2"/>
        <v>50.66666667</v>
      </c>
      <c r="J14" s="47">
        <v>74.5</v>
      </c>
      <c r="K14" s="48"/>
      <c r="L14" s="49"/>
    </row>
    <row r="15">
      <c r="A15" s="42"/>
      <c r="B15" s="42"/>
      <c r="C15" s="44" t="s">
        <v>24</v>
      </c>
      <c r="D15" s="45">
        <v>11100.0</v>
      </c>
      <c r="E15" s="46"/>
      <c r="F15" s="46">
        <f t="shared" si="1"/>
        <v>-11100</v>
      </c>
      <c r="G15" s="46"/>
      <c r="H15" s="46"/>
      <c r="I15" s="46">
        <f t="shared" si="2"/>
        <v>148</v>
      </c>
      <c r="J15" s="50"/>
      <c r="K15" s="48"/>
      <c r="L15" s="49"/>
    </row>
    <row r="16">
      <c r="A16" s="42"/>
      <c r="B16" s="42"/>
      <c r="C16" s="44" t="s">
        <v>25</v>
      </c>
      <c r="D16" s="45">
        <v>0.0</v>
      </c>
      <c r="E16" s="46"/>
      <c r="F16" s="46">
        <f t="shared" si="1"/>
        <v>0</v>
      </c>
      <c r="G16" s="46"/>
      <c r="H16" s="46"/>
      <c r="I16" s="46">
        <f t="shared" si="2"/>
        <v>0</v>
      </c>
      <c r="J16" s="50"/>
      <c r="K16" s="48"/>
      <c r="L16" s="49"/>
    </row>
    <row r="17">
      <c r="A17" s="42"/>
      <c r="B17" s="42"/>
      <c r="C17" s="44" t="s">
        <v>26</v>
      </c>
      <c r="D17" s="45">
        <v>0.0</v>
      </c>
      <c r="E17" s="46"/>
      <c r="F17" s="46">
        <f t="shared" si="1"/>
        <v>0</v>
      </c>
      <c r="G17" s="46"/>
      <c r="H17" s="46"/>
      <c r="I17" s="46">
        <f t="shared" si="2"/>
        <v>0</v>
      </c>
      <c r="J17" s="50"/>
      <c r="K17" s="48"/>
      <c r="L17" s="49"/>
    </row>
    <row r="18">
      <c r="A18" s="42"/>
      <c r="B18" s="42"/>
      <c r="C18" s="44" t="s">
        <v>27</v>
      </c>
      <c r="D18" s="46">
        <v>0.0</v>
      </c>
      <c r="E18" s="46"/>
      <c r="F18" s="46">
        <f t="shared" si="1"/>
        <v>0</v>
      </c>
      <c r="G18" s="46"/>
      <c r="H18" s="46"/>
      <c r="I18" s="46">
        <f t="shared" si="2"/>
        <v>0</v>
      </c>
      <c r="J18" s="47">
        <v>294.0</v>
      </c>
      <c r="K18" s="48"/>
      <c r="L18" s="49"/>
    </row>
    <row r="19">
      <c r="A19" s="42"/>
      <c r="B19" s="42"/>
      <c r="C19" s="44" t="s">
        <v>28</v>
      </c>
      <c r="D19" s="46">
        <v>0.0</v>
      </c>
      <c r="E19" s="46"/>
      <c r="F19" s="46">
        <f t="shared" si="1"/>
        <v>0</v>
      </c>
      <c r="G19" s="46"/>
      <c r="H19" s="46"/>
      <c r="I19" s="46">
        <f t="shared" si="2"/>
        <v>0</v>
      </c>
      <c r="J19" s="48"/>
      <c r="K19" s="48"/>
      <c r="L19" s="49"/>
    </row>
    <row r="20">
      <c r="A20" s="42"/>
      <c r="B20" s="42"/>
      <c r="C20" s="44" t="s">
        <v>29</v>
      </c>
      <c r="D20" s="45">
        <v>94495.0</v>
      </c>
      <c r="E20" s="46"/>
      <c r="F20" s="46">
        <f t="shared" si="1"/>
        <v>-94495</v>
      </c>
      <c r="G20" s="46"/>
      <c r="H20" s="46"/>
      <c r="I20" s="46">
        <f t="shared" si="2"/>
        <v>1259.933333</v>
      </c>
      <c r="J20" s="47">
        <v>592.67</v>
      </c>
      <c r="K20" s="48"/>
      <c r="L20" s="49"/>
    </row>
    <row r="21">
      <c r="A21" s="42"/>
      <c r="B21" s="42"/>
      <c r="C21" s="44" t="s">
        <v>30</v>
      </c>
      <c r="D21" s="45">
        <v>9195.0</v>
      </c>
      <c r="E21" s="46"/>
      <c r="F21" s="46">
        <f t="shared" si="1"/>
        <v>-9195</v>
      </c>
      <c r="G21" s="46"/>
      <c r="H21" s="46"/>
      <c r="I21" s="46">
        <f t="shared" si="2"/>
        <v>122.6</v>
      </c>
      <c r="J21" s="47">
        <v>16.0</v>
      </c>
      <c r="K21" s="48"/>
      <c r="L21" s="49"/>
    </row>
    <row r="22">
      <c r="A22" s="42"/>
      <c r="B22" s="42"/>
      <c r="C22" s="44" t="s">
        <v>31</v>
      </c>
      <c r="D22" s="45">
        <f>8221.65+97217.35+4275</f>
        <v>109714</v>
      </c>
      <c r="E22" s="46"/>
      <c r="F22" s="46">
        <f t="shared" si="1"/>
        <v>-109714</v>
      </c>
      <c r="G22" s="46"/>
      <c r="H22" s="46"/>
      <c r="I22" s="46">
        <f t="shared" si="2"/>
        <v>1462.853333</v>
      </c>
      <c r="J22" s="51">
        <v>1387.42</v>
      </c>
      <c r="K22" s="48"/>
      <c r="L22" s="49"/>
    </row>
    <row r="23">
      <c r="A23" s="42"/>
      <c r="B23" s="42"/>
      <c r="C23" s="44" t="s">
        <v>32</v>
      </c>
      <c r="D23" s="46">
        <v>0.0</v>
      </c>
      <c r="E23" s="46"/>
      <c r="F23" s="46">
        <f t="shared" si="1"/>
        <v>0</v>
      </c>
      <c r="G23" s="46"/>
      <c r="H23" s="46"/>
      <c r="I23" s="46">
        <f>D23/65</f>
        <v>0</v>
      </c>
      <c r="J23" s="48"/>
      <c r="K23" s="48"/>
      <c r="L23" s="49"/>
    </row>
    <row r="24">
      <c r="A24" s="42"/>
      <c r="B24" s="42"/>
      <c r="C24" s="52" t="s">
        <v>33</v>
      </c>
      <c r="D24" s="46">
        <v>0.0</v>
      </c>
      <c r="E24" s="46"/>
      <c r="F24" s="46">
        <f t="shared" si="1"/>
        <v>0</v>
      </c>
      <c r="G24" s="46"/>
      <c r="H24" s="46"/>
      <c r="I24" s="46">
        <f t="shared" ref="I24:I28" si="3">D24/75</f>
        <v>0</v>
      </c>
      <c r="J24" s="47">
        <v>51.0</v>
      </c>
      <c r="K24" s="48"/>
      <c r="L24" s="49"/>
    </row>
    <row r="25">
      <c r="A25" s="42"/>
      <c r="B25" s="42"/>
      <c r="C25" s="44" t="s">
        <v>34</v>
      </c>
      <c r="D25" s="46">
        <v>0.0</v>
      </c>
      <c r="E25" s="46"/>
      <c r="F25" s="46">
        <f t="shared" si="1"/>
        <v>0</v>
      </c>
      <c r="G25" s="46"/>
      <c r="H25" s="46"/>
      <c r="I25" s="46">
        <f t="shared" si="3"/>
        <v>0</v>
      </c>
      <c r="J25" s="48"/>
      <c r="K25" s="48"/>
      <c r="L25" s="49"/>
    </row>
    <row r="26">
      <c r="A26" s="42"/>
      <c r="B26" s="42"/>
      <c r="C26" s="44" t="s">
        <v>35</v>
      </c>
      <c r="D26" s="45">
        <v>0.0</v>
      </c>
      <c r="E26" s="46"/>
      <c r="F26" s="46">
        <f t="shared" si="1"/>
        <v>0</v>
      </c>
      <c r="G26" s="46"/>
      <c r="H26" s="46"/>
      <c r="I26" s="46">
        <f t="shared" si="3"/>
        <v>0</v>
      </c>
      <c r="J26" s="47">
        <v>97.0</v>
      </c>
      <c r="K26" s="48"/>
      <c r="L26" s="49"/>
    </row>
    <row r="27">
      <c r="A27" s="42"/>
      <c r="B27" s="42"/>
      <c r="C27" s="44" t="s">
        <v>36</v>
      </c>
      <c r="D27" s="46">
        <v>0.0</v>
      </c>
      <c r="E27" s="46"/>
      <c r="F27" s="46">
        <f t="shared" si="1"/>
        <v>0</v>
      </c>
      <c r="G27" s="46"/>
      <c r="H27" s="46"/>
      <c r="I27" s="46">
        <f t="shared" si="3"/>
        <v>0</v>
      </c>
      <c r="J27" s="47">
        <v>14.0</v>
      </c>
      <c r="K27" s="48"/>
      <c r="L27" s="42"/>
    </row>
    <row r="28">
      <c r="A28" s="42"/>
      <c r="B28" s="42"/>
      <c r="C28" s="44" t="s">
        <v>37</v>
      </c>
      <c r="D28" s="46">
        <v>0.0</v>
      </c>
      <c r="E28" s="46"/>
      <c r="F28" s="46">
        <f t="shared" si="1"/>
        <v>0</v>
      </c>
      <c r="G28" s="46"/>
      <c r="H28" s="46"/>
      <c r="I28" s="46">
        <f t="shared" si="3"/>
        <v>0</v>
      </c>
      <c r="J28" s="48"/>
      <c r="K28" s="48"/>
      <c r="L28" s="42"/>
    </row>
    <row r="29">
      <c r="A29" s="42"/>
      <c r="B29" s="42"/>
      <c r="C29" s="44" t="s">
        <v>38</v>
      </c>
      <c r="D29" s="46">
        <v>0.0</v>
      </c>
      <c r="E29" s="46"/>
      <c r="F29" s="46">
        <f t="shared" si="1"/>
        <v>0</v>
      </c>
      <c r="G29" s="46"/>
      <c r="H29" s="46"/>
      <c r="I29" s="46"/>
      <c r="J29" s="48"/>
      <c r="K29" s="48"/>
      <c r="L29" s="42"/>
    </row>
    <row r="30">
      <c r="A30" s="42"/>
      <c r="B30" s="42"/>
      <c r="C30" s="44" t="s">
        <v>39</v>
      </c>
      <c r="D30" s="46">
        <v>0.0</v>
      </c>
      <c r="E30" s="46"/>
      <c r="F30" s="46">
        <f t="shared" si="1"/>
        <v>0</v>
      </c>
      <c r="G30" s="46"/>
      <c r="H30" s="46"/>
      <c r="I30" s="46">
        <f t="shared" ref="I30:I31" si="4">D30/75</f>
        <v>0</v>
      </c>
      <c r="J30" s="47">
        <v>62.5</v>
      </c>
      <c r="K30" s="48"/>
      <c r="L30" s="42"/>
    </row>
    <row r="31">
      <c r="A31" s="42"/>
      <c r="B31" s="42"/>
      <c r="C31" s="44" t="s">
        <v>39</v>
      </c>
      <c r="D31" s="46">
        <v>0.0</v>
      </c>
      <c r="E31" s="46"/>
      <c r="F31" s="46">
        <f t="shared" si="1"/>
        <v>0</v>
      </c>
      <c r="G31" s="46"/>
      <c r="H31" s="46"/>
      <c r="I31" s="46">
        <f t="shared" si="4"/>
        <v>0</v>
      </c>
      <c r="J31" s="48"/>
      <c r="K31" s="48"/>
      <c r="L31" s="42"/>
    </row>
    <row r="32">
      <c r="A32" s="53"/>
      <c r="B32" s="53"/>
      <c r="C32" s="54" t="s">
        <v>40</v>
      </c>
      <c r="D32" s="55">
        <f t="shared" ref="D32:F32" si="5">SUM(D9:D31)</f>
        <v>253689</v>
      </c>
      <c r="E32" s="55">
        <f t="shared" si="5"/>
        <v>0</v>
      </c>
      <c r="F32" s="55">
        <f t="shared" si="5"/>
        <v>-253689</v>
      </c>
      <c r="G32" s="55"/>
      <c r="H32" s="55"/>
      <c r="I32" s="55">
        <f t="shared" ref="I32:J32" si="6">SUM(I9:I31)</f>
        <v>3382.52</v>
      </c>
      <c r="J32" s="55">
        <f t="shared" si="6"/>
        <v>3098.26</v>
      </c>
      <c r="K32" s="56"/>
      <c r="L32" s="53"/>
    </row>
    <row r="33" ht="20.25" customHeight="1">
      <c r="A33" s="57"/>
      <c r="B33" s="58"/>
      <c r="C33" s="59"/>
      <c r="D33" s="60"/>
      <c r="E33" s="61"/>
      <c r="F33" s="61"/>
      <c r="G33" s="61"/>
      <c r="H33" s="61"/>
      <c r="I33" s="61"/>
      <c r="J33" s="62"/>
      <c r="K33" s="62"/>
      <c r="L33" s="63"/>
    </row>
    <row r="34" ht="27.0" customHeight="1">
      <c r="A34" s="44">
        <v>2.0</v>
      </c>
      <c r="B34" s="44" t="s">
        <v>41</v>
      </c>
      <c r="C34" s="44"/>
      <c r="D34" s="46"/>
      <c r="E34" s="46"/>
      <c r="F34" s="46"/>
      <c r="G34" s="46"/>
      <c r="H34" s="46"/>
      <c r="I34" s="46"/>
      <c r="J34" s="48"/>
      <c r="K34" s="48"/>
      <c r="L34" s="49"/>
    </row>
    <row r="35">
      <c r="A35" s="42"/>
      <c r="B35" s="43"/>
      <c r="C35" s="44" t="s">
        <v>18</v>
      </c>
      <c r="D35" s="46"/>
      <c r="E35" s="46"/>
      <c r="F35" s="46"/>
      <c r="G35" s="46"/>
      <c r="H35" s="46"/>
      <c r="I35" s="46"/>
      <c r="J35" s="48"/>
      <c r="K35" s="48"/>
      <c r="L35" s="49"/>
    </row>
    <row r="36">
      <c r="A36" s="42"/>
      <c r="B36" s="43"/>
      <c r="C36" s="44" t="s">
        <v>21</v>
      </c>
      <c r="D36" s="46"/>
      <c r="E36" s="46"/>
      <c r="F36" s="46">
        <f t="shared" ref="F36:F45" si="7">E36-D36</f>
        <v>0</v>
      </c>
      <c r="G36" s="46"/>
      <c r="H36" s="46"/>
      <c r="I36" s="46"/>
      <c r="J36" s="48"/>
      <c r="K36" s="48"/>
      <c r="L36" s="49"/>
    </row>
    <row r="37">
      <c r="A37" s="42"/>
      <c r="B37" s="43"/>
      <c r="C37" s="44" t="s">
        <v>42</v>
      </c>
      <c r="D37" s="46"/>
      <c r="E37" s="46"/>
      <c r="F37" s="46">
        <f t="shared" si="7"/>
        <v>0</v>
      </c>
      <c r="G37" s="46"/>
      <c r="H37" s="46"/>
      <c r="I37" s="46"/>
      <c r="J37" s="48"/>
      <c r="K37" s="48"/>
      <c r="L37" s="49"/>
    </row>
    <row r="38">
      <c r="A38" s="42"/>
      <c r="B38" s="43"/>
      <c r="C38" s="44" t="s">
        <v>43</v>
      </c>
      <c r="D38" s="46"/>
      <c r="E38" s="46"/>
      <c r="F38" s="46">
        <f t="shared" si="7"/>
        <v>0</v>
      </c>
      <c r="G38" s="46"/>
      <c r="H38" s="46"/>
      <c r="I38" s="46"/>
      <c r="J38" s="48"/>
      <c r="K38" s="48"/>
      <c r="L38" s="49"/>
    </row>
    <row r="39">
      <c r="A39" s="42"/>
      <c r="B39" s="43"/>
      <c r="C39" s="44" t="s">
        <v>26</v>
      </c>
      <c r="D39" s="46"/>
      <c r="E39" s="46"/>
      <c r="F39" s="46">
        <f t="shared" si="7"/>
        <v>0</v>
      </c>
      <c r="G39" s="46"/>
      <c r="H39" s="46"/>
      <c r="I39" s="46"/>
      <c r="J39" s="48"/>
      <c r="K39" s="48"/>
      <c r="L39" s="49"/>
    </row>
    <row r="40">
      <c r="A40" s="42"/>
      <c r="B40" s="43"/>
      <c r="C40" s="44" t="s">
        <v>31</v>
      </c>
      <c r="D40" s="45">
        <v>149356.0</v>
      </c>
      <c r="E40" s="46"/>
      <c r="F40" s="46">
        <f t="shared" si="7"/>
        <v>-149356</v>
      </c>
      <c r="G40" s="46"/>
      <c r="H40" s="46"/>
      <c r="I40" s="46"/>
      <c r="J40" s="48"/>
      <c r="K40" s="48"/>
      <c r="L40" s="49"/>
    </row>
    <row r="41">
      <c r="A41" s="42"/>
      <c r="B41" s="42"/>
      <c r="C41" s="44" t="s">
        <v>44</v>
      </c>
      <c r="D41" s="46"/>
      <c r="E41" s="46"/>
      <c r="F41" s="46">
        <f t="shared" si="7"/>
        <v>0</v>
      </c>
      <c r="G41" s="46"/>
      <c r="H41" s="46"/>
      <c r="I41" s="46"/>
      <c r="J41" s="48"/>
      <c r="K41" s="48"/>
      <c r="L41" s="49"/>
    </row>
    <row r="42">
      <c r="A42" s="42"/>
      <c r="B42" s="42"/>
      <c r="C42" s="44" t="s">
        <v>35</v>
      </c>
      <c r="D42" s="46"/>
      <c r="E42" s="46"/>
      <c r="F42" s="46">
        <f t="shared" si="7"/>
        <v>0</v>
      </c>
      <c r="G42" s="46"/>
      <c r="H42" s="46"/>
      <c r="I42" s="46"/>
      <c r="J42" s="48"/>
      <c r="K42" s="48"/>
      <c r="L42" s="49"/>
    </row>
    <row r="43">
      <c r="A43" s="42"/>
      <c r="B43" s="42"/>
      <c r="C43" s="44" t="s">
        <v>36</v>
      </c>
      <c r="D43" s="46"/>
      <c r="E43" s="46"/>
      <c r="F43" s="46">
        <f t="shared" si="7"/>
        <v>0</v>
      </c>
      <c r="G43" s="46"/>
      <c r="H43" s="46"/>
      <c r="I43" s="46"/>
      <c r="J43" s="48"/>
      <c r="K43" s="48"/>
      <c r="L43" s="49"/>
    </row>
    <row r="44">
      <c r="A44" s="42"/>
      <c r="B44" s="42"/>
      <c r="C44" s="44" t="s">
        <v>45</v>
      </c>
      <c r="D44" s="46"/>
      <c r="E44" s="46"/>
      <c r="F44" s="46">
        <f t="shared" si="7"/>
        <v>0</v>
      </c>
      <c r="G44" s="46"/>
      <c r="H44" s="46"/>
      <c r="I44" s="46"/>
      <c r="J44" s="48"/>
      <c r="K44" s="48"/>
      <c r="L44" s="49"/>
    </row>
    <row r="45">
      <c r="A45" s="42"/>
      <c r="B45" s="42"/>
      <c r="C45" s="44" t="s">
        <v>45</v>
      </c>
      <c r="D45" s="46"/>
      <c r="E45" s="46"/>
      <c r="F45" s="46">
        <f t="shared" si="7"/>
        <v>0</v>
      </c>
      <c r="G45" s="46"/>
      <c r="H45" s="46"/>
      <c r="I45" s="46"/>
      <c r="J45" s="48"/>
      <c r="K45" s="48"/>
      <c r="L45" s="49"/>
    </row>
    <row r="46">
      <c r="A46" s="53"/>
      <c r="B46" s="53"/>
      <c r="C46" s="54" t="s">
        <v>46</v>
      </c>
      <c r="D46" s="55">
        <f t="shared" ref="D46:F46" si="8">SUM(D36:D43)</f>
        <v>149356</v>
      </c>
      <c r="E46" s="55">
        <f t="shared" si="8"/>
        <v>0</v>
      </c>
      <c r="F46" s="55">
        <f t="shared" si="8"/>
        <v>-149356</v>
      </c>
      <c r="G46" s="64"/>
      <c r="H46" s="55"/>
      <c r="I46" s="55"/>
      <c r="J46" s="55"/>
      <c r="K46" s="56"/>
      <c r="L46" s="53"/>
    </row>
    <row r="47" ht="16.5" customHeight="1">
      <c r="A47" s="65"/>
      <c r="B47" s="66"/>
      <c r="C47" s="67"/>
      <c r="D47" s="68"/>
      <c r="E47" s="69"/>
      <c r="F47" s="69"/>
      <c r="G47" s="69"/>
      <c r="H47" s="69"/>
      <c r="I47" s="69"/>
      <c r="J47" s="70"/>
      <c r="K47" s="70"/>
      <c r="L47" s="71"/>
    </row>
    <row r="48" ht="22.5" customHeight="1">
      <c r="A48" s="44">
        <v>3.0</v>
      </c>
      <c r="B48" s="44" t="s">
        <v>47</v>
      </c>
      <c r="C48" s="44"/>
      <c r="D48" s="46"/>
      <c r="E48" s="46"/>
      <c r="F48" s="46"/>
      <c r="G48" s="46"/>
      <c r="H48" s="46"/>
      <c r="I48" s="46"/>
      <c r="J48" s="48"/>
      <c r="K48" s="48"/>
      <c r="L48" s="49"/>
    </row>
    <row r="49">
      <c r="A49" s="42"/>
      <c r="B49" s="43"/>
      <c r="C49" s="52" t="s">
        <v>48</v>
      </c>
      <c r="D49" s="45">
        <v>245769.0</v>
      </c>
      <c r="E49" s="46"/>
      <c r="F49" s="46">
        <f t="shared" ref="F49:F52" si="9">E49-D49</f>
        <v>-245769</v>
      </c>
      <c r="G49" s="46"/>
      <c r="H49" s="46"/>
      <c r="I49" s="46"/>
      <c r="J49" s="48"/>
      <c r="K49" s="48"/>
      <c r="L49" s="49"/>
    </row>
    <row r="50">
      <c r="A50" s="42"/>
      <c r="B50" s="43"/>
      <c r="C50" s="52" t="s">
        <v>49</v>
      </c>
      <c r="D50" s="45">
        <f>79985+12865</f>
        <v>92850</v>
      </c>
      <c r="E50" s="46"/>
      <c r="F50" s="46">
        <f t="shared" si="9"/>
        <v>-92850</v>
      </c>
      <c r="G50" s="46"/>
      <c r="H50" s="46"/>
      <c r="I50" s="46"/>
      <c r="J50" s="48"/>
      <c r="K50" s="48"/>
      <c r="L50" s="49"/>
    </row>
    <row r="51">
      <c r="A51" s="42"/>
      <c r="B51" s="43"/>
      <c r="C51" s="52" t="s">
        <v>50</v>
      </c>
      <c r="D51" s="45">
        <v>19000.0</v>
      </c>
      <c r="E51" s="46"/>
      <c r="F51" s="46">
        <f t="shared" si="9"/>
        <v>-19000</v>
      </c>
      <c r="G51" s="46"/>
      <c r="H51" s="46"/>
      <c r="I51" s="46"/>
      <c r="J51" s="48"/>
      <c r="K51" s="48"/>
      <c r="L51" s="49"/>
    </row>
    <row r="52">
      <c r="A52" s="42"/>
      <c r="B52" s="43"/>
      <c r="C52" s="44" t="s">
        <v>36</v>
      </c>
      <c r="D52" s="45"/>
      <c r="E52" s="46"/>
      <c r="F52" s="46">
        <f t="shared" si="9"/>
        <v>0</v>
      </c>
      <c r="G52" s="46"/>
      <c r="H52" s="46"/>
      <c r="I52" s="46"/>
      <c r="J52" s="48"/>
      <c r="K52" s="48"/>
      <c r="L52" s="49"/>
    </row>
    <row r="53">
      <c r="A53" s="53"/>
      <c r="B53" s="53"/>
      <c r="C53" s="54" t="s">
        <v>51</v>
      </c>
      <c r="D53" s="55">
        <f>SUM(D49:D52)</f>
        <v>357619</v>
      </c>
      <c r="E53" s="55">
        <f t="shared" ref="E53:F53" si="10">SUM(E50:E52)</f>
        <v>0</v>
      </c>
      <c r="F53" s="55">
        <f t="shared" si="10"/>
        <v>-111850</v>
      </c>
      <c r="G53" s="64"/>
      <c r="H53" s="55"/>
      <c r="I53" s="55"/>
      <c r="J53" s="55"/>
      <c r="K53" s="56"/>
      <c r="L53" s="53"/>
    </row>
    <row r="54">
      <c r="A54" s="72"/>
    </row>
    <row r="55" ht="23.25" customHeight="1">
      <c r="A55" s="73">
        <v>4.0</v>
      </c>
      <c r="B55" s="73" t="s">
        <v>36</v>
      </c>
      <c r="C55" s="73"/>
      <c r="D55" s="74"/>
      <c r="E55" s="74"/>
      <c r="F55" s="74"/>
      <c r="G55" s="75"/>
      <c r="H55" s="75"/>
      <c r="I55" s="75"/>
      <c r="J55" s="75"/>
      <c r="K55" s="75"/>
      <c r="L55" s="75"/>
    </row>
    <row r="56">
      <c r="A56" s="75"/>
      <c r="B56" s="76"/>
      <c r="C56" s="73" t="s">
        <v>52</v>
      </c>
      <c r="D56" s="77">
        <v>17600.0</v>
      </c>
      <c r="E56" s="74"/>
      <c r="F56" s="74">
        <f t="shared" ref="F56:F64" si="11">E56-D56</f>
        <v>-17600</v>
      </c>
      <c r="G56" s="75"/>
      <c r="H56" s="75"/>
      <c r="I56" s="75"/>
      <c r="J56" s="75"/>
      <c r="K56" s="75"/>
      <c r="L56" s="75"/>
    </row>
    <row r="57">
      <c r="A57" s="75"/>
      <c r="B57" s="76"/>
      <c r="C57" s="73" t="s">
        <v>53</v>
      </c>
      <c r="D57" s="77">
        <v>2500.0</v>
      </c>
      <c r="E57" s="74"/>
      <c r="F57" s="74">
        <f t="shared" si="11"/>
        <v>-2500</v>
      </c>
      <c r="G57" s="75"/>
      <c r="H57" s="75"/>
      <c r="I57" s="75"/>
      <c r="J57" s="75"/>
      <c r="K57" s="75"/>
      <c r="L57" s="75"/>
    </row>
    <row r="58">
      <c r="A58" s="75"/>
      <c r="B58" s="76"/>
      <c r="C58" s="73" t="s">
        <v>54</v>
      </c>
      <c r="D58" s="74"/>
      <c r="E58" s="74"/>
      <c r="F58" s="74">
        <f t="shared" si="11"/>
        <v>0</v>
      </c>
      <c r="G58" s="75"/>
      <c r="H58" s="75"/>
      <c r="I58" s="75"/>
      <c r="J58" s="75"/>
      <c r="K58" s="75"/>
      <c r="L58" s="75"/>
    </row>
    <row r="59">
      <c r="A59" s="75"/>
      <c r="B59" s="76"/>
      <c r="C59" s="73" t="s">
        <v>55</v>
      </c>
      <c r="D59" s="74"/>
      <c r="E59" s="74"/>
      <c r="F59" s="74">
        <f t="shared" si="11"/>
        <v>0</v>
      </c>
      <c r="G59" s="75"/>
      <c r="H59" s="75"/>
      <c r="I59" s="75"/>
      <c r="J59" s="75"/>
      <c r="K59" s="75"/>
      <c r="L59" s="75"/>
    </row>
    <row r="60">
      <c r="A60" s="75"/>
      <c r="B60" s="76"/>
      <c r="C60" s="73" t="s">
        <v>56</v>
      </c>
      <c r="D60" s="77">
        <v>25130.0</v>
      </c>
      <c r="E60" s="74"/>
      <c r="F60" s="74">
        <f t="shared" si="11"/>
        <v>-25130</v>
      </c>
      <c r="G60" s="75"/>
      <c r="H60" s="75"/>
      <c r="I60" s="75"/>
      <c r="J60" s="75"/>
      <c r="K60" s="75"/>
      <c r="L60" s="75"/>
    </row>
    <row r="61">
      <c r="A61" s="75"/>
      <c r="B61" s="76"/>
      <c r="C61" s="73" t="s">
        <v>57</v>
      </c>
      <c r="D61" s="77">
        <v>15000.0</v>
      </c>
      <c r="E61" s="74"/>
      <c r="F61" s="74">
        <f t="shared" si="11"/>
        <v>-15000</v>
      </c>
      <c r="G61" s="75"/>
      <c r="H61" s="75"/>
      <c r="I61" s="75"/>
      <c r="J61" s="75"/>
      <c r="K61" s="75"/>
      <c r="L61" s="75"/>
    </row>
    <row r="62">
      <c r="A62" s="75"/>
      <c r="B62" s="76"/>
      <c r="C62" s="78" t="s">
        <v>58</v>
      </c>
      <c r="D62" s="77">
        <v>20000.0</v>
      </c>
      <c r="E62" s="74"/>
      <c r="F62" s="74">
        <f t="shared" si="11"/>
        <v>-20000</v>
      </c>
      <c r="G62" s="75"/>
      <c r="H62" s="75"/>
      <c r="I62" s="75"/>
      <c r="J62" s="75"/>
      <c r="K62" s="75"/>
      <c r="L62" s="75"/>
    </row>
    <row r="63">
      <c r="A63" s="75"/>
      <c r="B63" s="76"/>
      <c r="C63" s="73" t="s">
        <v>59</v>
      </c>
      <c r="D63" s="74"/>
      <c r="E63" s="74"/>
      <c r="F63" s="79">
        <f t="shared" si="11"/>
        <v>0</v>
      </c>
      <c r="G63" s="75"/>
      <c r="H63" s="75"/>
      <c r="I63" s="75"/>
      <c r="J63" s="75"/>
      <c r="K63" s="75"/>
      <c r="L63" s="75"/>
    </row>
    <row r="64">
      <c r="A64" s="80"/>
      <c r="B64" s="80"/>
      <c r="C64" s="81" t="s">
        <v>60</v>
      </c>
      <c r="D64" s="82">
        <f>SUM(D56:D63)</f>
        <v>80230</v>
      </c>
      <c r="E64" s="82">
        <f>SUM(E57:E59)</f>
        <v>0</v>
      </c>
      <c r="F64" s="74">
        <f t="shared" si="11"/>
        <v>-80230</v>
      </c>
      <c r="G64" s="80"/>
      <c r="H64" s="80"/>
      <c r="I64" s="80"/>
      <c r="J64" s="80"/>
      <c r="K64" s="80"/>
      <c r="L64" s="80"/>
    </row>
    <row r="65">
      <c r="A65" s="72"/>
    </row>
    <row r="66">
      <c r="A66" s="72"/>
      <c r="B66" s="72"/>
      <c r="C66" s="83"/>
      <c r="D66" s="84" t="s">
        <v>61</v>
      </c>
      <c r="E66" s="85" t="s">
        <v>62</v>
      </c>
      <c r="F66" s="85" t="s">
        <v>63</v>
      </c>
      <c r="G66" s="86" t="s">
        <v>64</v>
      </c>
      <c r="H66" s="72"/>
      <c r="I66" s="72"/>
      <c r="J66" s="72"/>
      <c r="K66" s="72"/>
      <c r="L66" s="72"/>
    </row>
    <row r="67" ht="42.0" customHeight="1">
      <c r="A67" s="87"/>
      <c r="B67" s="88" t="s">
        <v>65</v>
      </c>
      <c r="C67" s="89"/>
      <c r="D67" s="90">
        <f>D64+D53+D46+D32</f>
        <v>840894</v>
      </c>
      <c r="E67" s="90">
        <f>C4</f>
        <v>981200</v>
      </c>
      <c r="F67" s="90">
        <f>E67-D67</f>
        <v>140306</v>
      </c>
      <c r="G67" s="91">
        <f>F67/E67</f>
        <v>0.1429942927</v>
      </c>
      <c r="H67" s="92"/>
      <c r="I67" s="92"/>
      <c r="J67" s="92"/>
      <c r="K67" s="92"/>
      <c r="L67" s="87"/>
    </row>
  </sheetData>
  <mergeCells count="6">
    <mergeCell ref="B2:C2"/>
    <mergeCell ref="D2:K2"/>
    <mergeCell ref="C3:D3"/>
    <mergeCell ref="A54:L54"/>
    <mergeCell ref="A65:L65"/>
    <mergeCell ref="B67:C67"/>
  </mergeCells>
  <conditionalFormatting sqref="J7:K7 J33:K33 J47:K47 J67:K67">
    <cfRule type="expression" dxfId="4" priority="1">
      <formula>AND(OR($D7="In progress",$D7="Not started" ),OR($J7=today(), $J7=today()+1))</formula>
    </cfRule>
  </conditionalFormatting>
  <conditionalFormatting sqref="D7 D33 D47 D67:F67">
    <cfRule type="cellIs" dxfId="5" priority="2" operator="equal">
      <formula>"Not started"</formula>
    </cfRule>
  </conditionalFormatting>
  <conditionalFormatting sqref="D7 D33 D47 D67:F67">
    <cfRule type="cellIs" dxfId="6" priority="3" operator="equal">
      <formula>"In progress"</formula>
    </cfRule>
  </conditionalFormatting>
  <conditionalFormatting sqref="A7:L7 A33:L33 A47:L47 A67:L67">
    <cfRule type="expression" dxfId="7" priority="4">
      <formula>RegExMatch(($D7),"Done")</formula>
    </cfRule>
  </conditionalFormatting>
  <conditionalFormatting sqref="E7:I7 E33:I33 D47:J47 D67:J67">
    <cfRule type="timePeriod" dxfId="8" priority="5" timePeriod="today"/>
  </conditionalFormatting>
  <conditionalFormatting sqref="E7:I7 E33:I33 D47:J47 D67:J67">
    <cfRule type="expression" dxfId="4" priority="6">
      <formula>AND($E7&lt;TODAY(), OR($D7="In progress", $D7="Not started"))</formula>
    </cfRule>
  </conditionalFormatting>
  <printOptions gridLines="1" horizontalCentered="1"/>
  <pageMargins bottom="0.75" footer="0.0" header="0.0" left="0.25" right="0.25" top="0.75"/>
  <pageSetup fitToWidth="0" cellComments="atEnd" orientation="portrait" pageOrder="overThenDown"/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5"/>
    <col customWidth="1" min="2" max="2" width="19.0"/>
    <col customWidth="1" min="3" max="3" width="36.38"/>
    <col customWidth="1" min="4" max="4" width="15.25"/>
    <col customWidth="1" min="5" max="5" width="13.25"/>
    <col customWidth="1" min="6" max="6" width="11.0"/>
    <col customWidth="1" min="7" max="7" width="7.38"/>
    <col customWidth="1" min="8" max="8" width="14.13"/>
    <col customWidth="1" hidden="1" min="9" max="9" width="14.13"/>
    <col customWidth="1" hidden="1" min="10" max="10" width="9.25"/>
    <col customWidth="1" hidden="1" min="11" max="11" width="12.75"/>
    <col customWidth="1" min="12" max="12" width="2.5"/>
  </cols>
  <sheetData>
    <row r="1" ht="12.0" customHeight="1">
      <c r="A1" s="1"/>
      <c r="B1" s="1"/>
      <c r="C1" s="1"/>
      <c r="D1" s="2"/>
      <c r="E1" s="2"/>
      <c r="F1" s="2"/>
      <c r="G1" s="93"/>
      <c r="H1" s="2"/>
      <c r="I1" s="2"/>
      <c r="J1" s="3"/>
      <c r="K1" s="3"/>
      <c r="L1" s="2"/>
    </row>
    <row r="2" ht="44.25" customHeight="1">
      <c r="A2" s="1"/>
      <c r="B2" s="4" t="s">
        <v>66</v>
      </c>
      <c r="C2" s="5"/>
      <c r="D2" s="6"/>
      <c r="E2" s="7"/>
      <c r="F2" s="7"/>
      <c r="G2" s="7"/>
      <c r="H2" s="7"/>
      <c r="I2" s="7"/>
      <c r="J2" s="7"/>
      <c r="K2" s="5"/>
      <c r="L2" s="8"/>
    </row>
    <row r="3" ht="36.75" customHeight="1">
      <c r="A3" s="9"/>
      <c r="B3" s="10" t="s">
        <v>1</v>
      </c>
      <c r="C3" s="11" t="s">
        <v>2</v>
      </c>
      <c r="D3" s="12"/>
      <c r="E3" s="13" t="s">
        <v>3</v>
      </c>
      <c r="F3" s="14">
        <v>163.0</v>
      </c>
      <c r="G3" s="94"/>
      <c r="H3" s="95">
        <v>46066.0</v>
      </c>
      <c r="I3" s="15"/>
      <c r="J3" s="15"/>
      <c r="K3" s="15"/>
      <c r="L3" s="16"/>
    </row>
    <row r="4" ht="27.0" customHeight="1">
      <c r="A4" s="9"/>
      <c r="B4" s="10" t="s">
        <v>67</v>
      </c>
      <c r="C4" s="17">
        <v>990056.88</v>
      </c>
      <c r="D4" s="13"/>
      <c r="E4" s="18"/>
      <c r="F4" s="19"/>
      <c r="G4" s="94"/>
      <c r="H4" s="15"/>
      <c r="I4" s="96">
        <f>TOday()</f>
        <v>46163</v>
      </c>
      <c r="J4" s="20"/>
      <c r="K4" s="15"/>
      <c r="L4" s="16"/>
    </row>
    <row r="5" ht="13.5" customHeight="1">
      <c r="A5" s="9"/>
      <c r="B5" s="21"/>
      <c r="C5" s="21"/>
      <c r="D5" s="15"/>
      <c r="E5" s="22"/>
      <c r="F5" s="23"/>
      <c r="G5" s="97"/>
      <c r="H5" s="23"/>
      <c r="I5" s="24"/>
      <c r="J5" s="15"/>
      <c r="K5" s="15"/>
      <c r="L5" s="16"/>
    </row>
    <row r="6" ht="29.25" customHeight="1">
      <c r="A6" s="25"/>
      <c r="B6" s="25" t="s">
        <v>7</v>
      </c>
      <c r="C6" s="25" t="s">
        <v>8</v>
      </c>
      <c r="D6" s="26" t="s">
        <v>9</v>
      </c>
      <c r="E6" s="27" t="s">
        <v>10</v>
      </c>
      <c r="F6" s="28" t="s">
        <v>11</v>
      </c>
      <c r="G6" s="98" t="s">
        <v>12</v>
      </c>
      <c r="H6" s="28" t="s">
        <v>13</v>
      </c>
      <c r="I6" s="29" t="s">
        <v>14</v>
      </c>
      <c r="J6" s="30" t="s">
        <v>15</v>
      </c>
      <c r="K6" s="30" t="s">
        <v>16</v>
      </c>
      <c r="L6" s="25"/>
    </row>
    <row r="7" ht="1.5" customHeight="1">
      <c r="A7" s="31"/>
      <c r="B7" s="32"/>
      <c r="C7" s="33"/>
      <c r="D7" s="34"/>
      <c r="E7" s="35"/>
      <c r="F7" s="36"/>
      <c r="G7" s="99"/>
      <c r="H7" s="36"/>
      <c r="I7" s="35"/>
      <c r="J7" s="37"/>
      <c r="K7" s="37"/>
      <c r="L7" s="35"/>
    </row>
    <row r="8" ht="22.5" customHeight="1">
      <c r="A8" s="38">
        <v>1.0</v>
      </c>
      <c r="B8" s="38" t="s">
        <v>17</v>
      </c>
      <c r="C8" s="38"/>
      <c r="D8" s="39"/>
      <c r="E8" s="39"/>
      <c r="F8" s="39"/>
      <c r="G8" s="100"/>
      <c r="H8" s="39"/>
      <c r="I8" s="39"/>
      <c r="J8" s="40"/>
      <c r="K8" s="40"/>
      <c r="L8" s="41"/>
    </row>
    <row r="9">
      <c r="A9" s="42"/>
      <c r="B9" s="43"/>
      <c r="C9" s="44" t="s">
        <v>18</v>
      </c>
      <c r="D9" s="45">
        <v>11500.0</v>
      </c>
      <c r="E9" s="46"/>
      <c r="F9" s="46">
        <f t="shared" ref="F9:F28" si="1">E9-D9</f>
        <v>-11500</v>
      </c>
      <c r="G9" s="46"/>
      <c r="H9" s="46"/>
      <c r="I9" s="46">
        <f t="shared" ref="I9:I22" si="2">D9/75</f>
        <v>153.3333333</v>
      </c>
      <c r="J9" s="50"/>
      <c r="K9" s="48"/>
      <c r="L9" s="49"/>
    </row>
    <row r="10">
      <c r="A10" s="42"/>
      <c r="B10" s="43"/>
      <c r="C10" s="44" t="s">
        <v>19</v>
      </c>
      <c r="D10" s="45">
        <v>10485.0</v>
      </c>
      <c r="E10" s="46"/>
      <c r="F10" s="46">
        <f t="shared" si="1"/>
        <v>-10485</v>
      </c>
      <c r="G10" s="46"/>
      <c r="H10" s="46"/>
      <c r="I10" s="46">
        <f t="shared" si="2"/>
        <v>139.8</v>
      </c>
      <c r="J10" s="50"/>
      <c r="K10" s="48"/>
      <c r="L10" s="49"/>
    </row>
    <row r="11">
      <c r="A11" s="42"/>
      <c r="B11" s="43"/>
      <c r="C11" s="44" t="s">
        <v>20</v>
      </c>
      <c r="D11" s="45">
        <v>3400.0</v>
      </c>
      <c r="E11" s="46"/>
      <c r="F11" s="46">
        <f t="shared" si="1"/>
        <v>-3400</v>
      </c>
      <c r="G11" s="46"/>
      <c r="H11" s="46"/>
      <c r="I11" s="46">
        <f t="shared" si="2"/>
        <v>45.33333333</v>
      </c>
      <c r="J11" s="50"/>
      <c r="K11" s="48"/>
      <c r="L11" s="49"/>
    </row>
    <row r="12">
      <c r="A12" s="42"/>
      <c r="B12" s="42"/>
      <c r="C12" s="44" t="s">
        <v>21</v>
      </c>
      <c r="D12" s="46">
        <v>0.0</v>
      </c>
      <c r="E12" s="46"/>
      <c r="F12" s="46">
        <f t="shared" si="1"/>
        <v>0</v>
      </c>
      <c r="G12" s="46"/>
      <c r="H12" s="46"/>
      <c r="I12" s="46">
        <f t="shared" si="2"/>
        <v>0</v>
      </c>
      <c r="J12" s="50"/>
      <c r="K12" s="48"/>
      <c r="L12" s="49"/>
    </row>
    <row r="13">
      <c r="A13" s="42"/>
      <c r="B13" s="42"/>
      <c r="C13" s="44" t="s">
        <v>22</v>
      </c>
      <c r="D13" s="46">
        <v>0.0</v>
      </c>
      <c r="E13" s="46"/>
      <c r="F13" s="46">
        <f t="shared" si="1"/>
        <v>0</v>
      </c>
      <c r="G13" s="46"/>
      <c r="H13" s="46"/>
      <c r="I13" s="46">
        <f t="shared" si="2"/>
        <v>0</v>
      </c>
      <c r="J13" s="50"/>
      <c r="K13" s="48"/>
      <c r="L13" s="49"/>
    </row>
    <row r="14">
      <c r="A14" s="42"/>
      <c r="B14" s="42"/>
      <c r="C14" s="44" t="s">
        <v>23</v>
      </c>
      <c r="D14" s="45">
        <v>3800.0</v>
      </c>
      <c r="E14" s="46"/>
      <c r="F14" s="46">
        <f t="shared" si="1"/>
        <v>-3800</v>
      </c>
      <c r="G14" s="46"/>
      <c r="H14" s="46"/>
      <c r="I14" s="46">
        <f t="shared" si="2"/>
        <v>50.66666667</v>
      </c>
      <c r="J14" s="48"/>
      <c r="K14" s="48"/>
      <c r="L14" s="49"/>
    </row>
    <row r="15">
      <c r="A15" s="42"/>
      <c r="B15" s="42"/>
      <c r="C15" s="44" t="s">
        <v>24</v>
      </c>
      <c r="D15" s="45">
        <v>11100.0</v>
      </c>
      <c r="E15" s="46"/>
      <c r="F15" s="46">
        <f t="shared" si="1"/>
        <v>-11100</v>
      </c>
      <c r="G15" s="46"/>
      <c r="H15" s="46"/>
      <c r="I15" s="46">
        <f t="shared" si="2"/>
        <v>148</v>
      </c>
      <c r="J15" s="50"/>
      <c r="K15" s="48"/>
      <c r="L15" s="49"/>
    </row>
    <row r="16">
      <c r="A16" s="42"/>
      <c r="B16" s="42"/>
      <c r="C16" s="44" t="s">
        <v>25</v>
      </c>
      <c r="D16" s="45">
        <v>0.0</v>
      </c>
      <c r="E16" s="46"/>
      <c r="F16" s="46">
        <f t="shared" si="1"/>
        <v>0</v>
      </c>
      <c r="G16" s="46"/>
      <c r="H16" s="46"/>
      <c r="I16" s="46">
        <f t="shared" si="2"/>
        <v>0</v>
      </c>
      <c r="J16" s="50"/>
      <c r="K16" s="48"/>
      <c r="L16" s="49"/>
    </row>
    <row r="17">
      <c r="A17" s="42"/>
      <c r="B17" s="42"/>
      <c r="C17" s="44" t="s">
        <v>26</v>
      </c>
      <c r="D17" s="45">
        <v>0.0</v>
      </c>
      <c r="E17" s="46"/>
      <c r="F17" s="46">
        <f t="shared" si="1"/>
        <v>0</v>
      </c>
      <c r="G17" s="46"/>
      <c r="H17" s="46"/>
      <c r="I17" s="46">
        <f t="shared" si="2"/>
        <v>0</v>
      </c>
      <c r="J17" s="50"/>
      <c r="K17" s="48"/>
      <c r="L17" s="49"/>
    </row>
    <row r="18">
      <c r="A18" s="42"/>
      <c r="B18" s="42"/>
      <c r="C18" s="44" t="s">
        <v>27</v>
      </c>
      <c r="D18" s="46">
        <v>0.0</v>
      </c>
      <c r="E18" s="46"/>
      <c r="F18" s="46">
        <f t="shared" si="1"/>
        <v>0</v>
      </c>
      <c r="G18" s="46"/>
      <c r="H18" s="46"/>
      <c r="I18" s="46">
        <f t="shared" si="2"/>
        <v>0</v>
      </c>
      <c r="J18" s="48"/>
      <c r="K18" s="48"/>
      <c r="L18" s="49"/>
    </row>
    <row r="19">
      <c r="A19" s="42"/>
      <c r="B19" s="42"/>
      <c r="C19" s="44" t="s">
        <v>28</v>
      </c>
      <c r="D19" s="46">
        <v>0.0</v>
      </c>
      <c r="E19" s="46"/>
      <c r="F19" s="46">
        <f t="shared" si="1"/>
        <v>0</v>
      </c>
      <c r="G19" s="46"/>
      <c r="H19" s="46"/>
      <c r="I19" s="46">
        <f t="shared" si="2"/>
        <v>0</v>
      </c>
      <c r="J19" s="48"/>
      <c r="K19" s="48"/>
      <c r="L19" s="49"/>
    </row>
    <row r="20">
      <c r="A20" s="42"/>
      <c r="B20" s="42"/>
      <c r="C20" s="44" t="s">
        <v>29</v>
      </c>
      <c r="D20" s="45">
        <v>94495.0</v>
      </c>
      <c r="E20" s="46"/>
      <c r="F20" s="46">
        <f t="shared" si="1"/>
        <v>-94495</v>
      </c>
      <c r="G20" s="46"/>
      <c r="H20" s="46"/>
      <c r="I20" s="46">
        <f t="shared" si="2"/>
        <v>1259.933333</v>
      </c>
      <c r="J20" s="50"/>
      <c r="K20" s="48"/>
      <c r="L20" s="49"/>
    </row>
    <row r="21">
      <c r="A21" s="42"/>
      <c r="B21" s="42"/>
      <c r="C21" s="44" t="s">
        <v>30</v>
      </c>
      <c r="D21" s="45">
        <v>9195.0</v>
      </c>
      <c r="E21" s="46"/>
      <c r="F21" s="46">
        <f t="shared" si="1"/>
        <v>-9195</v>
      </c>
      <c r="G21" s="46"/>
      <c r="H21" s="46"/>
      <c r="I21" s="46">
        <f t="shared" si="2"/>
        <v>122.6</v>
      </c>
      <c r="J21" s="50"/>
      <c r="K21" s="48"/>
      <c r="L21" s="49"/>
    </row>
    <row r="22">
      <c r="A22" s="42"/>
      <c r="B22" s="42"/>
      <c r="C22" s="44" t="s">
        <v>31</v>
      </c>
      <c r="D22" s="45">
        <f>8221.65+97217.35+4275</f>
        <v>109714</v>
      </c>
      <c r="E22" s="46"/>
      <c r="F22" s="46">
        <f t="shared" si="1"/>
        <v>-109714</v>
      </c>
      <c r="G22" s="46"/>
      <c r="H22" s="46"/>
      <c r="I22" s="46">
        <f t="shared" si="2"/>
        <v>1462.853333</v>
      </c>
      <c r="J22" s="48"/>
      <c r="K22" s="48"/>
      <c r="L22" s="49"/>
    </row>
    <row r="23">
      <c r="A23" s="42"/>
      <c r="B23" s="42"/>
      <c r="C23" s="44" t="s">
        <v>32</v>
      </c>
      <c r="D23" s="46">
        <v>0.0</v>
      </c>
      <c r="E23" s="46"/>
      <c r="F23" s="46">
        <f t="shared" si="1"/>
        <v>0</v>
      </c>
      <c r="G23" s="46"/>
      <c r="H23" s="46"/>
      <c r="I23" s="46">
        <f>D23/65</f>
        <v>0</v>
      </c>
      <c r="J23" s="48"/>
      <c r="K23" s="48"/>
      <c r="L23" s="49"/>
    </row>
    <row r="24">
      <c r="A24" s="42"/>
      <c r="B24" s="42"/>
      <c r="C24" s="44" t="s">
        <v>68</v>
      </c>
      <c r="D24" s="46">
        <v>0.0</v>
      </c>
      <c r="E24" s="46"/>
      <c r="F24" s="46">
        <f t="shared" si="1"/>
        <v>0</v>
      </c>
      <c r="G24" s="46"/>
      <c r="H24" s="46"/>
      <c r="I24" s="46">
        <f t="shared" ref="I24:I28" si="3">D24/75</f>
        <v>0</v>
      </c>
      <c r="J24" s="48"/>
      <c r="K24" s="48"/>
      <c r="L24" s="49"/>
    </row>
    <row r="25">
      <c r="A25" s="42"/>
      <c r="B25" s="42"/>
      <c r="C25" s="44" t="s">
        <v>34</v>
      </c>
      <c r="D25" s="46">
        <v>0.0</v>
      </c>
      <c r="E25" s="46"/>
      <c r="F25" s="46">
        <f t="shared" si="1"/>
        <v>0</v>
      </c>
      <c r="G25" s="46"/>
      <c r="H25" s="46"/>
      <c r="I25" s="46">
        <f t="shared" si="3"/>
        <v>0</v>
      </c>
      <c r="J25" s="48"/>
      <c r="K25" s="48"/>
      <c r="L25" s="49"/>
    </row>
    <row r="26">
      <c r="A26" s="42"/>
      <c r="B26" s="42"/>
      <c r="C26" s="44" t="s">
        <v>35</v>
      </c>
      <c r="D26" s="45">
        <v>0.0</v>
      </c>
      <c r="E26" s="46"/>
      <c r="F26" s="46">
        <f t="shared" si="1"/>
        <v>0</v>
      </c>
      <c r="G26" s="46"/>
      <c r="H26" s="46"/>
      <c r="I26" s="46">
        <f t="shared" si="3"/>
        <v>0</v>
      </c>
      <c r="J26" s="48"/>
      <c r="K26" s="48"/>
      <c r="L26" s="49"/>
    </row>
    <row r="27">
      <c r="A27" s="42"/>
      <c r="B27" s="42"/>
      <c r="C27" s="44" t="s">
        <v>36</v>
      </c>
      <c r="D27" s="46">
        <v>0.0</v>
      </c>
      <c r="E27" s="46"/>
      <c r="F27" s="46">
        <f t="shared" si="1"/>
        <v>0</v>
      </c>
      <c r="G27" s="46"/>
      <c r="H27" s="46"/>
      <c r="I27" s="46">
        <f t="shared" si="3"/>
        <v>0</v>
      </c>
      <c r="J27" s="48"/>
      <c r="K27" s="48"/>
      <c r="L27" s="42"/>
    </row>
    <row r="28">
      <c r="A28" s="42"/>
      <c r="B28" s="42"/>
      <c r="C28" s="44" t="s">
        <v>37</v>
      </c>
      <c r="D28" s="46">
        <v>0.0</v>
      </c>
      <c r="E28" s="46"/>
      <c r="F28" s="46">
        <f t="shared" si="1"/>
        <v>0</v>
      </c>
      <c r="G28" s="46"/>
      <c r="H28" s="46"/>
      <c r="I28" s="46">
        <f t="shared" si="3"/>
        <v>0</v>
      </c>
      <c r="J28" s="48"/>
      <c r="K28" s="48"/>
      <c r="L28" s="42"/>
    </row>
    <row r="29">
      <c r="A29" s="42"/>
      <c r="B29" s="42"/>
      <c r="C29" s="52" t="s">
        <v>69</v>
      </c>
      <c r="D29" s="45">
        <v>560.0</v>
      </c>
      <c r="E29" s="45"/>
      <c r="F29" s="46"/>
      <c r="G29" s="101"/>
      <c r="H29" s="46"/>
      <c r="I29" s="46"/>
      <c r="J29" s="102"/>
      <c r="K29" s="48"/>
      <c r="L29" s="42"/>
    </row>
    <row r="30">
      <c r="A30" s="42"/>
      <c r="B30" s="42"/>
      <c r="C30" s="52" t="s">
        <v>70</v>
      </c>
      <c r="D30" s="45">
        <v>4060.0</v>
      </c>
      <c r="E30" s="45"/>
      <c r="F30" s="46"/>
      <c r="G30" s="101"/>
      <c r="H30" s="46"/>
      <c r="I30" s="46">
        <f t="shared" ref="I30:I31" si="4">D30/75</f>
        <v>54.13333333</v>
      </c>
      <c r="J30" s="103">
        <v>4.0</v>
      </c>
      <c r="K30" s="48"/>
      <c r="L30" s="42"/>
    </row>
    <row r="31">
      <c r="A31" s="42"/>
      <c r="B31" s="42"/>
      <c r="C31" s="52" t="s">
        <v>71</v>
      </c>
      <c r="D31" s="45">
        <v>-12117.8</v>
      </c>
      <c r="E31" s="45"/>
      <c r="F31" s="46"/>
      <c r="G31" s="101"/>
      <c r="H31" s="46"/>
      <c r="I31" s="46">
        <f t="shared" si="4"/>
        <v>-161.5706667</v>
      </c>
      <c r="J31" s="102"/>
      <c r="K31" s="48"/>
      <c r="L31" s="42"/>
    </row>
    <row r="32">
      <c r="A32" s="42"/>
      <c r="B32" s="42"/>
      <c r="C32" s="52" t="s">
        <v>72</v>
      </c>
      <c r="D32" s="45">
        <v>8400.0</v>
      </c>
      <c r="E32" s="45"/>
      <c r="F32" s="46"/>
      <c r="G32" s="101"/>
      <c r="H32" s="46"/>
      <c r="I32" s="46"/>
      <c r="J32" s="102"/>
      <c r="K32" s="48"/>
      <c r="L32" s="42"/>
    </row>
    <row r="33">
      <c r="A33" s="42"/>
      <c r="B33" s="42"/>
      <c r="C33" s="52" t="s">
        <v>73</v>
      </c>
      <c r="D33" s="45">
        <v>3150.0</v>
      </c>
      <c r="E33" s="45"/>
      <c r="F33" s="46"/>
      <c r="G33" s="101"/>
      <c r="H33" s="46"/>
      <c r="I33" s="46"/>
      <c r="J33" s="102"/>
      <c r="K33" s="48"/>
      <c r="L33" s="42"/>
    </row>
    <row r="34">
      <c r="A34" s="42"/>
      <c r="B34" s="42"/>
      <c r="C34" s="52" t="s">
        <v>74</v>
      </c>
      <c r="D34" s="45">
        <v>350.0</v>
      </c>
      <c r="E34" s="45"/>
      <c r="F34" s="46"/>
      <c r="G34" s="101"/>
      <c r="H34" s="46"/>
      <c r="I34" s="46"/>
      <c r="J34" s="102"/>
      <c r="K34" s="48"/>
      <c r="L34" s="42"/>
    </row>
    <row r="35">
      <c r="A35" s="42"/>
      <c r="B35" s="42"/>
      <c r="C35" s="52" t="s">
        <v>75</v>
      </c>
      <c r="D35" s="45">
        <v>0.0</v>
      </c>
      <c r="E35" s="45"/>
      <c r="F35" s="46"/>
      <c r="G35" s="101"/>
      <c r="H35" s="46"/>
      <c r="I35" s="46"/>
      <c r="J35" s="102"/>
      <c r="K35" s="48"/>
      <c r="L35" s="42"/>
    </row>
    <row r="36">
      <c r="A36" s="42"/>
      <c r="B36" s="42"/>
      <c r="C36" s="52" t="s">
        <v>76</v>
      </c>
      <c r="D36" s="45">
        <v>0.0</v>
      </c>
      <c r="E36" s="45"/>
      <c r="F36" s="46"/>
      <c r="G36" s="101"/>
      <c r="H36" s="46"/>
      <c r="I36" s="46"/>
      <c r="J36" s="102"/>
      <c r="K36" s="48"/>
      <c r="L36" s="42"/>
    </row>
    <row r="37">
      <c r="A37" s="42"/>
      <c r="B37" s="42"/>
      <c r="C37" s="52" t="s">
        <v>77</v>
      </c>
      <c r="D37" s="45">
        <v>900.0</v>
      </c>
      <c r="E37" s="45"/>
      <c r="F37" s="46"/>
      <c r="G37" s="101"/>
      <c r="H37" s="46"/>
      <c r="I37" s="46"/>
      <c r="J37" s="102"/>
      <c r="K37" s="48"/>
      <c r="L37" s="42"/>
    </row>
    <row r="38">
      <c r="A38" s="42"/>
      <c r="B38" s="42"/>
      <c r="C38" s="52" t="s">
        <v>57</v>
      </c>
      <c r="D38" s="104">
        <v>6820.0</v>
      </c>
      <c r="E38" s="45"/>
      <c r="F38" s="46"/>
      <c r="G38" s="101"/>
      <c r="H38" s="46"/>
      <c r="I38" s="46"/>
      <c r="J38" s="102"/>
      <c r="K38" s="48"/>
      <c r="L38" s="42"/>
    </row>
    <row r="39">
      <c r="A39" s="53"/>
      <c r="B39" s="53"/>
      <c r="C39" s="54" t="s">
        <v>40</v>
      </c>
      <c r="D39" s="55">
        <f>SUM(D9:D38)</f>
        <v>265811.2</v>
      </c>
      <c r="E39" s="105">
        <v>228880.0</v>
      </c>
      <c r="F39" s="55">
        <f>SUM(F9:F31)</f>
        <v>-253689</v>
      </c>
      <c r="G39" s="64">
        <f>E39/D39</f>
        <v>0.8610622878</v>
      </c>
      <c r="H39" s="55"/>
      <c r="I39" s="55">
        <f t="shared" ref="I39:J39" si="5">SUM(I9:I31)</f>
        <v>3275.082667</v>
      </c>
      <c r="J39" s="55">
        <f t="shared" si="5"/>
        <v>4</v>
      </c>
      <c r="K39" s="55">
        <f>I39-J39</f>
        <v>3271.082667</v>
      </c>
      <c r="L39" s="53"/>
    </row>
    <row r="40" ht="20.25" customHeight="1">
      <c r="A40" s="57"/>
      <c r="B40" s="58"/>
      <c r="C40" s="59"/>
      <c r="D40" s="60"/>
      <c r="E40" s="61"/>
      <c r="F40" s="61"/>
      <c r="G40" s="106"/>
      <c r="H40" s="61"/>
      <c r="I40" s="61"/>
      <c r="J40" s="62"/>
      <c r="K40" s="62"/>
      <c r="L40" s="63"/>
    </row>
    <row r="41" ht="27.0" customHeight="1">
      <c r="A41" s="44">
        <v>2.0</v>
      </c>
      <c r="B41" s="44" t="s">
        <v>41</v>
      </c>
      <c r="C41" s="44"/>
      <c r="D41" s="46"/>
      <c r="E41" s="46"/>
      <c r="F41" s="46"/>
      <c r="G41" s="46"/>
      <c r="H41" s="46"/>
      <c r="I41" s="46"/>
      <c r="J41" s="48"/>
      <c r="K41" s="48"/>
      <c r="L41" s="49"/>
    </row>
    <row r="42" hidden="1">
      <c r="A42" s="42"/>
      <c r="B42" s="43"/>
      <c r="C42" s="44" t="s">
        <v>18</v>
      </c>
      <c r="D42" s="46"/>
      <c r="E42" s="46"/>
      <c r="F42" s="46"/>
      <c r="G42" s="46"/>
      <c r="H42" s="46"/>
      <c r="I42" s="46"/>
      <c r="J42" s="48"/>
      <c r="K42" s="48"/>
      <c r="L42" s="49"/>
    </row>
    <row r="43" hidden="1">
      <c r="A43" s="42"/>
      <c r="B43" s="43"/>
      <c r="C43" s="44" t="s">
        <v>21</v>
      </c>
      <c r="D43" s="46"/>
      <c r="E43" s="46"/>
      <c r="F43" s="46">
        <f t="shared" ref="F43:F52" si="6">E43-D43</f>
        <v>0</v>
      </c>
      <c r="G43" s="46"/>
      <c r="H43" s="46"/>
      <c r="I43" s="46"/>
      <c r="J43" s="48"/>
      <c r="K43" s="48"/>
      <c r="L43" s="49"/>
    </row>
    <row r="44" hidden="1">
      <c r="A44" s="42"/>
      <c r="B44" s="43"/>
      <c r="C44" s="44" t="s">
        <v>42</v>
      </c>
      <c r="D44" s="46"/>
      <c r="E44" s="46"/>
      <c r="F44" s="46">
        <f t="shared" si="6"/>
        <v>0</v>
      </c>
      <c r="G44" s="46"/>
      <c r="H44" s="46"/>
      <c r="I44" s="46"/>
      <c r="J44" s="48"/>
      <c r="K44" s="48"/>
      <c r="L44" s="49"/>
    </row>
    <row r="45" hidden="1">
      <c r="A45" s="42"/>
      <c r="B45" s="43"/>
      <c r="C45" s="44" t="s">
        <v>43</v>
      </c>
      <c r="D45" s="46"/>
      <c r="E45" s="46"/>
      <c r="F45" s="46">
        <f t="shared" si="6"/>
        <v>0</v>
      </c>
      <c r="G45" s="46"/>
      <c r="H45" s="46"/>
      <c r="I45" s="46"/>
      <c r="J45" s="48"/>
      <c r="K45" s="48"/>
      <c r="L45" s="49"/>
    </row>
    <row r="46" hidden="1">
      <c r="A46" s="42"/>
      <c r="B46" s="43"/>
      <c r="C46" s="44" t="s">
        <v>26</v>
      </c>
      <c r="D46" s="46"/>
      <c r="E46" s="46"/>
      <c r="F46" s="46">
        <f t="shared" si="6"/>
        <v>0</v>
      </c>
      <c r="G46" s="46"/>
      <c r="H46" s="46"/>
      <c r="I46" s="46"/>
      <c r="J46" s="48"/>
      <c r="K46" s="48"/>
      <c r="L46" s="49"/>
    </row>
    <row r="47" hidden="1">
      <c r="A47" s="42"/>
      <c r="B47" s="43"/>
      <c r="C47" s="44" t="s">
        <v>31</v>
      </c>
      <c r="D47" s="45">
        <v>149356.0</v>
      </c>
      <c r="E47" s="46"/>
      <c r="F47" s="46">
        <f t="shared" si="6"/>
        <v>-149356</v>
      </c>
      <c r="G47" s="46"/>
      <c r="H47" s="46"/>
      <c r="I47" s="46"/>
      <c r="J47" s="48"/>
      <c r="K47" s="48"/>
      <c r="L47" s="49"/>
    </row>
    <row r="48" hidden="1">
      <c r="A48" s="42"/>
      <c r="B48" s="42"/>
      <c r="C48" s="44" t="s">
        <v>44</v>
      </c>
      <c r="D48" s="46"/>
      <c r="E48" s="46"/>
      <c r="F48" s="46">
        <f t="shared" si="6"/>
        <v>0</v>
      </c>
      <c r="G48" s="46"/>
      <c r="H48" s="46"/>
      <c r="I48" s="46"/>
      <c r="J48" s="48"/>
      <c r="K48" s="48"/>
      <c r="L48" s="49"/>
    </row>
    <row r="49" hidden="1">
      <c r="A49" s="42"/>
      <c r="B49" s="42"/>
      <c r="C49" s="44" t="s">
        <v>35</v>
      </c>
      <c r="D49" s="46"/>
      <c r="E49" s="46"/>
      <c r="F49" s="46">
        <f t="shared" si="6"/>
        <v>0</v>
      </c>
      <c r="G49" s="46"/>
      <c r="H49" s="46"/>
      <c r="I49" s="46"/>
      <c r="J49" s="48"/>
      <c r="K49" s="48"/>
      <c r="L49" s="49"/>
    </row>
    <row r="50">
      <c r="A50" s="42"/>
      <c r="B50" s="42"/>
      <c r="C50" s="52" t="s">
        <v>69</v>
      </c>
      <c r="D50" s="107">
        <v>777.79</v>
      </c>
      <c r="E50" s="107">
        <v>777.79</v>
      </c>
      <c r="F50" s="46">
        <f t="shared" si="6"/>
        <v>0</v>
      </c>
      <c r="G50" s="46"/>
      <c r="H50" s="46"/>
      <c r="I50" s="46"/>
      <c r="J50" s="48"/>
      <c r="K50" s="48"/>
      <c r="L50" s="49"/>
    </row>
    <row r="51">
      <c r="A51" s="42"/>
      <c r="B51" s="42"/>
      <c r="C51" s="52" t="s">
        <v>70</v>
      </c>
      <c r="D51" s="108">
        <v>1253.9</v>
      </c>
      <c r="E51" s="108">
        <v>1253.9</v>
      </c>
      <c r="F51" s="46">
        <f t="shared" si="6"/>
        <v>0</v>
      </c>
      <c r="G51" s="46"/>
      <c r="H51" s="46"/>
      <c r="I51" s="46"/>
      <c r="J51" s="48"/>
      <c r="K51" s="48"/>
      <c r="L51" s="49"/>
    </row>
    <row r="52">
      <c r="A52" s="42"/>
      <c r="B52" s="42"/>
      <c r="C52" s="52" t="s">
        <v>71</v>
      </c>
      <c r="D52" s="107">
        <v>-29640.62</v>
      </c>
      <c r="E52" s="107">
        <v>-29640.62</v>
      </c>
      <c r="F52" s="46">
        <f t="shared" si="6"/>
        <v>0</v>
      </c>
      <c r="G52" s="46"/>
      <c r="H52" s="46"/>
      <c r="I52" s="46"/>
      <c r="J52" s="48"/>
      <c r="K52" s="48"/>
      <c r="L52" s="49"/>
    </row>
    <row r="53">
      <c r="A53" s="42"/>
      <c r="B53" s="42"/>
      <c r="C53" s="52" t="s">
        <v>72</v>
      </c>
      <c r="D53" s="109">
        <v>3957.88</v>
      </c>
      <c r="E53" s="109">
        <v>3957.88</v>
      </c>
      <c r="F53" s="46"/>
      <c r="G53" s="46"/>
      <c r="H53" s="46"/>
      <c r="I53" s="46"/>
      <c r="J53" s="48"/>
      <c r="K53" s="48"/>
      <c r="L53" s="49"/>
    </row>
    <row r="54">
      <c r="A54" s="42"/>
      <c r="B54" s="42"/>
      <c r="C54" s="52" t="s">
        <v>73</v>
      </c>
      <c r="D54" s="109">
        <v>1465.62</v>
      </c>
      <c r="E54" s="109">
        <v>1465.62</v>
      </c>
      <c r="F54" s="46"/>
      <c r="G54" s="46"/>
      <c r="H54" s="46"/>
      <c r="I54" s="46"/>
      <c r="J54" s="48"/>
      <c r="K54" s="48"/>
      <c r="L54" s="49"/>
    </row>
    <row r="55">
      <c r="A55" s="42"/>
      <c r="B55" s="42"/>
      <c r="C55" s="52" t="s">
        <v>74</v>
      </c>
      <c r="D55" s="110">
        <v>279.57</v>
      </c>
      <c r="E55" s="110">
        <v>279.57</v>
      </c>
      <c r="F55" s="46"/>
      <c r="G55" s="46"/>
      <c r="H55" s="46"/>
      <c r="I55" s="46"/>
      <c r="J55" s="48"/>
      <c r="K55" s="48"/>
      <c r="L55" s="49"/>
    </row>
    <row r="56">
      <c r="A56" s="42"/>
      <c r="B56" s="42"/>
      <c r="C56" s="52" t="s">
        <v>78</v>
      </c>
      <c r="D56" s="110">
        <v>1000.0</v>
      </c>
      <c r="E56" s="110"/>
      <c r="F56" s="46"/>
      <c r="G56" s="46"/>
      <c r="H56" s="46"/>
      <c r="I56" s="46"/>
      <c r="J56" s="48"/>
      <c r="K56" s="48"/>
      <c r="L56" s="49"/>
    </row>
    <row r="57">
      <c r="A57" s="42"/>
      <c r="B57" s="42"/>
      <c r="C57" s="52" t="s">
        <v>79</v>
      </c>
      <c r="D57" s="110">
        <v>1982.0</v>
      </c>
      <c r="E57" s="110"/>
      <c r="F57" s="46"/>
      <c r="G57" s="46"/>
      <c r="H57" s="46"/>
      <c r="I57" s="46"/>
      <c r="J57" s="48"/>
      <c r="K57" s="48"/>
      <c r="L57" s="49"/>
    </row>
    <row r="58">
      <c r="A58" s="53"/>
      <c r="B58" s="53"/>
      <c r="C58" s="54" t="s">
        <v>46</v>
      </c>
      <c r="D58" s="55">
        <f>SUM(D43:D57)</f>
        <v>130432.14</v>
      </c>
      <c r="E58" s="55">
        <f>SUM(E43:E55)</f>
        <v>-21905.86</v>
      </c>
      <c r="F58" s="55">
        <f>SUM(F43:F50)</f>
        <v>-149356</v>
      </c>
      <c r="G58" s="64"/>
      <c r="H58" s="55"/>
      <c r="I58" s="55"/>
      <c r="J58" s="55"/>
      <c r="K58" s="56"/>
      <c r="L58" s="53"/>
    </row>
    <row r="59" hidden="1">
      <c r="A59" s="53"/>
      <c r="B59" s="53"/>
      <c r="C59" s="54" t="s">
        <v>46</v>
      </c>
      <c r="D59" s="55">
        <f>SUM(D58)</f>
        <v>130432.14</v>
      </c>
      <c r="E59" s="55">
        <f>SUM(E44:E52)</f>
        <v>-27608.93</v>
      </c>
      <c r="F59" s="55">
        <f>SUM(F43:F50)</f>
        <v>-149356</v>
      </c>
      <c r="G59" s="64">
        <f>E59/D59</f>
        <v>-0.2116727518</v>
      </c>
      <c r="H59" s="55"/>
      <c r="I59" s="55"/>
      <c r="J59" s="55"/>
      <c r="K59" s="56"/>
      <c r="L59" s="53"/>
    </row>
    <row r="60" ht="16.5" customHeight="1">
      <c r="A60" s="65"/>
      <c r="B60" s="66"/>
      <c r="C60" s="67"/>
      <c r="D60" s="68"/>
      <c r="E60" s="69"/>
      <c r="F60" s="69"/>
      <c r="G60" s="111"/>
      <c r="H60" s="69"/>
      <c r="I60" s="69"/>
      <c r="J60" s="70"/>
      <c r="K60" s="70"/>
      <c r="L60" s="71"/>
    </row>
    <row r="61" ht="22.5" customHeight="1">
      <c r="A61" s="44">
        <v>3.0</v>
      </c>
      <c r="B61" s="44" t="s">
        <v>47</v>
      </c>
      <c r="C61" s="44"/>
      <c r="D61" s="46"/>
      <c r="E61" s="46"/>
      <c r="F61" s="46"/>
      <c r="G61" s="46"/>
      <c r="H61" s="46"/>
      <c r="I61" s="46"/>
      <c r="J61" s="48"/>
      <c r="K61" s="48"/>
      <c r="L61" s="49"/>
    </row>
    <row r="62" hidden="1">
      <c r="A62" s="42"/>
      <c r="B62" s="43"/>
      <c r="C62" s="52" t="s">
        <v>48</v>
      </c>
      <c r="D62" s="45">
        <v>245769.0</v>
      </c>
      <c r="E62" s="46"/>
      <c r="F62" s="46">
        <f t="shared" ref="F62:F65" si="7">E62-D62</f>
        <v>-245769</v>
      </c>
      <c r="G62" s="46"/>
      <c r="H62" s="46"/>
      <c r="I62" s="46"/>
      <c r="J62" s="48"/>
      <c r="K62" s="48"/>
      <c r="L62" s="49"/>
    </row>
    <row r="63" hidden="1">
      <c r="A63" s="42"/>
      <c r="B63" s="43"/>
      <c r="C63" s="52" t="s">
        <v>49</v>
      </c>
      <c r="D63" s="45">
        <f>79985+12865</f>
        <v>92850</v>
      </c>
      <c r="E63" s="46"/>
      <c r="F63" s="46">
        <f t="shared" si="7"/>
        <v>-92850</v>
      </c>
      <c r="G63" s="46"/>
      <c r="H63" s="46"/>
      <c r="I63" s="46"/>
      <c r="J63" s="48"/>
      <c r="K63" s="48"/>
      <c r="L63" s="49"/>
    </row>
    <row r="64" hidden="1">
      <c r="A64" s="42"/>
      <c r="B64" s="43"/>
      <c r="C64" s="52" t="s">
        <v>50</v>
      </c>
      <c r="D64" s="45">
        <v>19000.0</v>
      </c>
      <c r="E64" s="46"/>
      <c r="F64" s="46">
        <f t="shared" si="7"/>
        <v>-19000</v>
      </c>
      <c r="G64" s="46"/>
      <c r="H64" s="46"/>
      <c r="I64" s="46"/>
      <c r="J64" s="48"/>
      <c r="K64" s="48"/>
      <c r="L64" s="49"/>
    </row>
    <row r="65" hidden="1">
      <c r="A65" s="42"/>
      <c r="B65" s="43"/>
      <c r="C65" s="44" t="s">
        <v>36</v>
      </c>
      <c r="D65" s="45"/>
      <c r="E65" s="46"/>
      <c r="F65" s="46">
        <f t="shared" si="7"/>
        <v>0</v>
      </c>
      <c r="G65" s="46"/>
      <c r="H65" s="46"/>
      <c r="I65" s="46"/>
      <c r="J65" s="48"/>
      <c r="K65" s="48"/>
      <c r="L65" s="49"/>
    </row>
    <row r="66">
      <c r="A66" s="53"/>
      <c r="B66" s="53"/>
      <c r="C66" s="54" t="s">
        <v>51</v>
      </c>
      <c r="D66" s="55">
        <f>SUM(D62:D65)</f>
        <v>357619</v>
      </c>
      <c r="E66" s="112">
        <f t="shared" ref="E66:F66" si="8">SUM(E63:E65)</f>
        <v>0</v>
      </c>
      <c r="F66" s="55">
        <f t="shared" si="8"/>
        <v>-111850</v>
      </c>
      <c r="G66" s="64">
        <f>E66/D66</f>
        <v>0</v>
      </c>
      <c r="H66" s="55"/>
      <c r="I66" s="55"/>
      <c r="J66" s="55"/>
      <c r="K66" s="56"/>
      <c r="L66" s="53"/>
    </row>
    <row r="67">
      <c r="A67" s="72"/>
    </row>
    <row r="68" ht="23.25" customHeight="1">
      <c r="A68" s="73">
        <v>4.0</v>
      </c>
      <c r="B68" s="73" t="s">
        <v>36</v>
      </c>
      <c r="C68" s="73"/>
      <c r="D68" s="74"/>
      <c r="E68" s="74"/>
      <c r="F68" s="74"/>
      <c r="G68" s="113"/>
      <c r="H68" s="75"/>
      <c r="I68" s="75"/>
      <c r="J68" s="75"/>
      <c r="K68" s="75"/>
      <c r="L68" s="75"/>
    </row>
    <row r="69">
      <c r="A69" s="75"/>
      <c r="B69" s="76"/>
      <c r="C69" s="73" t="s">
        <v>52</v>
      </c>
      <c r="D69" s="77">
        <v>17600.0</v>
      </c>
      <c r="E69" s="74"/>
      <c r="F69" s="74">
        <f t="shared" ref="F69:F76" si="9">E69-D69</f>
        <v>-17600</v>
      </c>
      <c r="G69" s="113"/>
      <c r="H69" s="75"/>
      <c r="I69" s="75"/>
      <c r="J69" s="75"/>
      <c r="K69" s="75"/>
      <c r="L69" s="75"/>
    </row>
    <row r="70">
      <c r="A70" s="75"/>
      <c r="B70" s="76"/>
      <c r="C70" s="73" t="s">
        <v>53</v>
      </c>
      <c r="D70" s="77">
        <v>2500.0</v>
      </c>
      <c r="E70" s="74"/>
      <c r="F70" s="74">
        <f t="shared" si="9"/>
        <v>-2500</v>
      </c>
      <c r="G70" s="113"/>
      <c r="H70" s="75"/>
      <c r="I70" s="75"/>
      <c r="J70" s="75"/>
      <c r="K70" s="75"/>
      <c r="L70" s="75"/>
    </row>
    <row r="71">
      <c r="A71" s="75"/>
      <c r="B71" s="76"/>
      <c r="C71" s="73" t="s">
        <v>54</v>
      </c>
      <c r="D71" s="74"/>
      <c r="E71" s="74"/>
      <c r="F71" s="74">
        <f t="shared" si="9"/>
        <v>0</v>
      </c>
      <c r="G71" s="113"/>
      <c r="H71" s="75"/>
      <c r="I71" s="75"/>
      <c r="J71" s="75"/>
      <c r="K71" s="75"/>
      <c r="L71" s="75"/>
    </row>
    <row r="72">
      <c r="A72" s="75"/>
      <c r="B72" s="76"/>
      <c r="C72" s="73" t="s">
        <v>55</v>
      </c>
      <c r="D72" s="74"/>
      <c r="E72" s="74"/>
      <c r="F72" s="74">
        <f t="shared" si="9"/>
        <v>0</v>
      </c>
      <c r="G72" s="113"/>
      <c r="H72" s="75"/>
      <c r="I72" s="75"/>
      <c r="J72" s="75"/>
      <c r="K72" s="75"/>
      <c r="L72" s="75"/>
    </row>
    <row r="73">
      <c r="A73" s="75"/>
      <c r="B73" s="76"/>
      <c r="C73" s="73" t="s">
        <v>56</v>
      </c>
      <c r="D73" s="77">
        <v>25130.0</v>
      </c>
      <c r="E73" s="74"/>
      <c r="F73" s="74">
        <f t="shared" si="9"/>
        <v>-25130</v>
      </c>
      <c r="G73" s="113"/>
      <c r="H73" s="75"/>
      <c r="I73" s="75"/>
      <c r="J73" s="75"/>
      <c r="K73" s="75"/>
      <c r="L73" s="75"/>
    </row>
    <row r="74">
      <c r="A74" s="75"/>
      <c r="B74" s="76"/>
      <c r="C74" s="73" t="s">
        <v>57</v>
      </c>
      <c r="D74" s="77"/>
      <c r="E74" s="74"/>
      <c r="F74" s="74">
        <f t="shared" si="9"/>
        <v>0</v>
      </c>
      <c r="G74" s="113"/>
      <c r="H74" s="75"/>
      <c r="I74" s="75"/>
      <c r="J74" s="75"/>
      <c r="K74" s="75"/>
      <c r="L74" s="75"/>
    </row>
    <row r="75">
      <c r="A75" s="75"/>
      <c r="B75" s="76"/>
      <c r="C75" s="73" t="s">
        <v>80</v>
      </c>
      <c r="D75" s="77">
        <v>20000.0</v>
      </c>
      <c r="E75" s="74"/>
      <c r="F75" s="74">
        <f t="shared" si="9"/>
        <v>-20000</v>
      </c>
      <c r="G75" s="113"/>
      <c r="H75" s="75"/>
      <c r="I75" s="75"/>
      <c r="J75" s="75"/>
      <c r="K75" s="75"/>
      <c r="L75" s="75"/>
    </row>
    <row r="76">
      <c r="A76" s="75"/>
      <c r="B76" s="76"/>
      <c r="C76" s="73" t="s">
        <v>59</v>
      </c>
      <c r="D76" s="74"/>
      <c r="E76" s="74"/>
      <c r="F76" s="74">
        <f t="shared" si="9"/>
        <v>0</v>
      </c>
      <c r="G76" s="113"/>
      <c r="H76" s="75"/>
      <c r="I76" s="75"/>
      <c r="J76" s="75"/>
      <c r="K76" s="75"/>
      <c r="L76" s="75"/>
    </row>
    <row r="77">
      <c r="A77" s="75"/>
      <c r="B77" s="76"/>
      <c r="C77" s="78" t="s">
        <v>81</v>
      </c>
      <c r="D77" s="77">
        <v>-1046.13</v>
      </c>
      <c r="E77" s="74"/>
      <c r="F77" s="114"/>
      <c r="G77" s="113"/>
      <c r="H77" s="75"/>
      <c r="I77" s="75"/>
      <c r="J77" s="75"/>
      <c r="K77" s="75"/>
      <c r="L77" s="75"/>
    </row>
    <row r="78">
      <c r="A78" s="80"/>
      <c r="B78" s="80"/>
      <c r="C78" s="81" t="s">
        <v>60</v>
      </c>
      <c r="D78" s="82">
        <f>SUM(D69:D77)</f>
        <v>64183.87</v>
      </c>
      <c r="E78" s="82">
        <f t="shared" ref="E78:F78" si="10">SUM(E70:E72)</f>
        <v>0</v>
      </c>
      <c r="F78" s="74">
        <f t="shared" si="10"/>
        <v>-2500</v>
      </c>
      <c r="G78" s="115"/>
      <c r="H78" s="80"/>
      <c r="I78" s="80"/>
      <c r="J78" s="80"/>
      <c r="K78" s="80"/>
      <c r="L78" s="80"/>
    </row>
    <row r="79">
      <c r="A79" s="72"/>
    </row>
    <row r="80">
      <c r="A80" s="72"/>
      <c r="B80" s="72"/>
      <c r="C80" s="83"/>
      <c r="D80" s="84" t="s">
        <v>61</v>
      </c>
      <c r="E80" s="85" t="s">
        <v>62</v>
      </c>
      <c r="F80" s="85" t="s">
        <v>63</v>
      </c>
      <c r="G80" s="116" t="s">
        <v>64</v>
      </c>
      <c r="H80" s="86" t="s">
        <v>82</v>
      </c>
      <c r="I80" s="72"/>
      <c r="J80" s="72"/>
      <c r="K80" s="72"/>
      <c r="L80" s="72"/>
    </row>
    <row r="81" ht="42.0" customHeight="1">
      <c r="A81" s="87"/>
      <c r="B81" s="88" t="s">
        <v>65</v>
      </c>
      <c r="C81" s="89"/>
      <c r="D81" s="117">
        <f>D78+D66+D59+D39</f>
        <v>818046.21</v>
      </c>
      <c r="E81" s="117">
        <v>979267.6</v>
      </c>
      <c r="F81" s="117">
        <f>E81 - D81</f>
        <v>161221.39</v>
      </c>
      <c r="G81" s="118">
        <f>F81/E81</f>
        <v>0.1646346617</v>
      </c>
      <c r="H81" s="119"/>
      <c r="I81" s="118">
        <f>H81/D81</f>
        <v>0</v>
      </c>
      <c r="J81" s="92"/>
      <c r="K81" s="92"/>
      <c r="L81" s="87"/>
    </row>
  </sheetData>
  <mergeCells count="6">
    <mergeCell ref="B2:C2"/>
    <mergeCell ref="D2:K2"/>
    <mergeCell ref="C3:D3"/>
    <mergeCell ref="A67:L67"/>
    <mergeCell ref="A79:L79"/>
    <mergeCell ref="B81:C81"/>
  </mergeCells>
  <conditionalFormatting sqref="J7:K7 J40:K40 J60:K60 J81:K81">
    <cfRule type="expression" dxfId="4" priority="1">
      <formula>AND(OR($D7="In progress",$D7="Not started" ),OR($J7=today(), $J7=today()+1))</formula>
    </cfRule>
  </conditionalFormatting>
  <conditionalFormatting sqref="D7 D40 D60 D81:F81">
    <cfRule type="cellIs" dxfId="5" priority="2" operator="equal">
      <formula>"Not started"</formula>
    </cfRule>
  </conditionalFormatting>
  <conditionalFormatting sqref="D7 D40 D60 D81:F81">
    <cfRule type="cellIs" dxfId="6" priority="3" operator="equal">
      <formula>"In progress"</formula>
    </cfRule>
  </conditionalFormatting>
  <conditionalFormatting sqref="A7:L7 A40:L40 A60:L60 A81:L81">
    <cfRule type="expression" dxfId="7" priority="4">
      <formula>RegExMatch(($D7),"Done")</formula>
    </cfRule>
  </conditionalFormatting>
  <conditionalFormatting sqref="E7:I7 E40:I40 D60:J60 D81:J81">
    <cfRule type="timePeriod" dxfId="8" priority="5" timePeriod="today"/>
  </conditionalFormatting>
  <conditionalFormatting sqref="E7:I7 E40:I40 D60:J60 D81:J81">
    <cfRule type="expression" dxfId="4" priority="6">
      <formula>AND($E7&lt;TODAY(), OR($D7="In progress", $D7="Not started"))</formula>
    </cfRule>
  </conditionalFormatting>
  <conditionalFormatting sqref="A5:L8 A29:L40 C50:E57 A59:C60 F59:L60 D60:E60 A66:C81 D66:F68 G66:L81 F77:F81 D78:E81">
    <cfRule type="expression" dxfId="7" priority="7">
      <formula>RegExMatch((#REF!),"Done")</formula>
    </cfRule>
  </conditionalFormatting>
  <printOptions gridLines="1" horizontalCentered="1"/>
  <pageMargins bottom="0.75" footer="0.0" header="0.0" left="0.25" right="0.25" top="0.75"/>
  <pageSetup fitToHeight="0" cellComments="atEnd" orientation="landscape" pageOrder="overThenDown"/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5"/>
    <col customWidth="1" min="2" max="2" width="19.0"/>
    <col customWidth="1" min="3" max="3" width="36.38"/>
    <col customWidth="1" min="4" max="4" width="15.25"/>
    <col customWidth="1" min="5" max="5" width="13.25"/>
    <col customWidth="1" min="6" max="6" width="11.0"/>
    <col customWidth="1" min="7" max="7" width="7.38"/>
    <col customWidth="1" min="8" max="9" width="14.13"/>
    <col customWidth="1" min="10" max="10" width="9.25"/>
    <col customWidth="1" min="11" max="11" width="12.75"/>
    <col customWidth="1" min="12" max="12" width="2.5"/>
  </cols>
  <sheetData>
    <row r="1" ht="12.0" customHeight="1">
      <c r="A1" s="1"/>
      <c r="B1" s="1"/>
      <c r="C1" s="1"/>
      <c r="D1" s="2"/>
      <c r="E1" s="2"/>
      <c r="F1" s="2"/>
      <c r="G1" s="2"/>
      <c r="H1" s="2"/>
      <c r="I1" s="2"/>
      <c r="J1" s="3"/>
      <c r="K1" s="3"/>
      <c r="L1" s="2"/>
    </row>
    <row r="2" ht="44.25" customHeight="1">
      <c r="A2" s="1"/>
      <c r="B2" s="4" t="s">
        <v>83</v>
      </c>
      <c r="C2" s="5"/>
      <c r="D2" s="6"/>
      <c r="E2" s="7"/>
      <c r="F2" s="7"/>
      <c r="G2" s="7"/>
      <c r="H2" s="7"/>
      <c r="I2" s="7"/>
      <c r="J2" s="7"/>
      <c r="K2" s="5"/>
      <c r="L2" s="8"/>
    </row>
    <row r="3" ht="36.75" customHeight="1">
      <c r="A3" s="9"/>
      <c r="B3" s="10" t="s">
        <v>1</v>
      </c>
      <c r="C3" s="11" t="s">
        <v>2</v>
      </c>
      <c r="D3" s="12"/>
      <c r="E3" s="13" t="s">
        <v>3</v>
      </c>
      <c r="F3" s="14">
        <v>163.0</v>
      </c>
      <c r="G3" s="15"/>
      <c r="H3" s="15"/>
      <c r="I3" s="15"/>
      <c r="J3" s="15"/>
      <c r="K3" s="15"/>
      <c r="L3" s="16"/>
    </row>
    <row r="4" ht="36.75" customHeight="1">
      <c r="A4" s="9"/>
      <c r="B4" s="10" t="s">
        <v>84</v>
      </c>
      <c r="C4" s="17">
        <v>-6720.01</v>
      </c>
      <c r="D4" s="13"/>
      <c r="E4" s="18" t="s">
        <v>85</v>
      </c>
      <c r="F4" s="19">
        <v>3.0</v>
      </c>
      <c r="G4" s="15"/>
      <c r="H4" s="15"/>
      <c r="I4" s="15" t="s">
        <v>6</v>
      </c>
      <c r="J4" s="20">
        <f>Today()</f>
        <v>46163</v>
      </c>
      <c r="K4" s="15"/>
      <c r="L4" s="16"/>
    </row>
    <row r="5" ht="13.5" customHeight="1">
      <c r="A5" s="9"/>
      <c r="B5" s="21"/>
      <c r="C5" s="21"/>
      <c r="D5" s="15"/>
      <c r="E5" s="22"/>
      <c r="F5" s="23"/>
      <c r="G5" s="23"/>
      <c r="H5" s="23"/>
      <c r="I5" s="24"/>
      <c r="J5" s="15"/>
      <c r="K5" s="15"/>
      <c r="L5" s="16"/>
    </row>
    <row r="6" ht="29.25" customHeight="1">
      <c r="A6" s="25"/>
      <c r="B6" s="25" t="s">
        <v>7</v>
      </c>
      <c r="C6" s="25" t="s">
        <v>8</v>
      </c>
      <c r="D6" s="26" t="s">
        <v>9</v>
      </c>
      <c r="E6" s="27" t="s">
        <v>10</v>
      </c>
      <c r="F6" s="28" t="s">
        <v>11</v>
      </c>
      <c r="G6" s="28" t="s">
        <v>12</v>
      </c>
      <c r="H6" s="28" t="s">
        <v>13</v>
      </c>
      <c r="I6" s="29" t="s">
        <v>14</v>
      </c>
      <c r="J6" s="30" t="s">
        <v>15</v>
      </c>
      <c r="K6" s="30" t="s">
        <v>16</v>
      </c>
      <c r="L6" s="25"/>
    </row>
    <row r="7" ht="1.5" customHeight="1">
      <c r="A7" s="31"/>
      <c r="B7" s="32"/>
      <c r="C7" s="33"/>
      <c r="D7" s="34"/>
      <c r="E7" s="35"/>
      <c r="F7" s="36"/>
      <c r="G7" s="36"/>
      <c r="H7" s="36"/>
      <c r="I7" s="35"/>
      <c r="J7" s="37"/>
      <c r="K7" s="37"/>
      <c r="L7" s="35"/>
    </row>
    <row r="8" ht="22.5" customHeight="1">
      <c r="A8" s="38">
        <v>1.0</v>
      </c>
      <c r="B8" s="38" t="s">
        <v>17</v>
      </c>
      <c r="C8" s="38"/>
      <c r="D8" s="39"/>
      <c r="E8" s="39"/>
      <c r="F8" s="39"/>
      <c r="G8" s="39"/>
      <c r="H8" s="39"/>
      <c r="I8" s="39"/>
      <c r="J8" s="40"/>
      <c r="K8" s="40"/>
      <c r="L8" s="41"/>
    </row>
    <row r="9" hidden="1">
      <c r="A9" s="42"/>
      <c r="B9" s="43"/>
      <c r="C9" s="44" t="s">
        <v>18</v>
      </c>
      <c r="D9" s="46">
        <v>0.0</v>
      </c>
      <c r="E9" s="46"/>
      <c r="F9" s="46">
        <f t="shared" ref="F9:F31" si="1">E9-D9</f>
        <v>0</v>
      </c>
      <c r="G9" s="46"/>
      <c r="H9" s="46"/>
      <c r="I9" s="46">
        <f t="shared" ref="I9:I22" si="2">D9/75</f>
        <v>0</v>
      </c>
      <c r="J9" s="48"/>
      <c r="K9" s="48"/>
      <c r="L9" s="49"/>
    </row>
    <row r="10" hidden="1">
      <c r="A10" s="42"/>
      <c r="B10" s="43"/>
      <c r="C10" s="44" t="s">
        <v>19</v>
      </c>
      <c r="D10" s="46">
        <v>0.0</v>
      </c>
      <c r="E10" s="46"/>
      <c r="F10" s="46">
        <f t="shared" si="1"/>
        <v>0</v>
      </c>
      <c r="G10" s="46"/>
      <c r="H10" s="46"/>
      <c r="I10" s="46">
        <f t="shared" si="2"/>
        <v>0</v>
      </c>
      <c r="J10" s="48"/>
      <c r="K10" s="48"/>
      <c r="L10" s="49"/>
    </row>
    <row r="11" hidden="1">
      <c r="A11" s="42"/>
      <c r="B11" s="43"/>
      <c r="C11" s="44" t="s">
        <v>20</v>
      </c>
      <c r="D11" s="46">
        <v>0.0</v>
      </c>
      <c r="E11" s="46"/>
      <c r="F11" s="46">
        <f t="shared" si="1"/>
        <v>0</v>
      </c>
      <c r="G11" s="46"/>
      <c r="H11" s="46"/>
      <c r="I11" s="46">
        <f t="shared" si="2"/>
        <v>0</v>
      </c>
      <c r="J11" s="48"/>
      <c r="K11" s="48"/>
      <c r="L11" s="49"/>
    </row>
    <row r="12" hidden="1">
      <c r="A12" s="42"/>
      <c r="B12" s="42"/>
      <c r="C12" s="44" t="s">
        <v>21</v>
      </c>
      <c r="D12" s="46">
        <v>0.0</v>
      </c>
      <c r="E12" s="46"/>
      <c r="F12" s="46">
        <f t="shared" si="1"/>
        <v>0</v>
      </c>
      <c r="G12" s="46"/>
      <c r="H12" s="46"/>
      <c r="I12" s="46">
        <f t="shared" si="2"/>
        <v>0</v>
      </c>
      <c r="J12" s="48"/>
      <c r="K12" s="48"/>
      <c r="L12" s="49"/>
    </row>
    <row r="13" hidden="1">
      <c r="A13" s="42"/>
      <c r="B13" s="42"/>
      <c r="C13" s="44" t="s">
        <v>22</v>
      </c>
      <c r="D13" s="46">
        <v>0.0</v>
      </c>
      <c r="E13" s="46"/>
      <c r="F13" s="46">
        <f t="shared" si="1"/>
        <v>0</v>
      </c>
      <c r="G13" s="46"/>
      <c r="H13" s="46"/>
      <c r="I13" s="46">
        <f t="shared" si="2"/>
        <v>0</v>
      </c>
      <c r="J13" s="48"/>
      <c r="K13" s="48"/>
      <c r="L13" s="49"/>
    </row>
    <row r="14" hidden="1">
      <c r="A14" s="42"/>
      <c r="B14" s="42"/>
      <c r="C14" s="44" t="s">
        <v>23</v>
      </c>
      <c r="D14" s="46">
        <v>0.0</v>
      </c>
      <c r="E14" s="46"/>
      <c r="F14" s="46">
        <f t="shared" si="1"/>
        <v>0</v>
      </c>
      <c r="G14" s="46"/>
      <c r="H14" s="46"/>
      <c r="I14" s="46">
        <f t="shared" si="2"/>
        <v>0</v>
      </c>
      <c r="J14" s="48"/>
      <c r="K14" s="48"/>
      <c r="L14" s="49"/>
    </row>
    <row r="15" hidden="1">
      <c r="A15" s="42"/>
      <c r="B15" s="42"/>
      <c r="C15" s="44" t="s">
        <v>24</v>
      </c>
      <c r="D15" s="46">
        <v>0.0</v>
      </c>
      <c r="E15" s="46"/>
      <c r="F15" s="46">
        <f t="shared" si="1"/>
        <v>0</v>
      </c>
      <c r="G15" s="46"/>
      <c r="H15" s="46"/>
      <c r="I15" s="46">
        <f t="shared" si="2"/>
        <v>0</v>
      </c>
      <c r="J15" s="48"/>
      <c r="K15" s="48"/>
      <c r="L15" s="49"/>
    </row>
    <row r="16" hidden="1">
      <c r="A16" s="42"/>
      <c r="B16" s="42"/>
      <c r="C16" s="44" t="s">
        <v>25</v>
      </c>
      <c r="D16" s="45">
        <v>0.0</v>
      </c>
      <c r="E16" s="46"/>
      <c r="F16" s="46">
        <f t="shared" si="1"/>
        <v>0</v>
      </c>
      <c r="G16" s="46"/>
      <c r="H16" s="46"/>
      <c r="I16" s="46">
        <f t="shared" si="2"/>
        <v>0</v>
      </c>
      <c r="J16" s="48"/>
      <c r="K16" s="48"/>
      <c r="L16" s="49"/>
    </row>
    <row r="17" hidden="1">
      <c r="A17" s="42"/>
      <c r="B17" s="42"/>
      <c r="C17" s="44" t="s">
        <v>26</v>
      </c>
      <c r="D17" s="46">
        <v>0.0</v>
      </c>
      <c r="E17" s="46"/>
      <c r="F17" s="46">
        <f t="shared" si="1"/>
        <v>0</v>
      </c>
      <c r="G17" s="46"/>
      <c r="H17" s="46"/>
      <c r="I17" s="46">
        <f t="shared" si="2"/>
        <v>0</v>
      </c>
      <c r="J17" s="48"/>
      <c r="K17" s="48"/>
      <c r="L17" s="49"/>
    </row>
    <row r="18" hidden="1">
      <c r="A18" s="42"/>
      <c r="B18" s="42"/>
      <c r="C18" s="44" t="s">
        <v>27</v>
      </c>
      <c r="D18" s="46">
        <v>0.0</v>
      </c>
      <c r="E18" s="46"/>
      <c r="F18" s="46">
        <f t="shared" si="1"/>
        <v>0</v>
      </c>
      <c r="G18" s="46"/>
      <c r="H18" s="46"/>
      <c r="I18" s="46">
        <f t="shared" si="2"/>
        <v>0</v>
      </c>
      <c r="J18" s="48"/>
      <c r="K18" s="48"/>
      <c r="L18" s="49"/>
    </row>
    <row r="19" hidden="1">
      <c r="A19" s="42"/>
      <c r="B19" s="42"/>
      <c r="C19" s="44" t="s">
        <v>28</v>
      </c>
      <c r="D19" s="46">
        <v>0.0</v>
      </c>
      <c r="E19" s="46"/>
      <c r="F19" s="46">
        <f t="shared" si="1"/>
        <v>0</v>
      </c>
      <c r="G19" s="46"/>
      <c r="H19" s="46"/>
      <c r="I19" s="46">
        <f t="shared" si="2"/>
        <v>0</v>
      </c>
      <c r="J19" s="48"/>
      <c r="K19" s="48"/>
      <c r="L19" s="49"/>
    </row>
    <row r="20" hidden="1">
      <c r="A20" s="42"/>
      <c r="B20" s="42"/>
      <c r="C20" s="44" t="s">
        <v>29</v>
      </c>
      <c r="D20" s="46">
        <v>0.0</v>
      </c>
      <c r="E20" s="46"/>
      <c r="F20" s="46">
        <f t="shared" si="1"/>
        <v>0</v>
      </c>
      <c r="G20" s="46"/>
      <c r="H20" s="46"/>
      <c r="I20" s="46">
        <f t="shared" si="2"/>
        <v>0</v>
      </c>
      <c r="J20" s="48"/>
      <c r="K20" s="48"/>
      <c r="L20" s="49"/>
    </row>
    <row r="21" hidden="1">
      <c r="A21" s="42"/>
      <c r="B21" s="42"/>
      <c r="C21" s="44" t="s">
        <v>30</v>
      </c>
      <c r="D21" s="46">
        <v>0.0</v>
      </c>
      <c r="E21" s="46"/>
      <c r="F21" s="46">
        <f t="shared" si="1"/>
        <v>0</v>
      </c>
      <c r="G21" s="46"/>
      <c r="H21" s="46"/>
      <c r="I21" s="46">
        <f t="shared" si="2"/>
        <v>0</v>
      </c>
      <c r="J21" s="48"/>
      <c r="K21" s="48"/>
      <c r="L21" s="49"/>
    </row>
    <row r="22" hidden="1">
      <c r="A22" s="42"/>
      <c r="B22" s="42"/>
      <c r="C22" s="44" t="s">
        <v>31</v>
      </c>
      <c r="D22" s="46">
        <v>0.0</v>
      </c>
      <c r="E22" s="46"/>
      <c r="F22" s="46">
        <f t="shared" si="1"/>
        <v>0</v>
      </c>
      <c r="G22" s="46"/>
      <c r="H22" s="46"/>
      <c r="I22" s="46">
        <f t="shared" si="2"/>
        <v>0</v>
      </c>
      <c r="J22" s="48"/>
      <c r="K22" s="48"/>
      <c r="L22" s="49"/>
    </row>
    <row r="23" hidden="1">
      <c r="A23" s="42"/>
      <c r="B23" s="42"/>
      <c r="C23" s="44" t="s">
        <v>32</v>
      </c>
      <c r="D23" s="46">
        <v>0.0</v>
      </c>
      <c r="E23" s="46"/>
      <c r="F23" s="46">
        <f t="shared" si="1"/>
        <v>0</v>
      </c>
      <c r="G23" s="46"/>
      <c r="H23" s="46"/>
      <c r="I23" s="46">
        <f>D23/65</f>
        <v>0</v>
      </c>
      <c r="J23" s="48"/>
      <c r="K23" s="48"/>
      <c r="L23" s="49"/>
    </row>
    <row r="24" hidden="1">
      <c r="A24" s="42"/>
      <c r="B24" s="42"/>
      <c r="C24" s="44" t="s">
        <v>68</v>
      </c>
      <c r="D24" s="46">
        <v>0.0</v>
      </c>
      <c r="E24" s="46"/>
      <c r="F24" s="46">
        <f t="shared" si="1"/>
        <v>0</v>
      </c>
      <c r="G24" s="46"/>
      <c r="H24" s="46"/>
      <c r="I24" s="46">
        <f t="shared" ref="I24:I28" si="3">D24/75</f>
        <v>0</v>
      </c>
      <c r="J24" s="48"/>
      <c r="K24" s="48"/>
      <c r="L24" s="49"/>
    </row>
    <row r="25" hidden="1">
      <c r="A25" s="42"/>
      <c r="B25" s="42"/>
      <c r="C25" s="44" t="s">
        <v>34</v>
      </c>
      <c r="D25" s="46">
        <v>0.0</v>
      </c>
      <c r="E25" s="46"/>
      <c r="F25" s="46">
        <f t="shared" si="1"/>
        <v>0</v>
      </c>
      <c r="G25" s="46"/>
      <c r="H25" s="46"/>
      <c r="I25" s="46">
        <f t="shared" si="3"/>
        <v>0</v>
      </c>
      <c r="J25" s="48"/>
      <c r="K25" s="48"/>
      <c r="L25" s="49"/>
    </row>
    <row r="26" hidden="1">
      <c r="A26" s="42"/>
      <c r="B26" s="42"/>
      <c r="C26" s="44" t="s">
        <v>35</v>
      </c>
      <c r="D26" s="45">
        <v>0.0</v>
      </c>
      <c r="E26" s="46"/>
      <c r="F26" s="46">
        <f t="shared" si="1"/>
        <v>0</v>
      </c>
      <c r="G26" s="46"/>
      <c r="H26" s="46"/>
      <c r="I26" s="46">
        <f t="shared" si="3"/>
        <v>0</v>
      </c>
      <c r="J26" s="48"/>
      <c r="K26" s="48"/>
      <c r="L26" s="49"/>
    </row>
    <row r="27" hidden="1">
      <c r="A27" s="42"/>
      <c r="B27" s="42"/>
      <c r="C27" s="44" t="s">
        <v>36</v>
      </c>
      <c r="D27" s="46">
        <v>0.0</v>
      </c>
      <c r="E27" s="46"/>
      <c r="F27" s="46">
        <f t="shared" si="1"/>
        <v>0</v>
      </c>
      <c r="G27" s="46"/>
      <c r="H27" s="46"/>
      <c r="I27" s="46">
        <f t="shared" si="3"/>
        <v>0</v>
      </c>
      <c r="J27" s="48"/>
      <c r="K27" s="48"/>
      <c r="L27" s="42"/>
    </row>
    <row r="28" hidden="1">
      <c r="A28" s="42"/>
      <c r="B28" s="42"/>
      <c r="C28" s="44" t="s">
        <v>37</v>
      </c>
      <c r="D28" s="46">
        <v>0.0</v>
      </c>
      <c r="E28" s="46"/>
      <c r="F28" s="46">
        <f t="shared" si="1"/>
        <v>0</v>
      </c>
      <c r="G28" s="46"/>
      <c r="H28" s="46"/>
      <c r="I28" s="46">
        <f t="shared" si="3"/>
        <v>0</v>
      </c>
      <c r="J28" s="48"/>
      <c r="K28" s="48"/>
      <c r="L28" s="42"/>
    </row>
    <row r="29">
      <c r="A29" s="42"/>
      <c r="B29" s="42"/>
      <c r="C29" s="52" t="s">
        <v>69</v>
      </c>
      <c r="D29" s="45">
        <v>560.0</v>
      </c>
      <c r="E29" s="45">
        <v>560.0</v>
      </c>
      <c r="F29" s="46">
        <f t="shared" si="1"/>
        <v>0</v>
      </c>
      <c r="G29" s="46"/>
      <c r="H29" s="46"/>
      <c r="I29" s="46"/>
      <c r="J29" s="48"/>
      <c r="K29" s="48"/>
      <c r="L29" s="42"/>
    </row>
    <row r="30">
      <c r="A30" s="42"/>
      <c r="B30" s="42"/>
      <c r="C30" s="52" t="s">
        <v>70</v>
      </c>
      <c r="D30" s="45">
        <v>4060.0</v>
      </c>
      <c r="E30" s="45">
        <v>4060.0</v>
      </c>
      <c r="F30" s="46">
        <f t="shared" si="1"/>
        <v>0</v>
      </c>
      <c r="G30" s="46"/>
      <c r="H30" s="46"/>
      <c r="I30" s="46"/>
      <c r="J30" s="48"/>
      <c r="K30" s="48"/>
      <c r="L30" s="42"/>
    </row>
    <row r="31">
      <c r="A31" s="42"/>
      <c r="B31" s="42"/>
      <c r="C31" s="52" t="s">
        <v>71</v>
      </c>
      <c r="D31" s="45">
        <v>-12117.8</v>
      </c>
      <c r="E31" s="45">
        <v>-12117.8</v>
      </c>
      <c r="F31" s="46">
        <f t="shared" si="1"/>
        <v>0</v>
      </c>
      <c r="G31" s="46"/>
      <c r="H31" s="46"/>
      <c r="I31" s="46"/>
      <c r="J31" s="48"/>
      <c r="K31" s="48"/>
      <c r="L31" s="42"/>
    </row>
    <row r="32">
      <c r="A32" s="53"/>
      <c r="B32" s="53"/>
      <c r="C32" s="54" t="s">
        <v>40</v>
      </c>
      <c r="D32" s="55">
        <f t="shared" ref="D32:F32" si="4">SUM(D9:D31)</f>
        <v>-7497.8</v>
      </c>
      <c r="E32" s="55">
        <f t="shared" si="4"/>
        <v>-7497.8</v>
      </c>
      <c r="F32" s="55">
        <f t="shared" si="4"/>
        <v>0</v>
      </c>
      <c r="G32" s="55"/>
      <c r="H32" s="55"/>
      <c r="I32" s="55">
        <f t="shared" ref="I32:J32" si="5">SUM(I9:I31)</f>
        <v>0</v>
      </c>
      <c r="J32" s="55">
        <f t="shared" si="5"/>
        <v>0</v>
      </c>
      <c r="K32" s="56"/>
      <c r="L32" s="53"/>
    </row>
    <row r="33" ht="20.25" customHeight="1">
      <c r="A33" s="57"/>
      <c r="B33" s="58"/>
      <c r="C33" s="59"/>
      <c r="D33" s="60"/>
      <c r="E33" s="61"/>
      <c r="F33" s="61"/>
      <c r="G33" s="61"/>
      <c r="H33" s="61"/>
      <c r="I33" s="61"/>
      <c r="J33" s="62"/>
      <c r="K33" s="62"/>
      <c r="L33" s="63"/>
    </row>
    <row r="34" ht="27.0" customHeight="1">
      <c r="A34" s="44">
        <v>2.0</v>
      </c>
      <c r="B34" s="44" t="s">
        <v>41</v>
      </c>
      <c r="C34" s="44"/>
      <c r="D34" s="46"/>
      <c r="E34" s="46"/>
      <c r="F34" s="46"/>
      <c r="G34" s="46"/>
      <c r="H34" s="46"/>
      <c r="I34" s="46"/>
      <c r="J34" s="48"/>
      <c r="K34" s="48"/>
      <c r="L34" s="49"/>
    </row>
    <row r="35" hidden="1">
      <c r="A35" s="42"/>
      <c r="B35" s="43"/>
      <c r="C35" s="44" t="s">
        <v>18</v>
      </c>
      <c r="D35" s="46"/>
      <c r="E35" s="46"/>
      <c r="F35" s="46"/>
      <c r="G35" s="46"/>
      <c r="H35" s="46"/>
      <c r="I35" s="46"/>
      <c r="J35" s="48"/>
      <c r="K35" s="48"/>
      <c r="L35" s="49"/>
    </row>
    <row r="36" hidden="1">
      <c r="A36" s="42"/>
      <c r="B36" s="43"/>
      <c r="C36" s="44" t="s">
        <v>21</v>
      </c>
      <c r="D36" s="46"/>
      <c r="E36" s="46"/>
      <c r="F36" s="46">
        <f t="shared" ref="F36:F42" si="6">E36-D36</f>
        <v>0</v>
      </c>
      <c r="G36" s="46"/>
      <c r="H36" s="46"/>
      <c r="I36" s="46"/>
      <c r="J36" s="48"/>
      <c r="K36" s="48"/>
      <c r="L36" s="49"/>
    </row>
    <row r="37" hidden="1">
      <c r="A37" s="42"/>
      <c r="B37" s="43"/>
      <c r="C37" s="44" t="s">
        <v>42</v>
      </c>
      <c r="D37" s="46"/>
      <c r="E37" s="46"/>
      <c r="F37" s="46">
        <f t="shared" si="6"/>
        <v>0</v>
      </c>
      <c r="G37" s="46"/>
      <c r="H37" s="46"/>
      <c r="I37" s="46"/>
      <c r="J37" s="48"/>
      <c r="K37" s="48"/>
      <c r="L37" s="49"/>
    </row>
    <row r="38" hidden="1">
      <c r="A38" s="42"/>
      <c r="B38" s="43"/>
      <c r="C38" s="44" t="s">
        <v>43</v>
      </c>
      <c r="D38" s="46"/>
      <c r="E38" s="46"/>
      <c r="F38" s="46">
        <f t="shared" si="6"/>
        <v>0</v>
      </c>
      <c r="G38" s="46"/>
      <c r="H38" s="46"/>
      <c r="I38" s="46"/>
      <c r="J38" s="48"/>
      <c r="K38" s="48"/>
      <c r="L38" s="49"/>
    </row>
    <row r="39" hidden="1">
      <c r="A39" s="42"/>
      <c r="B39" s="43"/>
      <c r="C39" s="44" t="s">
        <v>26</v>
      </c>
      <c r="D39" s="46"/>
      <c r="E39" s="46"/>
      <c r="F39" s="46">
        <f t="shared" si="6"/>
        <v>0</v>
      </c>
      <c r="G39" s="46"/>
      <c r="H39" s="46"/>
      <c r="I39" s="46"/>
      <c r="J39" s="48"/>
      <c r="K39" s="48"/>
      <c r="L39" s="49"/>
    </row>
    <row r="40" hidden="1">
      <c r="A40" s="42"/>
      <c r="B40" s="43"/>
      <c r="C40" s="44" t="s">
        <v>31</v>
      </c>
      <c r="D40" s="46"/>
      <c r="E40" s="46"/>
      <c r="F40" s="46">
        <f t="shared" si="6"/>
        <v>0</v>
      </c>
      <c r="G40" s="46"/>
      <c r="H40" s="46"/>
      <c r="I40" s="46"/>
      <c r="J40" s="48"/>
      <c r="K40" s="48"/>
      <c r="L40" s="49"/>
    </row>
    <row r="41" hidden="1">
      <c r="A41" s="42"/>
      <c r="B41" s="42"/>
      <c r="C41" s="44" t="s">
        <v>44</v>
      </c>
      <c r="D41" s="46"/>
      <c r="E41" s="46"/>
      <c r="F41" s="46">
        <f t="shared" si="6"/>
        <v>0</v>
      </c>
      <c r="G41" s="46"/>
      <c r="H41" s="46"/>
      <c r="I41" s="46"/>
      <c r="J41" s="48"/>
      <c r="K41" s="48"/>
      <c r="L41" s="49"/>
    </row>
    <row r="42" hidden="1">
      <c r="A42" s="42"/>
      <c r="B42" s="42"/>
      <c r="C42" s="44" t="s">
        <v>35</v>
      </c>
      <c r="D42" s="45"/>
      <c r="E42" s="46"/>
      <c r="F42" s="46">
        <f t="shared" si="6"/>
        <v>0</v>
      </c>
      <c r="G42" s="46"/>
      <c r="H42" s="46"/>
      <c r="I42" s="46"/>
      <c r="J42" s="48"/>
      <c r="K42" s="48"/>
      <c r="L42" s="49"/>
    </row>
    <row r="43">
      <c r="A43" s="42"/>
      <c r="B43" s="42"/>
      <c r="C43" s="52" t="s">
        <v>69</v>
      </c>
      <c r="D43" s="107">
        <v>777.79</v>
      </c>
      <c r="E43" s="107">
        <v>777.79</v>
      </c>
      <c r="F43" s="45"/>
      <c r="G43" s="46"/>
      <c r="H43" s="46"/>
      <c r="I43" s="46"/>
      <c r="J43" s="48"/>
      <c r="K43" s="48"/>
      <c r="L43" s="49"/>
    </row>
    <row r="44">
      <c r="A44" s="42"/>
      <c r="B44" s="42"/>
      <c r="C44" s="52" t="s">
        <v>70</v>
      </c>
      <c r="D44" s="108">
        <v>1253.9</v>
      </c>
      <c r="E44" s="108">
        <v>1253.9</v>
      </c>
      <c r="F44" s="45"/>
      <c r="G44" s="46"/>
      <c r="H44" s="46"/>
      <c r="I44" s="46"/>
      <c r="J44" s="48"/>
      <c r="K44" s="48"/>
      <c r="L44" s="49"/>
    </row>
    <row r="45">
      <c r="A45" s="42"/>
      <c r="B45" s="42"/>
      <c r="C45" s="52" t="s">
        <v>71</v>
      </c>
      <c r="D45" s="107">
        <v>-29640.62</v>
      </c>
      <c r="E45" s="107">
        <v>-29640.62</v>
      </c>
      <c r="F45" s="45"/>
      <c r="G45" s="46"/>
      <c r="H45" s="46"/>
      <c r="I45" s="46"/>
      <c r="J45" s="48"/>
      <c r="K45" s="48"/>
      <c r="L45" s="49"/>
    </row>
    <row r="46">
      <c r="A46" s="53"/>
      <c r="B46" s="53"/>
      <c r="C46" s="54" t="s">
        <v>46</v>
      </c>
      <c r="D46" s="55">
        <f t="shared" ref="D46:E46" si="7">SUM(D36:D43)</f>
        <v>777.79</v>
      </c>
      <c r="E46" s="55">
        <f t="shared" si="7"/>
        <v>777.79</v>
      </c>
      <c r="F46" s="55">
        <f>SUM(F36:F45)</f>
        <v>0</v>
      </c>
      <c r="G46" s="64"/>
      <c r="H46" s="55"/>
      <c r="I46" s="55"/>
      <c r="J46" s="55"/>
      <c r="K46" s="56"/>
      <c r="L46" s="53"/>
    </row>
    <row r="47" ht="16.5" customHeight="1">
      <c r="A47" s="65"/>
      <c r="B47" s="66"/>
      <c r="C47" s="67"/>
      <c r="D47" s="68"/>
      <c r="E47" s="69"/>
      <c r="F47" s="69"/>
      <c r="G47" s="69"/>
      <c r="H47" s="69"/>
      <c r="I47" s="69"/>
      <c r="J47" s="70"/>
      <c r="K47" s="70"/>
      <c r="L47" s="71"/>
    </row>
    <row r="48" ht="22.5" customHeight="1">
      <c r="A48" s="44">
        <v>3.0</v>
      </c>
      <c r="B48" s="44" t="s">
        <v>47</v>
      </c>
      <c r="C48" s="44"/>
      <c r="D48" s="46"/>
      <c r="E48" s="46"/>
      <c r="F48" s="46"/>
      <c r="G48" s="46"/>
      <c r="H48" s="46"/>
      <c r="I48" s="46"/>
      <c r="J48" s="48"/>
      <c r="K48" s="48"/>
      <c r="L48" s="49"/>
    </row>
    <row r="49">
      <c r="A49" s="42"/>
      <c r="B49" s="43"/>
      <c r="C49" s="44" t="s">
        <v>86</v>
      </c>
      <c r="D49" s="45">
        <v>0.0</v>
      </c>
      <c r="E49" s="46"/>
      <c r="F49" s="46"/>
      <c r="G49" s="46"/>
      <c r="H49" s="46"/>
      <c r="I49" s="46"/>
      <c r="J49" s="48"/>
      <c r="K49" s="48"/>
      <c r="L49" s="49"/>
    </row>
    <row r="50">
      <c r="A50" s="42"/>
      <c r="B50" s="43"/>
      <c r="C50" s="52" t="s">
        <v>32</v>
      </c>
      <c r="D50" s="45">
        <v>0.0</v>
      </c>
      <c r="E50" s="46"/>
      <c r="F50" s="46">
        <f t="shared" ref="F50:F52" si="8">E50-D50</f>
        <v>0</v>
      </c>
      <c r="G50" s="46"/>
      <c r="H50" s="46"/>
      <c r="I50" s="46"/>
      <c r="J50" s="48"/>
      <c r="K50" s="48"/>
      <c r="L50" s="49"/>
    </row>
    <row r="51">
      <c r="A51" s="42"/>
      <c r="B51" s="43"/>
      <c r="C51" s="44" t="s">
        <v>36</v>
      </c>
      <c r="D51" s="46"/>
      <c r="E51" s="46"/>
      <c r="F51" s="46">
        <f t="shared" si="8"/>
        <v>0</v>
      </c>
      <c r="G51" s="46"/>
      <c r="H51" s="46"/>
      <c r="I51" s="46"/>
      <c r="J51" s="48"/>
      <c r="K51" s="48"/>
      <c r="L51" s="49"/>
    </row>
    <row r="52">
      <c r="A52" s="42"/>
      <c r="B52" s="43"/>
      <c r="C52" s="44" t="s">
        <v>36</v>
      </c>
      <c r="D52" s="46"/>
      <c r="E52" s="46"/>
      <c r="F52" s="46">
        <f t="shared" si="8"/>
        <v>0</v>
      </c>
      <c r="G52" s="46"/>
      <c r="H52" s="46"/>
      <c r="I52" s="46"/>
      <c r="J52" s="48"/>
      <c r="K52" s="48"/>
      <c r="L52" s="49"/>
    </row>
    <row r="53">
      <c r="A53" s="53"/>
      <c r="B53" s="53"/>
      <c r="C53" s="54" t="s">
        <v>51</v>
      </c>
      <c r="D53" s="55">
        <f>SUM(D49:D52)</f>
        <v>0</v>
      </c>
      <c r="E53" s="55">
        <f t="shared" ref="E53:F53" si="9">SUM(E50:E52)</f>
        <v>0</v>
      </c>
      <c r="F53" s="55">
        <f t="shared" si="9"/>
        <v>0</v>
      </c>
      <c r="G53" s="64"/>
      <c r="H53" s="55"/>
      <c r="I53" s="55"/>
      <c r="J53" s="55"/>
      <c r="K53" s="56"/>
      <c r="L53" s="53"/>
    </row>
    <row r="54">
      <c r="A54" s="72"/>
    </row>
    <row r="55" ht="23.25" customHeight="1">
      <c r="A55" s="73">
        <v>4.0</v>
      </c>
      <c r="B55" s="73" t="s">
        <v>36</v>
      </c>
      <c r="C55" s="73"/>
      <c r="D55" s="74"/>
      <c r="E55" s="74"/>
      <c r="F55" s="74"/>
      <c r="G55" s="75"/>
      <c r="H55" s="75"/>
      <c r="I55" s="75"/>
      <c r="J55" s="75"/>
      <c r="K55" s="75"/>
      <c r="L55" s="75"/>
    </row>
    <row r="56">
      <c r="A56" s="75"/>
      <c r="B56" s="76"/>
      <c r="C56" s="73" t="s">
        <v>52</v>
      </c>
      <c r="D56" s="74"/>
      <c r="E56" s="74"/>
      <c r="F56" s="74">
        <f t="shared" ref="F56:F63" si="10">E56-D56</f>
        <v>0</v>
      </c>
      <c r="G56" s="75"/>
      <c r="H56" s="75"/>
      <c r="I56" s="75"/>
      <c r="J56" s="75"/>
      <c r="K56" s="75"/>
      <c r="L56" s="75"/>
    </row>
    <row r="57">
      <c r="A57" s="75"/>
      <c r="B57" s="76"/>
      <c r="C57" s="73" t="s">
        <v>53</v>
      </c>
      <c r="D57" s="74"/>
      <c r="E57" s="74"/>
      <c r="F57" s="74">
        <f t="shared" si="10"/>
        <v>0</v>
      </c>
      <c r="G57" s="75"/>
      <c r="H57" s="75"/>
      <c r="I57" s="75"/>
      <c r="J57" s="75"/>
      <c r="K57" s="75"/>
      <c r="L57" s="75"/>
    </row>
    <row r="58">
      <c r="A58" s="75"/>
      <c r="B58" s="76"/>
      <c r="C58" s="73" t="s">
        <v>54</v>
      </c>
      <c r="D58" s="74"/>
      <c r="E58" s="74"/>
      <c r="F58" s="74">
        <f t="shared" si="10"/>
        <v>0</v>
      </c>
      <c r="G58" s="75"/>
      <c r="H58" s="75"/>
      <c r="I58" s="75"/>
      <c r="J58" s="75"/>
      <c r="K58" s="75"/>
      <c r="L58" s="75"/>
    </row>
    <row r="59">
      <c r="A59" s="75"/>
      <c r="B59" s="76"/>
      <c r="C59" s="73" t="s">
        <v>55</v>
      </c>
      <c r="D59" s="74"/>
      <c r="E59" s="74"/>
      <c r="F59" s="74">
        <f t="shared" si="10"/>
        <v>0</v>
      </c>
      <c r="G59" s="75"/>
      <c r="H59" s="75"/>
      <c r="I59" s="75"/>
      <c r="J59" s="75"/>
      <c r="K59" s="75"/>
      <c r="L59" s="75"/>
    </row>
    <row r="60">
      <c r="A60" s="75"/>
      <c r="B60" s="76"/>
      <c r="C60" s="73" t="s">
        <v>56</v>
      </c>
      <c r="D60" s="74"/>
      <c r="E60" s="74"/>
      <c r="F60" s="74">
        <f t="shared" si="10"/>
        <v>0</v>
      </c>
      <c r="G60" s="75"/>
      <c r="H60" s="75"/>
      <c r="I60" s="75"/>
      <c r="J60" s="75"/>
      <c r="K60" s="75"/>
      <c r="L60" s="75"/>
    </row>
    <row r="61">
      <c r="A61" s="75"/>
      <c r="B61" s="76"/>
      <c r="C61" s="73" t="s">
        <v>57</v>
      </c>
      <c r="D61" s="74"/>
      <c r="E61" s="74"/>
      <c r="F61" s="74">
        <f t="shared" si="10"/>
        <v>0</v>
      </c>
      <c r="G61" s="75"/>
      <c r="H61" s="75"/>
      <c r="I61" s="75"/>
      <c r="J61" s="75"/>
      <c r="K61" s="75"/>
      <c r="L61" s="75"/>
    </row>
    <row r="62">
      <c r="A62" s="75"/>
      <c r="B62" s="76"/>
      <c r="C62" s="73" t="s">
        <v>80</v>
      </c>
      <c r="D62" s="77"/>
      <c r="E62" s="74"/>
      <c r="F62" s="74">
        <f t="shared" si="10"/>
        <v>0</v>
      </c>
      <c r="G62" s="75"/>
      <c r="H62" s="75"/>
      <c r="I62" s="75"/>
      <c r="J62" s="75"/>
      <c r="K62" s="75"/>
      <c r="L62" s="75"/>
    </row>
    <row r="63">
      <c r="A63" s="75"/>
      <c r="B63" s="76"/>
      <c r="C63" s="73" t="s">
        <v>59</v>
      </c>
      <c r="D63" s="74"/>
      <c r="E63" s="74"/>
      <c r="F63" s="74">
        <f t="shared" si="10"/>
        <v>0</v>
      </c>
      <c r="G63" s="75"/>
      <c r="H63" s="75"/>
      <c r="I63" s="75"/>
      <c r="J63" s="75"/>
      <c r="K63" s="75"/>
      <c r="L63" s="75"/>
    </row>
    <row r="64">
      <c r="A64" s="80"/>
      <c r="B64" s="80"/>
      <c r="C64" s="81" t="s">
        <v>60</v>
      </c>
      <c r="D64" s="82">
        <f t="shared" ref="D64:F64" si="11">SUM(D57:D59)</f>
        <v>0</v>
      </c>
      <c r="E64" s="82">
        <f t="shared" si="11"/>
        <v>0</v>
      </c>
      <c r="F64" s="82">
        <f t="shared" si="11"/>
        <v>0</v>
      </c>
      <c r="G64" s="80"/>
      <c r="H64" s="80"/>
      <c r="I64" s="80"/>
      <c r="J64" s="80"/>
      <c r="K64" s="80"/>
      <c r="L64" s="80"/>
    </row>
    <row r="65">
      <c r="A65" s="72"/>
    </row>
    <row r="66">
      <c r="A66" s="72"/>
      <c r="B66" s="72"/>
      <c r="C66" s="83"/>
      <c r="D66" s="84" t="s">
        <v>61</v>
      </c>
      <c r="E66" s="84" t="s">
        <v>87</v>
      </c>
      <c r="F66" s="84" t="s">
        <v>88</v>
      </c>
      <c r="G66" s="86" t="s">
        <v>64</v>
      </c>
      <c r="H66" s="72"/>
      <c r="I66" s="72"/>
      <c r="J66" s="72"/>
      <c r="K66" s="72"/>
      <c r="L66" s="72"/>
    </row>
    <row r="67" ht="42.0" customHeight="1">
      <c r="A67" s="87"/>
      <c r="B67" s="88" t="s">
        <v>65</v>
      </c>
      <c r="C67" s="89"/>
      <c r="D67" s="117">
        <f t="shared" ref="D67:E67" si="12">D64+D53+D46+D32</f>
        <v>-6720.01</v>
      </c>
      <c r="E67" s="117">
        <f t="shared" si="12"/>
        <v>-6720.01</v>
      </c>
      <c r="F67" s="117">
        <f>E67-D67</f>
        <v>0</v>
      </c>
      <c r="G67" s="118">
        <f>F67/E67</f>
        <v>0</v>
      </c>
      <c r="H67" s="92"/>
      <c r="I67" s="92"/>
      <c r="J67" s="92"/>
      <c r="K67" s="92"/>
      <c r="L67" s="87"/>
    </row>
  </sheetData>
  <mergeCells count="6">
    <mergeCell ref="B2:C2"/>
    <mergeCell ref="D2:K2"/>
    <mergeCell ref="C3:D3"/>
    <mergeCell ref="A54:L54"/>
    <mergeCell ref="A65:L65"/>
    <mergeCell ref="B67:C67"/>
  </mergeCells>
  <conditionalFormatting sqref="J7:K7 J33:K33 J47:K47 J67:K67">
    <cfRule type="expression" dxfId="4" priority="1">
      <formula>AND(OR($D7="In progress",$D7="Not started" ),OR($J7=today(), $J7=today()+1))</formula>
    </cfRule>
  </conditionalFormatting>
  <conditionalFormatting sqref="D7 D33 D47 D67:F67">
    <cfRule type="cellIs" dxfId="5" priority="2" operator="equal">
      <formula>"Not started"</formula>
    </cfRule>
  </conditionalFormatting>
  <conditionalFormatting sqref="D7 D33 D47 D67:F67">
    <cfRule type="cellIs" dxfId="6" priority="3" operator="equal">
      <formula>"In progress"</formula>
    </cfRule>
  </conditionalFormatting>
  <conditionalFormatting sqref="A7:L7 A33:L33 A47:L47 A67:L67">
    <cfRule type="expression" dxfId="7" priority="4">
      <formula>RegExMatch(($D7),"Done")</formula>
    </cfRule>
  </conditionalFormatting>
  <conditionalFormatting sqref="E7:I7 E33:I33 D47:J47 D67:J67">
    <cfRule type="timePeriod" dxfId="8" priority="5" timePeriod="today"/>
  </conditionalFormatting>
  <conditionalFormatting sqref="E7:I7 E33:I33 D47:J47 D67:J67">
    <cfRule type="expression" dxfId="4" priority="6">
      <formula>AND($E7&lt;TODAY(), OR($D7="In progress", $D7="Not started"))</formula>
    </cfRule>
  </conditionalFormatting>
  <conditionalFormatting sqref="A5:L67">
    <cfRule type="expression" dxfId="7" priority="7">
      <formula>RegExMatch((#REF!),"Done")</formula>
    </cfRule>
  </conditionalFormatting>
  <printOptions gridLines="1" horizontalCentered="1"/>
  <pageMargins bottom="0.75" footer="0.0" header="0.0" left="0.25" right="0.25" top="0.75"/>
  <pageSetup fitToWidth="0" cellComments="atEnd" orientation="portrait" pageOrder="overThenDown"/>
  <drawing r:id="rId1"/>
  <tableParts count="4">
    <tablePart r:id="rId6"/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5"/>
    <col customWidth="1" min="2" max="2" width="19.0"/>
    <col customWidth="1" min="3" max="3" width="36.38"/>
    <col customWidth="1" min="4" max="4" width="15.25"/>
    <col customWidth="1" min="5" max="5" width="13.25"/>
    <col customWidth="1" min="6" max="6" width="11.0"/>
    <col customWidth="1" min="7" max="7" width="7.38"/>
    <col customWidth="1" min="8" max="9" width="14.13"/>
    <col customWidth="1" min="10" max="10" width="9.25"/>
    <col customWidth="1" min="11" max="11" width="12.75"/>
    <col customWidth="1" min="12" max="12" width="2.5"/>
  </cols>
  <sheetData>
    <row r="1" ht="12.0" customHeight="1">
      <c r="A1" s="1"/>
      <c r="B1" s="1"/>
      <c r="C1" s="1"/>
      <c r="D1" s="2"/>
      <c r="E1" s="2"/>
      <c r="F1" s="2"/>
      <c r="G1" s="2"/>
      <c r="H1" s="2"/>
      <c r="I1" s="2"/>
      <c r="J1" s="3"/>
      <c r="K1" s="3"/>
      <c r="L1" s="2"/>
    </row>
    <row r="2" ht="44.25" customHeight="1">
      <c r="A2" s="1"/>
      <c r="B2" s="4" t="s">
        <v>83</v>
      </c>
      <c r="C2" s="5"/>
      <c r="D2" s="6"/>
      <c r="E2" s="7"/>
      <c r="F2" s="7"/>
      <c r="G2" s="7"/>
      <c r="H2" s="7"/>
      <c r="I2" s="7"/>
      <c r="J2" s="7"/>
      <c r="K2" s="5"/>
      <c r="L2" s="8"/>
    </row>
    <row r="3" ht="36.75" customHeight="1">
      <c r="A3" s="9"/>
      <c r="B3" s="10" t="s">
        <v>1</v>
      </c>
      <c r="C3" s="11" t="s">
        <v>89</v>
      </c>
      <c r="D3" s="12"/>
      <c r="E3" s="13" t="s">
        <v>3</v>
      </c>
      <c r="F3" s="14">
        <v>161.0</v>
      </c>
      <c r="G3" s="15"/>
      <c r="H3" s="15"/>
      <c r="I3" s="15"/>
      <c r="J3" s="15"/>
      <c r="K3" s="15"/>
      <c r="L3" s="16"/>
    </row>
    <row r="4" ht="36.75" customHeight="1">
      <c r="A4" s="9"/>
      <c r="B4" s="10" t="s">
        <v>84</v>
      </c>
      <c r="C4" s="17">
        <v>930.0</v>
      </c>
      <c r="D4" s="13"/>
      <c r="E4" s="18" t="s">
        <v>90</v>
      </c>
      <c r="F4" s="19">
        <v>2.0</v>
      </c>
      <c r="G4" s="15"/>
      <c r="H4" s="15"/>
      <c r="I4" s="15" t="s">
        <v>6</v>
      </c>
      <c r="J4" s="20"/>
      <c r="K4" s="15"/>
      <c r="L4" s="16"/>
    </row>
    <row r="5" ht="13.5" customHeight="1">
      <c r="A5" s="9"/>
      <c r="B5" s="21"/>
      <c r="C5" s="21"/>
      <c r="D5" s="15"/>
      <c r="E5" s="22"/>
      <c r="F5" s="23"/>
      <c r="G5" s="23"/>
      <c r="H5" s="23"/>
      <c r="I5" s="24"/>
      <c r="J5" s="15"/>
      <c r="K5" s="15"/>
      <c r="L5" s="16"/>
    </row>
    <row r="6" ht="29.25" customHeight="1">
      <c r="A6" s="25"/>
      <c r="B6" s="25" t="s">
        <v>7</v>
      </c>
      <c r="C6" s="25" t="s">
        <v>8</v>
      </c>
      <c r="D6" s="26" t="s">
        <v>9</v>
      </c>
      <c r="E6" s="27" t="s">
        <v>10</v>
      </c>
      <c r="F6" s="28" t="s">
        <v>11</v>
      </c>
      <c r="G6" s="28" t="s">
        <v>12</v>
      </c>
      <c r="H6" s="28" t="s">
        <v>13</v>
      </c>
      <c r="I6" s="29" t="s">
        <v>14</v>
      </c>
      <c r="J6" s="30" t="s">
        <v>15</v>
      </c>
      <c r="K6" s="30" t="s">
        <v>16</v>
      </c>
      <c r="L6" s="25"/>
    </row>
    <row r="7" ht="1.5" customHeight="1">
      <c r="A7" s="31"/>
      <c r="B7" s="32"/>
      <c r="C7" s="33"/>
      <c r="D7" s="34"/>
      <c r="E7" s="35"/>
      <c r="F7" s="36"/>
      <c r="G7" s="36"/>
      <c r="H7" s="36"/>
      <c r="I7" s="35"/>
      <c r="J7" s="37"/>
      <c r="K7" s="37"/>
      <c r="L7" s="35"/>
    </row>
    <row r="8" ht="22.5" customHeight="1">
      <c r="A8" s="38">
        <v>1.0</v>
      </c>
      <c r="B8" s="38" t="s">
        <v>17</v>
      </c>
      <c r="C8" s="38"/>
      <c r="D8" s="39"/>
      <c r="E8" s="39"/>
      <c r="F8" s="39"/>
      <c r="G8" s="39"/>
      <c r="H8" s="39"/>
      <c r="I8" s="39"/>
      <c r="J8" s="40"/>
      <c r="K8" s="40"/>
      <c r="L8" s="41"/>
    </row>
    <row r="9">
      <c r="A9" s="42"/>
      <c r="B9" s="43"/>
      <c r="C9" s="44" t="s">
        <v>18</v>
      </c>
      <c r="D9" s="46">
        <v>0.0</v>
      </c>
      <c r="E9" s="46"/>
      <c r="F9" s="46">
        <f t="shared" ref="F9:F31" si="1">E9-D9</f>
        <v>0</v>
      </c>
      <c r="G9" s="46"/>
      <c r="H9" s="46"/>
      <c r="I9" s="46">
        <f t="shared" ref="I9:I22" si="2">D9/75</f>
        <v>0</v>
      </c>
      <c r="J9" s="48"/>
      <c r="K9" s="48"/>
      <c r="L9" s="49"/>
    </row>
    <row r="10">
      <c r="A10" s="42"/>
      <c r="B10" s="43"/>
      <c r="C10" s="44" t="s">
        <v>19</v>
      </c>
      <c r="D10" s="46">
        <v>0.0</v>
      </c>
      <c r="E10" s="46"/>
      <c r="F10" s="46">
        <f t="shared" si="1"/>
        <v>0</v>
      </c>
      <c r="G10" s="46"/>
      <c r="H10" s="46"/>
      <c r="I10" s="46">
        <f t="shared" si="2"/>
        <v>0</v>
      </c>
      <c r="J10" s="48"/>
      <c r="K10" s="48"/>
      <c r="L10" s="49"/>
    </row>
    <row r="11">
      <c r="A11" s="42"/>
      <c r="B11" s="43"/>
      <c r="C11" s="44" t="s">
        <v>20</v>
      </c>
      <c r="D11" s="46">
        <v>0.0</v>
      </c>
      <c r="E11" s="46"/>
      <c r="F11" s="46">
        <f t="shared" si="1"/>
        <v>0</v>
      </c>
      <c r="G11" s="46"/>
      <c r="H11" s="46"/>
      <c r="I11" s="46">
        <f t="shared" si="2"/>
        <v>0</v>
      </c>
      <c r="J11" s="48"/>
      <c r="K11" s="48"/>
      <c r="L11" s="49"/>
    </row>
    <row r="12">
      <c r="A12" s="42"/>
      <c r="B12" s="42"/>
      <c r="C12" s="44" t="s">
        <v>21</v>
      </c>
      <c r="D12" s="46">
        <v>0.0</v>
      </c>
      <c r="E12" s="46"/>
      <c r="F12" s="46">
        <f t="shared" si="1"/>
        <v>0</v>
      </c>
      <c r="G12" s="46"/>
      <c r="H12" s="46"/>
      <c r="I12" s="46">
        <f t="shared" si="2"/>
        <v>0</v>
      </c>
      <c r="J12" s="48"/>
      <c r="K12" s="48"/>
      <c r="L12" s="49"/>
    </row>
    <row r="13">
      <c r="A13" s="42"/>
      <c r="B13" s="42"/>
      <c r="C13" s="44" t="s">
        <v>22</v>
      </c>
      <c r="D13" s="46">
        <v>0.0</v>
      </c>
      <c r="E13" s="46"/>
      <c r="F13" s="46">
        <f t="shared" si="1"/>
        <v>0</v>
      </c>
      <c r="G13" s="46"/>
      <c r="H13" s="46"/>
      <c r="I13" s="46">
        <f t="shared" si="2"/>
        <v>0</v>
      </c>
      <c r="J13" s="48"/>
      <c r="K13" s="48"/>
      <c r="L13" s="49"/>
    </row>
    <row r="14">
      <c r="A14" s="42"/>
      <c r="B14" s="42"/>
      <c r="C14" s="44" t="s">
        <v>23</v>
      </c>
      <c r="D14" s="46">
        <v>0.0</v>
      </c>
      <c r="E14" s="46"/>
      <c r="F14" s="46">
        <f t="shared" si="1"/>
        <v>0</v>
      </c>
      <c r="G14" s="46"/>
      <c r="H14" s="46"/>
      <c r="I14" s="46">
        <f t="shared" si="2"/>
        <v>0</v>
      </c>
      <c r="J14" s="48"/>
      <c r="K14" s="48"/>
      <c r="L14" s="49"/>
    </row>
    <row r="15">
      <c r="A15" s="42"/>
      <c r="B15" s="42"/>
      <c r="C15" s="44" t="s">
        <v>24</v>
      </c>
      <c r="D15" s="46">
        <v>0.0</v>
      </c>
      <c r="E15" s="46"/>
      <c r="F15" s="46">
        <f t="shared" si="1"/>
        <v>0</v>
      </c>
      <c r="G15" s="46"/>
      <c r="H15" s="46"/>
      <c r="I15" s="46">
        <f t="shared" si="2"/>
        <v>0</v>
      </c>
      <c r="J15" s="48"/>
      <c r="K15" s="48"/>
      <c r="L15" s="49"/>
    </row>
    <row r="16">
      <c r="A16" s="42"/>
      <c r="B16" s="42"/>
      <c r="C16" s="44" t="s">
        <v>25</v>
      </c>
      <c r="D16" s="46">
        <v>0.0</v>
      </c>
      <c r="E16" s="46"/>
      <c r="F16" s="46">
        <f t="shared" si="1"/>
        <v>0</v>
      </c>
      <c r="G16" s="46"/>
      <c r="H16" s="46"/>
      <c r="I16" s="46">
        <f t="shared" si="2"/>
        <v>0</v>
      </c>
      <c r="J16" s="48"/>
      <c r="K16" s="48"/>
      <c r="L16" s="49"/>
    </row>
    <row r="17">
      <c r="A17" s="42"/>
      <c r="B17" s="42"/>
      <c r="C17" s="44" t="s">
        <v>26</v>
      </c>
      <c r="D17" s="46">
        <v>0.0</v>
      </c>
      <c r="E17" s="46"/>
      <c r="F17" s="46">
        <f t="shared" si="1"/>
        <v>0</v>
      </c>
      <c r="G17" s="46"/>
      <c r="H17" s="46"/>
      <c r="I17" s="46">
        <f t="shared" si="2"/>
        <v>0</v>
      </c>
      <c r="J17" s="48"/>
      <c r="K17" s="48"/>
      <c r="L17" s="49"/>
    </row>
    <row r="18">
      <c r="A18" s="42"/>
      <c r="B18" s="42"/>
      <c r="C18" s="44" t="s">
        <v>27</v>
      </c>
      <c r="D18" s="46">
        <v>0.0</v>
      </c>
      <c r="E18" s="46"/>
      <c r="F18" s="46">
        <f t="shared" si="1"/>
        <v>0</v>
      </c>
      <c r="G18" s="46"/>
      <c r="H18" s="46"/>
      <c r="I18" s="46">
        <f t="shared" si="2"/>
        <v>0</v>
      </c>
      <c r="J18" s="48"/>
      <c r="K18" s="48"/>
      <c r="L18" s="49"/>
    </row>
    <row r="19">
      <c r="A19" s="42"/>
      <c r="B19" s="42"/>
      <c r="C19" s="44" t="s">
        <v>28</v>
      </c>
      <c r="D19" s="46">
        <v>0.0</v>
      </c>
      <c r="E19" s="46"/>
      <c r="F19" s="46">
        <f t="shared" si="1"/>
        <v>0</v>
      </c>
      <c r="G19" s="46"/>
      <c r="H19" s="46"/>
      <c r="I19" s="46">
        <f t="shared" si="2"/>
        <v>0</v>
      </c>
      <c r="J19" s="48"/>
      <c r="K19" s="48"/>
      <c r="L19" s="49"/>
    </row>
    <row r="20">
      <c r="A20" s="42"/>
      <c r="B20" s="42"/>
      <c r="C20" s="44" t="s">
        <v>29</v>
      </c>
      <c r="D20" s="46">
        <v>0.0</v>
      </c>
      <c r="E20" s="46"/>
      <c r="F20" s="46">
        <f t="shared" si="1"/>
        <v>0</v>
      </c>
      <c r="G20" s="46"/>
      <c r="H20" s="46"/>
      <c r="I20" s="46">
        <f t="shared" si="2"/>
        <v>0</v>
      </c>
      <c r="J20" s="48"/>
      <c r="K20" s="48"/>
      <c r="L20" s="49"/>
    </row>
    <row r="21">
      <c r="A21" s="42"/>
      <c r="B21" s="42"/>
      <c r="C21" s="44" t="s">
        <v>30</v>
      </c>
      <c r="D21" s="46">
        <v>0.0</v>
      </c>
      <c r="E21" s="46"/>
      <c r="F21" s="46">
        <f t="shared" si="1"/>
        <v>0</v>
      </c>
      <c r="G21" s="46"/>
      <c r="H21" s="46"/>
      <c r="I21" s="46">
        <f t="shared" si="2"/>
        <v>0</v>
      </c>
      <c r="J21" s="48"/>
      <c r="K21" s="48"/>
      <c r="L21" s="49"/>
    </row>
    <row r="22">
      <c r="A22" s="42"/>
      <c r="B22" s="42"/>
      <c r="C22" s="44" t="s">
        <v>31</v>
      </c>
      <c r="D22" s="46">
        <v>0.0</v>
      </c>
      <c r="E22" s="46"/>
      <c r="F22" s="46">
        <f t="shared" si="1"/>
        <v>0</v>
      </c>
      <c r="G22" s="46"/>
      <c r="H22" s="46"/>
      <c r="I22" s="46">
        <f t="shared" si="2"/>
        <v>0</v>
      </c>
      <c r="J22" s="48"/>
      <c r="K22" s="48"/>
      <c r="L22" s="49"/>
    </row>
    <row r="23">
      <c r="A23" s="42"/>
      <c r="B23" s="42"/>
      <c r="C23" s="44" t="s">
        <v>32</v>
      </c>
      <c r="D23" s="46">
        <v>0.0</v>
      </c>
      <c r="E23" s="46"/>
      <c r="F23" s="46">
        <f t="shared" si="1"/>
        <v>0</v>
      </c>
      <c r="G23" s="46"/>
      <c r="H23" s="46"/>
      <c r="I23" s="46">
        <f>D23/65</f>
        <v>0</v>
      </c>
      <c r="J23" s="48"/>
      <c r="K23" s="48"/>
      <c r="L23" s="49"/>
    </row>
    <row r="24">
      <c r="A24" s="42"/>
      <c r="B24" s="42"/>
      <c r="C24" s="44" t="s">
        <v>68</v>
      </c>
      <c r="D24" s="46">
        <v>0.0</v>
      </c>
      <c r="E24" s="46"/>
      <c r="F24" s="46">
        <f t="shared" si="1"/>
        <v>0</v>
      </c>
      <c r="G24" s="46"/>
      <c r="H24" s="46"/>
      <c r="I24" s="46">
        <f t="shared" ref="I24:I28" si="3">D24/75</f>
        <v>0</v>
      </c>
      <c r="J24" s="48"/>
      <c r="K24" s="48"/>
      <c r="L24" s="49"/>
    </row>
    <row r="25">
      <c r="A25" s="42"/>
      <c r="B25" s="42"/>
      <c r="C25" s="44" t="s">
        <v>34</v>
      </c>
      <c r="D25" s="46">
        <v>0.0</v>
      </c>
      <c r="E25" s="46"/>
      <c r="F25" s="46">
        <f t="shared" si="1"/>
        <v>0</v>
      </c>
      <c r="G25" s="46"/>
      <c r="H25" s="46"/>
      <c r="I25" s="46">
        <f t="shared" si="3"/>
        <v>0</v>
      </c>
      <c r="J25" s="48"/>
      <c r="K25" s="48"/>
      <c r="L25" s="49"/>
    </row>
    <row r="26">
      <c r="A26" s="42"/>
      <c r="B26" s="42"/>
      <c r="C26" s="44" t="s">
        <v>35</v>
      </c>
      <c r="D26" s="46">
        <v>0.0</v>
      </c>
      <c r="E26" s="46"/>
      <c r="F26" s="46">
        <f t="shared" si="1"/>
        <v>0</v>
      </c>
      <c r="G26" s="46"/>
      <c r="H26" s="46"/>
      <c r="I26" s="46">
        <f t="shared" si="3"/>
        <v>0</v>
      </c>
      <c r="J26" s="48"/>
      <c r="K26" s="48"/>
      <c r="L26" s="49"/>
    </row>
    <row r="27">
      <c r="A27" s="42"/>
      <c r="B27" s="42"/>
      <c r="C27" s="44" t="s">
        <v>36</v>
      </c>
      <c r="D27" s="46">
        <v>0.0</v>
      </c>
      <c r="E27" s="46"/>
      <c r="F27" s="46">
        <f t="shared" si="1"/>
        <v>0</v>
      </c>
      <c r="G27" s="46"/>
      <c r="H27" s="46"/>
      <c r="I27" s="46">
        <f t="shared" si="3"/>
        <v>0</v>
      </c>
      <c r="J27" s="48"/>
      <c r="K27" s="48"/>
      <c r="L27" s="42"/>
    </row>
    <row r="28">
      <c r="A28" s="42"/>
      <c r="B28" s="42"/>
      <c r="C28" s="44" t="s">
        <v>37</v>
      </c>
      <c r="D28" s="46">
        <v>0.0</v>
      </c>
      <c r="E28" s="46"/>
      <c r="F28" s="46">
        <f t="shared" si="1"/>
        <v>0</v>
      </c>
      <c r="G28" s="46"/>
      <c r="H28" s="46"/>
      <c r="I28" s="46">
        <f t="shared" si="3"/>
        <v>0</v>
      </c>
      <c r="J28" s="48"/>
      <c r="K28" s="48"/>
      <c r="L28" s="42"/>
    </row>
    <row r="29">
      <c r="A29" s="42"/>
      <c r="B29" s="42"/>
      <c r="C29" s="44" t="s">
        <v>38</v>
      </c>
      <c r="D29" s="46">
        <v>0.0</v>
      </c>
      <c r="E29" s="46"/>
      <c r="F29" s="46">
        <f t="shared" si="1"/>
        <v>0</v>
      </c>
      <c r="G29" s="46"/>
      <c r="H29" s="46"/>
      <c r="I29" s="46"/>
      <c r="J29" s="48"/>
      <c r="K29" s="48"/>
      <c r="L29" s="42"/>
    </row>
    <row r="30">
      <c r="A30" s="42"/>
      <c r="B30" s="42"/>
      <c r="C30" s="44" t="s">
        <v>39</v>
      </c>
      <c r="D30" s="46">
        <v>0.0</v>
      </c>
      <c r="E30" s="46"/>
      <c r="F30" s="46">
        <f t="shared" si="1"/>
        <v>0</v>
      </c>
      <c r="G30" s="46"/>
      <c r="H30" s="46"/>
      <c r="I30" s="46">
        <f t="shared" ref="I30:I31" si="4">D30/75</f>
        <v>0</v>
      </c>
      <c r="J30" s="48"/>
      <c r="K30" s="48"/>
      <c r="L30" s="42"/>
    </row>
    <row r="31">
      <c r="A31" s="42"/>
      <c r="B31" s="42"/>
      <c r="C31" s="44" t="s">
        <v>39</v>
      </c>
      <c r="D31" s="46">
        <v>0.0</v>
      </c>
      <c r="E31" s="46"/>
      <c r="F31" s="46">
        <f t="shared" si="1"/>
        <v>0</v>
      </c>
      <c r="G31" s="46"/>
      <c r="H31" s="46"/>
      <c r="I31" s="46">
        <f t="shared" si="4"/>
        <v>0</v>
      </c>
      <c r="J31" s="48"/>
      <c r="K31" s="48"/>
      <c r="L31" s="42"/>
    </row>
    <row r="32">
      <c r="A32" s="53"/>
      <c r="B32" s="53"/>
      <c r="C32" s="54" t="s">
        <v>40</v>
      </c>
      <c r="D32" s="55">
        <f t="shared" ref="D32:F32" si="5">SUM(D9:D31)</f>
        <v>0</v>
      </c>
      <c r="E32" s="55">
        <f t="shared" si="5"/>
        <v>0</v>
      </c>
      <c r="F32" s="55">
        <f t="shared" si="5"/>
        <v>0</v>
      </c>
      <c r="G32" s="55"/>
      <c r="H32" s="55"/>
      <c r="I32" s="55">
        <f t="shared" ref="I32:J32" si="6">SUM(I9:I31)</f>
        <v>0</v>
      </c>
      <c r="J32" s="55">
        <f t="shared" si="6"/>
        <v>0</v>
      </c>
      <c r="K32" s="56"/>
      <c r="L32" s="53"/>
    </row>
    <row r="33" ht="20.25" customHeight="1">
      <c r="A33" s="57"/>
      <c r="B33" s="58"/>
      <c r="C33" s="59"/>
      <c r="D33" s="60"/>
      <c r="E33" s="61"/>
      <c r="F33" s="61"/>
      <c r="G33" s="61"/>
      <c r="H33" s="61"/>
      <c r="I33" s="61"/>
      <c r="J33" s="62"/>
      <c r="K33" s="62"/>
      <c r="L33" s="63"/>
    </row>
    <row r="34" ht="27.0" customHeight="1">
      <c r="A34" s="44">
        <v>2.0</v>
      </c>
      <c r="B34" s="44" t="s">
        <v>41</v>
      </c>
      <c r="C34" s="44"/>
      <c r="D34" s="46"/>
      <c r="E34" s="46"/>
      <c r="F34" s="46"/>
      <c r="G34" s="46"/>
      <c r="H34" s="46"/>
      <c r="I34" s="46"/>
      <c r="J34" s="48"/>
      <c r="K34" s="48"/>
      <c r="L34" s="49"/>
    </row>
    <row r="35" hidden="1">
      <c r="A35" s="42"/>
      <c r="B35" s="43"/>
      <c r="C35" s="44" t="s">
        <v>18</v>
      </c>
      <c r="D35" s="46"/>
      <c r="E35" s="46"/>
      <c r="F35" s="46"/>
      <c r="G35" s="46"/>
      <c r="H35" s="46"/>
      <c r="I35" s="46"/>
      <c r="J35" s="48"/>
      <c r="K35" s="48"/>
      <c r="L35" s="49"/>
    </row>
    <row r="36">
      <c r="A36" s="42"/>
      <c r="B36" s="43"/>
      <c r="C36" s="44" t="s">
        <v>21</v>
      </c>
      <c r="D36" s="46"/>
      <c r="E36" s="46"/>
      <c r="F36" s="46">
        <f t="shared" ref="F36:F45" si="7">E36-D36</f>
        <v>0</v>
      </c>
      <c r="G36" s="46"/>
      <c r="H36" s="46"/>
      <c r="I36" s="46"/>
      <c r="J36" s="48"/>
      <c r="K36" s="48"/>
      <c r="L36" s="49"/>
    </row>
    <row r="37">
      <c r="A37" s="42"/>
      <c r="B37" s="43"/>
      <c r="C37" s="44" t="s">
        <v>42</v>
      </c>
      <c r="D37" s="46"/>
      <c r="E37" s="46"/>
      <c r="F37" s="46">
        <f t="shared" si="7"/>
        <v>0</v>
      </c>
      <c r="G37" s="46"/>
      <c r="H37" s="46"/>
      <c r="I37" s="46"/>
      <c r="J37" s="48"/>
      <c r="K37" s="48"/>
      <c r="L37" s="49"/>
    </row>
    <row r="38">
      <c r="A38" s="42"/>
      <c r="B38" s="43"/>
      <c r="C38" s="44" t="s">
        <v>43</v>
      </c>
      <c r="D38" s="46"/>
      <c r="E38" s="46"/>
      <c r="F38" s="46">
        <f t="shared" si="7"/>
        <v>0</v>
      </c>
      <c r="G38" s="46"/>
      <c r="H38" s="46"/>
      <c r="I38" s="46"/>
      <c r="J38" s="48"/>
      <c r="K38" s="48"/>
      <c r="L38" s="49"/>
    </row>
    <row r="39">
      <c r="A39" s="42"/>
      <c r="B39" s="43"/>
      <c r="C39" s="44" t="s">
        <v>26</v>
      </c>
      <c r="D39" s="46"/>
      <c r="E39" s="46"/>
      <c r="F39" s="46">
        <f t="shared" si="7"/>
        <v>0</v>
      </c>
      <c r="G39" s="46"/>
      <c r="H39" s="46"/>
      <c r="I39" s="46"/>
      <c r="J39" s="48"/>
      <c r="K39" s="48"/>
      <c r="L39" s="49"/>
    </row>
    <row r="40">
      <c r="A40" s="42"/>
      <c r="B40" s="43"/>
      <c r="C40" s="44" t="s">
        <v>31</v>
      </c>
      <c r="D40" s="46"/>
      <c r="E40" s="46"/>
      <c r="F40" s="46">
        <f t="shared" si="7"/>
        <v>0</v>
      </c>
      <c r="G40" s="46"/>
      <c r="H40" s="46"/>
      <c r="I40" s="46"/>
      <c r="J40" s="48"/>
      <c r="K40" s="48"/>
      <c r="L40" s="49"/>
    </row>
    <row r="41">
      <c r="A41" s="42"/>
      <c r="B41" s="42"/>
      <c r="C41" s="44" t="s">
        <v>44</v>
      </c>
      <c r="D41" s="46"/>
      <c r="E41" s="46"/>
      <c r="F41" s="46">
        <f t="shared" si="7"/>
        <v>0</v>
      </c>
      <c r="G41" s="46"/>
      <c r="H41" s="46"/>
      <c r="I41" s="46"/>
      <c r="J41" s="48"/>
      <c r="K41" s="48"/>
      <c r="L41" s="49"/>
    </row>
    <row r="42">
      <c r="A42" s="42"/>
      <c r="B42" s="42"/>
      <c r="C42" s="44" t="s">
        <v>35</v>
      </c>
      <c r="D42" s="46"/>
      <c r="E42" s="46"/>
      <c r="F42" s="46">
        <f t="shared" si="7"/>
        <v>0</v>
      </c>
      <c r="G42" s="46"/>
      <c r="H42" s="46"/>
      <c r="I42" s="46"/>
      <c r="J42" s="48"/>
      <c r="K42" s="48"/>
      <c r="L42" s="49"/>
    </row>
    <row r="43">
      <c r="A43" s="42"/>
      <c r="B43" s="42"/>
      <c r="C43" s="44" t="s">
        <v>36</v>
      </c>
      <c r="D43" s="46"/>
      <c r="E43" s="46"/>
      <c r="F43" s="46">
        <f t="shared" si="7"/>
        <v>0</v>
      </c>
      <c r="G43" s="46"/>
      <c r="H43" s="46"/>
      <c r="I43" s="46"/>
      <c r="J43" s="48"/>
      <c r="K43" s="48"/>
      <c r="L43" s="49"/>
    </row>
    <row r="44">
      <c r="A44" s="42"/>
      <c r="B44" s="42"/>
      <c r="C44" s="44" t="s">
        <v>45</v>
      </c>
      <c r="D44" s="46"/>
      <c r="E44" s="46"/>
      <c r="F44" s="46">
        <f t="shared" si="7"/>
        <v>0</v>
      </c>
      <c r="G44" s="46"/>
      <c r="H44" s="46"/>
      <c r="I44" s="46"/>
      <c r="J44" s="48"/>
      <c r="K44" s="48"/>
      <c r="L44" s="49"/>
    </row>
    <row r="45">
      <c r="A45" s="42"/>
      <c r="B45" s="42"/>
      <c r="C45" s="44" t="s">
        <v>45</v>
      </c>
      <c r="D45" s="46"/>
      <c r="E45" s="46"/>
      <c r="F45" s="46">
        <f t="shared" si="7"/>
        <v>0</v>
      </c>
      <c r="G45" s="46"/>
      <c r="H45" s="46"/>
      <c r="I45" s="46"/>
      <c r="J45" s="48"/>
      <c r="K45" s="48"/>
      <c r="L45" s="49"/>
    </row>
    <row r="46">
      <c r="A46" s="53"/>
      <c r="B46" s="53"/>
      <c r="C46" s="54" t="s">
        <v>46</v>
      </c>
      <c r="D46" s="55">
        <f t="shared" ref="D46:F46" si="8">SUM(D36:D43)</f>
        <v>0</v>
      </c>
      <c r="E46" s="55">
        <f t="shared" si="8"/>
        <v>0</v>
      </c>
      <c r="F46" s="55">
        <f t="shared" si="8"/>
        <v>0</v>
      </c>
      <c r="G46" s="64"/>
      <c r="H46" s="55"/>
      <c r="I46" s="55"/>
      <c r="J46" s="55"/>
      <c r="K46" s="56"/>
      <c r="L46" s="53"/>
    </row>
    <row r="47" ht="16.5" customHeight="1">
      <c r="A47" s="65"/>
      <c r="B47" s="66"/>
      <c r="C47" s="67"/>
      <c r="D47" s="68"/>
      <c r="E47" s="69"/>
      <c r="F47" s="69"/>
      <c r="G47" s="69"/>
      <c r="H47" s="69"/>
      <c r="I47" s="69"/>
      <c r="J47" s="70"/>
      <c r="K47" s="70"/>
      <c r="L47" s="71"/>
    </row>
    <row r="48" ht="22.5" customHeight="1">
      <c r="A48" s="44">
        <v>3.0</v>
      </c>
      <c r="B48" s="44" t="s">
        <v>47</v>
      </c>
      <c r="C48" s="44"/>
      <c r="D48" s="46"/>
      <c r="E48" s="46"/>
      <c r="F48" s="46"/>
      <c r="G48" s="46"/>
      <c r="H48" s="46"/>
      <c r="I48" s="46"/>
      <c r="J48" s="48"/>
      <c r="K48" s="48"/>
      <c r="L48" s="49"/>
    </row>
    <row r="49">
      <c r="A49" s="42"/>
      <c r="B49" s="43"/>
      <c r="C49" s="44" t="s">
        <v>86</v>
      </c>
      <c r="D49" s="46"/>
      <c r="E49" s="46"/>
      <c r="F49" s="46"/>
      <c r="G49" s="46"/>
      <c r="H49" s="46"/>
      <c r="I49" s="46"/>
      <c r="J49" s="48"/>
      <c r="K49" s="48"/>
      <c r="L49" s="49"/>
    </row>
    <row r="50">
      <c r="A50" s="42"/>
      <c r="B50" s="43"/>
      <c r="C50" s="44" t="s">
        <v>36</v>
      </c>
      <c r="D50" s="46"/>
      <c r="E50" s="46"/>
      <c r="F50" s="46">
        <f t="shared" ref="F50:F52" si="9">E50-D50</f>
        <v>0</v>
      </c>
      <c r="G50" s="46"/>
      <c r="H50" s="46"/>
      <c r="I50" s="46"/>
      <c r="J50" s="48"/>
      <c r="K50" s="48"/>
      <c r="L50" s="49"/>
    </row>
    <row r="51">
      <c r="A51" s="42"/>
      <c r="B51" s="43"/>
      <c r="C51" s="44" t="s">
        <v>36</v>
      </c>
      <c r="D51" s="46"/>
      <c r="E51" s="46"/>
      <c r="F51" s="46">
        <f t="shared" si="9"/>
        <v>0</v>
      </c>
      <c r="G51" s="46"/>
      <c r="H51" s="46"/>
      <c r="I51" s="46"/>
      <c r="J51" s="48"/>
      <c r="K51" s="48"/>
      <c r="L51" s="49"/>
    </row>
    <row r="52">
      <c r="A52" s="42"/>
      <c r="B52" s="43"/>
      <c r="C52" s="44" t="s">
        <v>36</v>
      </c>
      <c r="D52" s="46"/>
      <c r="E52" s="46"/>
      <c r="F52" s="46">
        <f t="shared" si="9"/>
        <v>0</v>
      </c>
      <c r="G52" s="46"/>
      <c r="H52" s="46"/>
      <c r="I52" s="46"/>
      <c r="J52" s="48"/>
      <c r="K52" s="48"/>
      <c r="L52" s="49"/>
    </row>
    <row r="53">
      <c r="A53" s="53"/>
      <c r="B53" s="53"/>
      <c r="C53" s="54" t="s">
        <v>51</v>
      </c>
      <c r="D53" s="55">
        <f t="shared" ref="D53:F53" si="10">SUM(D50:D52)</f>
        <v>0</v>
      </c>
      <c r="E53" s="55">
        <f t="shared" si="10"/>
        <v>0</v>
      </c>
      <c r="F53" s="55">
        <f t="shared" si="10"/>
        <v>0</v>
      </c>
      <c r="G53" s="64"/>
      <c r="H53" s="55"/>
      <c r="I53" s="55"/>
      <c r="J53" s="55"/>
      <c r="K53" s="56"/>
      <c r="L53" s="53"/>
    </row>
    <row r="54">
      <c r="A54" s="72"/>
    </row>
    <row r="55" ht="23.25" customHeight="1">
      <c r="A55" s="73">
        <v>4.0</v>
      </c>
      <c r="B55" s="73" t="s">
        <v>36</v>
      </c>
      <c r="C55" s="73"/>
      <c r="D55" s="74"/>
      <c r="E55" s="74"/>
      <c r="F55" s="74"/>
      <c r="G55" s="75"/>
      <c r="H55" s="75"/>
      <c r="I55" s="75"/>
      <c r="J55" s="75"/>
      <c r="K55" s="75"/>
      <c r="L55" s="75"/>
    </row>
    <row r="56">
      <c r="A56" s="75"/>
      <c r="B56" s="76"/>
      <c r="C56" s="73" t="s">
        <v>52</v>
      </c>
      <c r="D56" s="74"/>
      <c r="E56" s="74"/>
      <c r="F56" s="74">
        <f t="shared" ref="F56:F63" si="11">E56-D56</f>
        <v>0</v>
      </c>
      <c r="G56" s="75"/>
      <c r="H56" s="75"/>
      <c r="I56" s="75"/>
      <c r="J56" s="75"/>
      <c r="K56" s="75"/>
      <c r="L56" s="75"/>
    </row>
    <row r="57">
      <c r="A57" s="75"/>
      <c r="B57" s="76"/>
      <c r="C57" s="73" t="s">
        <v>53</v>
      </c>
      <c r="D57" s="74"/>
      <c r="E57" s="74"/>
      <c r="F57" s="74">
        <f t="shared" si="11"/>
        <v>0</v>
      </c>
      <c r="G57" s="75"/>
      <c r="H57" s="75"/>
      <c r="I57" s="75"/>
      <c r="J57" s="75"/>
      <c r="K57" s="75"/>
      <c r="L57" s="75"/>
    </row>
    <row r="58">
      <c r="A58" s="75"/>
      <c r="B58" s="76"/>
      <c r="C58" s="73" t="s">
        <v>54</v>
      </c>
      <c r="D58" s="74"/>
      <c r="E58" s="74"/>
      <c r="F58" s="74">
        <f t="shared" si="11"/>
        <v>0</v>
      </c>
      <c r="G58" s="75"/>
      <c r="H58" s="75"/>
      <c r="I58" s="75"/>
      <c r="J58" s="75"/>
      <c r="K58" s="75"/>
      <c r="L58" s="75"/>
    </row>
    <row r="59">
      <c r="A59" s="75"/>
      <c r="B59" s="76"/>
      <c r="C59" s="73" t="s">
        <v>55</v>
      </c>
      <c r="D59" s="74"/>
      <c r="E59" s="74"/>
      <c r="F59" s="74">
        <f t="shared" si="11"/>
        <v>0</v>
      </c>
      <c r="G59" s="75"/>
      <c r="H59" s="75"/>
      <c r="I59" s="75"/>
      <c r="J59" s="75"/>
      <c r="K59" s="75"/>
      <c r="L59" s="75"/>
    </row>
    <row r="60">
      <c r="A60" s="75"/>
      <c r="B60" s="76"/>
      <c r="C60" s="73" t="s">
        <v>56</v>
      </c>
      <c r="D60" s="74"/>
      <c r="E60" s="74"/>
      <c r="F60" s="74">
        <f t="shared" si="11"/>
        <v>0</v>
      </c>
      <c r="G60" s="75"/>
      <c r="H60" s="75"/>
      <c r="I60" s="75"/>
      <c r="J60" s="75"/>
      <c r="K60" s="75"/>
      <c r="L60" s="75"/>
    </row>
    <row r="61">
      <c r="A61" s="75"/>
      <c r="B61" s="76"/>
      <c r="C61" s="73" t="s">
        <v>57</v>
      </c>
      <c r="D61" s="74"/>
      <c r="E61" s="74"/>
      <c r="F61" s="74">
        <f t="shared" si="11"/>
        <v>0</v>
      </c>
      <c r="G61" s="75"/>
      <c r="H61" s="75"/>
      <c r="I61" s="75"/>
      <c r="J61" s="75"/>
      <c r="K61" s="75"/>
      <c r="L61" s="75"/>
    </row>
    <row r="62">
      <c r="A62" s="75"/>
      <c r="B62" s="76"/>
      <c r="C62" s="73" t="s">
        <v>80</v>
      </c>
      <c r="D62" s="74"/>
      <c r="E62" s="74"/>
      <c r="F62" s="74">
        <f t="shared" si="11"/>
        <v>0</v>
      </c>
      <c r="G62" s="75"/>
      <c r="H62" s="75"/>
      <c r="I62" s="75"/>
      <c r="J62" s="75"/>
      <c r="K62" s="75"/>
      <c r="L62" s="75"/>
    </row>
    <row r="63">
      <c r="A63" s="75"/>
      <c r="B63" s="76"/>
      <c r="C63" s="73" t="s">
        <v>59</v>
      </c>
      <c r="D63" s="74"/>
      <c r="E63" s="74"/>
      <c r="F63" s="74">
        <f t="shared" si="11"/>
        <v>0</v>
      </c>
      <c r="G63" s="75"/>
      <c r="H63" s="75"/>
      <c r="I63" s="75"/>
      <c r="J63" s="75"/>
      <c r="K63" s="75"/>
      <c r="L63" s="75"/>
    </row>
    <row r="64">
      <c r="A64" s="80"/>
      <c r="B64" s="80"/>
      <c r="C64" s="81" t="s">
        <v>60</v>
      </c>
      <c r="D64" s="82">
        <f t="shared" ref="D64:F64" si="12">SUM(D57:D59)</f>
        <v>0</v>
      </c>
      <c r="E64" s="82">
        <f t="shared" si="12"/>
        <v>0</v>
      </c>
      <c r="F64" s="82">
        <f t="shared" si="12"/>
        <v>0</v>
      </c>
      <c r="G64" s="80"/>
      <c r="H64" s="80"/>
      <c r="I64" s="80"/>
      <c r="J64" s="80"/>
      <c r="K64" s="80"/>
      <c r="L64" s="80"/>
    </row>
    <row r="65">
      <c r="A65" s="72"/>
    </row>
    <row r="66">
      <c r="A66" s="72"/>
      <c r="B66" s="72"/>
      <c r="C66" s="83"/>
      <c r="D66" s="84" t="s">
        <v>61</v>
      </c>
      <c r="E66" s="84" t="s">
        <v>87</v>
      </c>
      <c r="F66" s="85" t="s">
        <v>63</v>
      </c>
      <c r="G66" s="86" t="s">
        <v>64</v>
      </c>
      <c r="H66" s="72"/>
      <c r="I66" s="72"/>
      <c r="J66" s="72"/>
      <c r="K66" s="72"/>
      <c r="L66" s="72"/>
    </row>
    <row r="67" ht="42.0" customHeight="1">
      <c r="A67" s="87"/>
      <c r="B67" s="88" t="s">
        <v>65</v>
      </c>
      <c r="C67" s="89"/>
      <c r="D67" s="117">
        <f>D64+D53+D46+D32</f>
        <v>0</v>
      </c>
      <c r="E67" s="117">
        <v>930.0</v>
      </c>
      <c r="F67" s="117">
        <f>E67-D67</f>
        <v>930</v>
      </c>
      <c r="G67" s="118">
        <f>F67/E67</f>
        <v>1</v>
      </c>
      <c r="H67" s="92"/>
      <c r="I67" s="92"/>
      <c r="J67" s="92"/>
      <c r="K67" s="92"/>
      <c r="L67" s="87"/>
    </row>
  </sheetData>
  <mergeCells count="6">
    <mergeCell ref="B2:C2"/>
    <mergeCell ref="D2:K2"/>
    <mergeCell ref="C3:D3"/>
    <mergeCell ref="A54:L54"/>
    <mergeCell ref="A65:L65"/>
    <mergeCell ref="B67:C67"/>
  </mergeCells>
  <conditionalFormatting sqref="J7:K7 J33:K33 J47:K47 J67:K67">
    <cfRule type="expression" dxfId="4" priority="1">
      <formula>AND(OR($D7="In progress",$D7="Not started" ),OR($J7=today(), $J7=today()+1))</formula>
    </cfRule>
  </conditionalFormatting>
  <conditionalFormatting sqref="D7 D33 D47 D67:F67">
    <cfRule type="cellIs" dxfId="5" priority="2" operator="equal">
      <formula>"Not started"</formula>
    </cfRule>
  </conditionalFormatting>
  <conditionalFormatting sqref="D7 D33 D47 D67:F67">
    <cfRule type="cellIs" dxfId="6" priority="3" operator="equal">
      <formula>"In progress"</formula>
    </cfRule>
  </conditionalFormatting>
  <conditionalFormatting sqref="A7:L7 A33:L33 A47:L47 A67:L67">
    <cfRule type="expression" dxfId="7" priority="4">
      <formula>RegExMatch(($D7),"Done")</formula>
    </cfRule>
  </conditionalFormatting>
  <conditionalFormatting sqref="E7:I7 E33:I33 D47:J47 D67:J67">
    <cfRule type="timePeriod" dxfId="8" priority="5" timePeriod="today"/>
  </conditionalFormatting>
  <conditionalFormatting sqref="E7:I7 E33:I33 D47:J47 D67:J67">
    <cfRule type="expression" dxfId="4" priority="6">
      <formula>AND($E7&lt;TODAY(), OR($D7="In progress", $D7="Not started"))</formula>
    </cfRule>
  </conditionalFormatting>
  <conditionalFormatting sqref="A5:L67">
    <cfRule type="expression" dxfId="7" priority="7">
      <formula>RegExMatch((#REF!),"Done")</formula>
    </cfRule>
  </conditionalFormatting>
  <printOptions gridLines="1" horizontalCentered="1"/>
  <pageMargins bottom="0.75" footer="0.0" header="0.0" left="0.25" right="0.25" top="0.75"/>
  <pageSetup fitToWidth="0" cellComments="atEnd" orientation="portrait" pageOrder="overThenDown"/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5"/>
    <col customWidth="1" min="2" max="2" width="19.0"/>
    <col customWidth="1" min="3" max="3" width="36.38"/>
    <col customWidth="1" min="4" max="4" width="15.25"/>
    <col customWidth="1" min="5" max="5" width="13.25"/>
    <col customWidth="1" min="6" max="6" width="11.0"/>
    <col customWidth="1" min="7" max="7" width="7.38"/>
    <col customWidth="1" min="8" max="9" width="14.13"/>
    <col customWidth="1" min="10" max="10" width="9.25"/>
    <col customWidth="1" min="11" max="11" width="12.75"/>
    <col customWidth="1" min="12" max="12" width="2.5"/>
  </cols>
  <sheetData>
    <row r="1" ht="12.0" customHeight="1">
      <c r="A1" s="1"/>
      <c r="B1" s="1"/>
      <c r="C1" s="1"/>
      <c r="D1" s="2"/>
      <c r="E1" s="2"/>
      <c r="F1" s="2"/>
      <c r="G1" s="2"/>
      <c r="H1" s="2"/>
      <c r="I1" s="2"/>
      <c r="J1" s="3"/>
      <c r="K1" s="3"/>
      <c r="L1" s="2"/>
    </row>
    <row r="2" ht="44.25" customHeight="1">
      <c r="A2" s="1"/>
      <c r="B2" s="4" t="s">
        <v>83</v>
      </c>
      <c r="C2" s="5"/>
      <c r="D2" s="6"/>
      <c r="E2" s="7"/>
      <c r="F2" s="7"/>
      <c r="G2" s="7"/>
      <c r="H2" s="7"/>
      <c r="I2" s="7"/>
      <c r="J2" s="7"/>
      <c r="K2" s="5"/>
      <c r="L2" s="8"/>
    </row>
    <row r="3" ht="36.75" customHeight="1">
      <c r="A3" s="9"/>
      <c r="B3" s="10" t="s">
        <v>1</v>
      </c>
      <c r="C3" s="11" t="s">
        <v>89</v>
      </c>
      <c r="D3" s="12"/>
      <c r="E3" s="13" t="s">
        <v>3</v>
      </c>
      <c r="F3" s="14">
        <v>162.0</v>
      </c>
      <c r="G3" s="15"/>
      <c r="H3" s="15"/>
      <c r="I3" s="15"/>
      <c r="J3" s="15"/>
      <c r="K3" s="15"/>
      <c r="L3" s="16"/>
    </row>
    <row r="4" ht="36.75" customHeight="1">
      <c r="A4" s="9"/>
      <c r="B4" s="10" t="s">
        <v>84</v>
      </c>
      <c r="C4" s="17">
        <v>360.0</v>
      </c>
      <c r="D4" s="13"/>
      <c r="E4" s="18" t="s">
        <v>90</v>
      </c>
      <c r="F4" s="19">
        <v>3.0</v>
      </c>
      <c r="G4" s="15"/>
      <c r="H4" s="15"/>
      <c r="I4" s="15" t="s">
        <v>6</v>
      </c>
      <c r="J4" s="20"/>
      <c r="K4" s="15"/>
      <c r="L4" s="16"/>
    </row>
    <row r="5" ht="13.5" customHeight="1">
      <c r="A5" s="9"/>
      <c r="B5" s="21"/>
      <c r="C5" s="21"/>
      <c r="D5" s="15"/>
      <c r="E5" s="22"/>
      <c r="F5" s="23"/>
      <c r="G5" s="23"/>
      <c r="H5" s="23"/>
      <c r="I5" s="24"/>
      <c r="J5" s="15"/>
      <c r="K5" s="15"/>
      <c r="L5" s="16"/>
    </row>
    <row r="6" ht="29.25" customHeight="1">
      <c r="A6" s="25"/>
      <c r="B6" s="25" t="s">
        <v>7</v>
      </c>
      <c r="C6" s="25" t="s">
        <v>8</v>
      </c>
      <c r="D6" s="26" t="s">
        <v>9</v>
      </c>
      <c r="E6" s="27" t="s">
        <v>10</v>
      </c>
      <c r="F6" s="28" t="s">
        <v>11</v>
      </c>
      <c r="G6" s="28" t="s">
        <v>12</v>
      </c>
      <c r="H6" s="28" t="s">
        <v>13</v>
      </c>
      <c r="I6" s="29" t="s">
        <v>14</v>
      </c>
      <c r="J6" s="30" t="s">
        <v>15</v>
      </c>
      <c r="K6" s="30" t="s">
        <v>16</v>
      </c>
      <c r="L6" s="25"/>
    </row>
    <row r="7" ht="1.5" customHeight="1">
      <c r="A7" s="31"/>
      <c r="B7" s="32"/>
      <c r="C7" s="33"/>
      <c r="D7" s="34"/>
      <c r="E7" s="35"/>
      <c r="F7" s="36"/>
      <c r="G7" s="36"/>
      <c r="H7" s="36"/>
      <c r="I7" s="35"/>
      <c r="J7" s="37"/>
      <c r="K7" s="37"/>
      <c r="L7" s="35"/>
    </row>
    <row r="8" ht="22.5" customHeight="1">
      <c r="A8" s="38">
        <v>1.0</v>
      </c>
      <c r="B8" s="38" t="s">
        <v>17</v>
      </c>
      <c r="C8" s="38"/>
      <c r="D8" s="39"/>
      <c r="E8" s="39"/>
      <c r="F8" s="39"/>
      <c r="G8" s="39"/>
      <c r="H8" s="39"/>
      <c r="I8" s="39"/>
      <c r="J8" s="40"/>
      <c r="K8" s="40"/>
      <c r="L8" s="41"/>
    </row>
    <row r="9">
      <c r="A9" s="42"/>
      <c r="B9" s="43"/>
      <c r="C9" s="44" t="s">
        <v>18</v>
      </c>
      <c r="D9" s="46">
        <v>0.0</v>
      </c>
      <c r="E9" s="46"/>
      <c r="F9" s="46">
        <f t="shared" ref="F9:F31" si="1">E9-D9</f>
        <v>0</v>
      </c>
      <c r="G9" s="46"/>
      <c r="H9" s="46"/>
      <c r="I9" s="46">
        <f t="shared" ref="I9:I22" si="2">D9/75</f>
        <v>0</v>
      </c>
      <c r="J9" s="48"/>
      <c r="K9" s="48"/>
      <c r="L9" s="49"/>
    </row>
    <row r="10">
      <c r="A10" s="42"/>
      <c r="B10" s="43"/>
      <c r="C10" s="44" t="s">
        <v>19</v>
      </c>
      <c r="D10" s="46">
        <v>0.0</v>
      </c>
      <c r="E10" s="46"/>
      <c r="F10" s="46">
        <f t="shared" si="1"/>
        <v>0</v>
      </c>
      <c r="G10" s="46"/>
      <c r="H10" s="46"/>
      <c r="I10" s="46">
        <f t="shared" si="2"/>
        <v>0</v>
      </c>
      <c r="J10" s="48"/>
      <c r="K10" s="48"/>
      <c r="L10" s="49"/>
    </row>
    <row r="11">
      <c r="A11" s="42"/>
      <c r="B11" s="43"/>
      <c r="C11" s="44" t="s">
        <v>20</v>
      </c>
      <c r="D11" s="46">
        <v>0.0</v>
      </c>
      <c r="E11" s="46"/>
      <c r="F11" s="46">
        <f t="shared" si="1"/>
        <v>0</v>
      </c>
      <c r="G11" s="46"/>
      <c r="H11" s="46"/>
      <c r="I11" s="46">
        <f t="shared" si="2"/>
        <v>0</v>
      </c>
      <c r="J11" s="48"/>
      <c r="K11" s="48"/>
      <c r="L11" s="49"/>
    </row>
    <row r="12">
      <c r="A12" s="42"/>
      <c r="B12" s="42"/>
      <c r="C12" s="44" t="s">
        <v>21</v>
      </c>
      <c r="D12" s="46">
        <v>0.0</v>
      </c>
      <c r="E12" s="46"/>
      <c r="F12" s="46">
        <f t="shared" si="1"/>
        <v>0</v>
      </c>
      <c r="G12" s="46"/>
      <c r="H12" s="46"/>
      <c r="I12" s="46">
        <f t="shared" si="2"/>
        <v>0</v>
      </c>
      <c r="J12" s="48"/>
      <c r="K12" s="48"/>
      <c r="L12" s="49"/>
    </row>
    <row r="13">
      <c r="A13" s="42"/>
      <c r="B13" s="42"/>
      <c r="C13" s="44" t="s">
        <v>22</v>
      </c>
      <c r="D13" s="46">
        <v>0.0</v>
      </c>
      <c r="E13" s="46"/>
      <c r="F13" s="46">
        <f t="shared" si="1"/>
        <v>0</v>
      </c>
      <c r="G13" s="46"/>
      <c r="H13" s="46"/>
      <c r="I13" s="46">
        <f t="shared" si="2"/>
        <v>0</v>
      </c>
      <c r="J13" s="48"/>
      <c r="K13" s="48"/>
      <c r="L13" s="49"/>
    </row>
    <row r="14">
      <c r="A14" s="42"/>
      <c r="B14" s="42"/>
      <c r="C14" s="44" t="s">
        <v>23</v>
      </c>
      <c r="D14" s="46">
        <v>0.0</v>
      </c>
      <c r="E14" s="46"/>
      <c r="F14" s="46">
        <f t="shared" si="1"/>
        <v>0</v>
      </c>
      <c r="G14" s="46"/>
      <c r="H14" s="46"/>
      <c r="I14" s="46">
        <f t="shared" si="2"/>
        <v>0</v>
      </c>
      <c r="J14" s="48"/>
      <c r="K14" s="48"/>
      <c r="L14" s="49"/>
    </row>
    <row r="15">
      <c r="A15" s="42"/>
      <c r="B15" s="42"/>
      <c r="C15" s="44" t="s">
        <v>24</v>
      </c>
      <c r="D15" s="46">
        <v>0.0</v>
      </c>
      <c r="E15" s="46"/>
      <c r="F15" s="46">
        <f t="shared" si="1"/>
        <v>0</v>
      </c>
      <c r="G15" s="46"/>
      <c r="H15" s="46"/>
      <c r="I15" s="46">
        <f t="shared" si="2"/>
        <v>0</v>
      </c>
      <c r="J15" s="48"/>
      <c r="K15" s="48"/>
      <c r="L15" s="49"/>
    </row>
    <row r="16">
      <c r="A16" s="42"/>
      <c r="B16" s="42"/>
      <c r="C16" s="44" t="s">
        <v>25</v>
      </c>
      <c r="D16" s="45">
        <v>313.0</v>
      </c>
      <c r="E16" s="46"/>
      <c r="F16" s="46">
        <f t="shared" si="1"/>
        <v>-313</v>
      </c>
      <c r="G16" s="46"/>
      <c r="H16" s="46"/>
      <c r="I16" s="46">
        <f t="shared" si="2"/>
        <v>4.173333333</v>
      </c>
      <c r="J16" s="48"/>
      <c r="K16" s="48"/>
      <c r="L16" s="49"/>
    </row>
    <row r="17">
      <c r="A17" s="42"/>
      <c r="B17" s="42"/>
      <c r="C17" s="44" t="s">
        <v>26</v>
      </c>
      <c r="D17" s="46">
        <v>0.0</v>
      </c>
      <c r="E17" s="46"/>
      <c r="F17" s="46">
        <f t="shared" si="1"/>
        <v>0</v>
      </c>
      <c r="G17" s="46"/>
      <c r="H17" s="46"/>
      <c r="I17" s="46">
        <f t="shared" si="2"/>
        <v>0</v>
      </c>
      <c r="J17" s="48"/>
      <c r="K17" s="48"/>
      <c r="L17" s="49"/>
    </row>
    <row r="18">
      <c r="A18" s="42"/>
      <c r="B18" s="42"/>
      <c r="C18" s="44" t="s">
        <v>27</v>
      </c>
      <c r="D18" s="46">
        <v>0.0</v>
      </c>
      <c r="E18" s="46"/>
      <c r="F18" s="46">
        <f t="shared" si="1"/>
        <v>0</v>
      </c>
      <c r="G18" s="46"/>
      <c r="H18" s="46"/>
      <c r="I18" s="46">
        <f t="shared" si="2"/>
        <v>0</v>
      </c>
      <c r="J18" s="48"/>
      <c r="K18" s="48"/>
      <c r="L18" s="49"/>
    </row>
    <row r="19">
      <c r="A19" s="42"/>
      <c r="B19" s="42"/>
      <c r="C19" s="44" t="s">
        <v>28</v>
      </c>
      <c r="D19" s="46">
        <v>0.0</v>
      </c>
      <c r="E19" s="46"/>
      <c r="F19" s="46">
        <f t="shared" si="1"/>
        <v>0</v>
      </c>
      <c r="G19" s="46"/>
      <c r="H19" s="46"/>
      <c r="I19" s="46">
        <f t="shared" si="2"/>
        <v>0</v>
      </c>
      <c r="J19" s="48"/>
      <c r="K19" s="48"/>
      <c r="L19" s="49"/>
    </row>
    <row r="20">
      <c r="A20" s="42"/>
      <c r="B20" s="42"/>
      <c r="C20" s="44" t="s">
        <v>29</v>
      </c>
      <c r="D20" s="46">
        <v>0.0</v>
      </c>
      <c r="E20" s="46"/>
      <c r="F20" s="46">
        <f t="shared" si="1"/>
        <v>0</v>
      </c>
      <c r="G20" s="46"/>
      <c r="H20" s="46"/>
      <c r="I20" s="46">
        <f t="shared" si="2"/>
        <v>0</v>
      </c>
      <c r="J20" s="48"/>
      <c r="K20" s="48"/>
      <c r="L20" s="49"/>
    </row>
    <row r="21">
      <c r="A21" s="42"/>
      <c r="B21" s="42"/>
      <c r="C21" s="44" t="s">
        <v>30</v>
      </c>
      <c r="D21" s="46">
        <v>0.0</v>
      </c>
      <c r="E21" s="46"/>
      <c r="F21" s="46">
        <f t="shared" si="1"/>
        <v>0</v>
      </c>
      <c r="G21" s="46"/>
      <c r="H21" s="46"/>
      <c r="I21" s="46">
        <f t="shared" si="2"/>
        <v>0</v>
      </c>
      <c r="J21" s="48"/>
      <c r="K21" s="48"/>
      <c r="L21" s="49"/>
    </row>
    <row r="22">
      <c r="A22" s="42"/>
      <c r="B22" s="42"/>
      <c r="C22" s="44" t="s">
        <v>31</v>
      </c>
      <c r="D22" s="46">
        <v>0.0</v>
      </c>
      <c r="E22" s="46"/>
      <c r="F22" s="46">
        <f t="shared" si="1"/>
        <v>0</v>
      </c>
      <c r="G22" s="46"/>
      <c r="H22" s="46"/>
      <c r="I22" s="46">
        <f t="shared" si="2"/>
        <v>0</v>
      </c>
      <c r="J22" s="48"/>
      <c r="K22" s="48"/>
      <c r="L22" s="49"/>
    </row>
    <row r="23">
      <c r="A23" s="42"/>
      <c r="B23" s="42"/>
      <c r="C23" s="44" t="s">
        <v>32</v>
      </c>
      <c r="D23" s="46">
        <v>0.0</v>
      </c>
      <c r="E23" s="46"/>
      <c r="F23" s="46">
        <f t="shared" si="1"/>
        <v>0</v>
      </c>
      <c r="G23" s="46"/>
      <c r="H23" s="46"/>
      <c r="I23" s="46">
        <f>D23/65</f>
        <v>0</v>
      </c>
      <c r="J23" s="48"/>
      <c r="K23" s="48"/>
      <c r="L23" s="49"/>
    </row>
    <row r="24">
      <c r="A24" s="42"/>
      <c r="B24" s="42"/>
      <c r="C24" s="44" t="s">
        <v>68</v>
      </c>
      <c r="D24" s="46">
        <v>0.0</v>
      </c>
      <c r="E24" s="46"/>
      <c r="F24" s="46">
        <f t="shared" si="1"/>
        <v>0</v>
      </c>
      <c r="G24" s="46"/>
      <c r="H24" s="46"/>
      <c r="I24" s="46">
        <f t="shared" ref="I24:I28" si="3">D24/75</f>
        <v>0</v>
      </c>
      <c r="J24" s="48"/>
      <c r="K24" s="48"/>
      <c r="L24" s="49"/>
    </row>
    <row r="25">
      <c r="A25" s="42"/>
      <c r="B25" s="42"/>
      <c r="C25" s="44" t="s">
        <v>34</v>
      </c>
      <c r="D25" s="46">
        <v>0.0</v>
      </c>
      <c r="E25" s="46"/>
      <c r="F25" s="46">
        <f t="shared" si="1"/>
        <v>0</v>
      </c>
      <c r="G25" s="46"/>
      <c r="H25" s="46"/>
      <c r="I25" s="46">
        <f t="shared" si="3"/>
        <v>0</v>
      </c>
      <c r="J25" s="48"/>
      <c r="K25" s="48"/>
      <c r="L25" s="49"/>
    </row>
    <row r="26">
      <c r="A26" s="42"/>
      <c r="B26" s="42"/>
      <c r="C26" s="44" t="s">
        <v>35</v>
      </c>
      <c r="D26" s="46">
        <v>0.0</v>
      </c>
      <c r="E26" s="46"/>
      <c r="F26" s="46">
        <f t="shared" si="1"/>
        <v>0</v>
      </c>
      <c r="G26" s="46"/>
      <c r="H26" s="46"/>
      <c r="I26" s="46">
        <f t="shared" si="3"/>
        <v>0</v>
      </c>
      <c r="J26" s="48"/>
      <c r="K26" s="48"/>
      <c r="L26" s="49"/>
    </row>
    <row r="27">
      <c r="A27" s="42"/>
      <c r="B27" s="42"/>
      <c r="C27" s="44" t="s">
        <v>36</v>
      </c>
      <c r="D27" s="46">
        <v>0.0</v>
      </c>
      <c r="E27" s="46"/>
      <c r="F27" s="46">
        <f t="shared" si="1"/>
        <v>0</v>
      </c>
      <c r="G27" s="46"/>
      <c r="H27" s="46"/>
      <c r="I27" s="46">
        <f t="shared" si="3"/>
        <v>0</v>
      </c>
      <c r="J27" s="48"/>
      <c r="K27" s="48"/>
      <c r="L27" s="42"/>
    </row>
    <row r="28">
      <c r="A28" s="42"/>
      <c r="B28" s="42"/>
      <c r="C28" s="44" t="s">
        <v>37</v>
      </c>
      <c r="D28" s="46">
        <v>0.0</v>
      </c>
      <c r="E28" s="46"/>
      <c r="F28" s="46">
        <f t="shared" si="1"/>
        <v>0</v>
      </c>
      <c r="G28" s="46"/>
      <c r="H28" s="46"/>
      <c r="I28" s="46">
        <f t="shared" si="3"/>
        <v>0</v>
      </c>
      <c r="J28" s="48"/>
      <c r="K28" s="48"/>
      <c r="L28" s="42"/>
    </row>
    <row r="29">
      <c r="A29" s="42"/>
      <c r="B29" s="42"/>
      <c r="C29" s="44" t="s">
        <v>38</v>
      </c>
      <c r="D29" s="46">
        <v>0.0</v>
      </c>
      <c r="E29" s="46"/>
      <c r="F29" s="46">
        <f t="shared" si="1"/>
        <v>0</v>
      </c>
      <c r="G29" s="46"/>
      <c r="H29" s="46"/>
      <c r="I29" s="46"/>
      <c r="J29" s="48"/>
      <c r="K29" s="48"/>
      <c r="L29" s="42"/>
    </row>
    <row r="30">
      <c r="A30" s="42"/>
      <c r="B30" s="42"/>
      <c r="C30" s="44" t="s">
        <v>39</v>
      </c>
      <c r="D30" s="46">
        <v>0.0</v>
      </c>
      <c r="E30" s="46"/>
      <c r="F30" s="46">
        <f t="shared" si="1"/>
        <v>0</v>
      </c>
      <c r="G30" s="46"/>
      <c r="H30" s="46"/>
      <c r="I30" s="46">
        <f t="shared" ref="I30:I31" si="4">D30/75</f>
        <v>0</v>
      </c>
      <c r="J30" s="48"/>
      <c r="K30" s="48"/>
      <c r="L30" s="42"/>
    </row>
    <row r="31">
      <c r="A31" s="42"/>
      <c r="B31" s="42"/>
      <c r="C31" s="44" t="s">
        <v>39</v>
      </c>
      <c r="D31" s="46">
        <v>0.0</v>
      </c>
      <c r="E31" s="46"/>
      <c r="F31" s="46">
        <f t="shared" si="1"/>
        <v>0</v>
      </c>
      <c r="G31" s="46"/>
      <c r="H31" s="46"/>
      <c r="I31" s="46">
        <f t="shared" si="4"/>
        <v>0</v>
      </c>
      <c r="J31" s="48"/>
      <c r="K31" s="48"/>
      <c r="L31" s="42"/>
    </row>
    <row r="32">
      <c r="A32" s="53"/>
      <c r="B32" s="53"/>
      <c r="C32" s="54" t="s">
        <v>40</v>
      </c>
      <c r="D32" s="55">
        <f t="shared" ref="D32:F32" si="5">SUM(D9:D31)</f>
        <v>313</v>
      </c>
      <c r="E32" s="55">
        <f t="shared" si="5"/>
        <v>0</v>
      </c>
      <c r="F32" s="55">
        <f t="shared" si="5"/>
        <v>-313</v>
      </c>
      <c r="G32" s="55"/>
      <c r="H32" s="55"/>
      <c r="I32" s="55">
        <f t="shared" ref="I32:J32" si="6">SUM(I9:I31)</f>
        <v>4.173333333</v>
      </c>
      <c r="J32" s="55">
        <f t="shared" si="6"/>
        <v>0</v>
      </c>
      <c r="K32" s="56"/>
      <c r="L32" s="53"/>
    </row>
    <row r="33" ht="20.25" customHeight="1">
      <c r="A33" s="57"/>
      <c r="B33" s="58"/>
      <c r="C33" s="59"/>
      <c r="D33" s="60"/>
      <c r="E33" s="61"/>
      <c r="F33" s="61"/>
      <c r="G33" s="61"/>
      <c r="H33" s="61"/>
      <c r="I33" s="61"/>
      <c r="J33" s="62"/>
      <c r="K33" s="62"/>
      <c r="L33" s="63"/>
    </row>
    <row r="34" ht="27.0" customHeight="1">
      <c r="A34" s="44">
        <v>2.0</v>
      </c>
      <c r="B34" s="44" t="s">
        <v>41</v>
      </c>
      <c r="C34" s="44"/>
      <c r="D34" s="46"/>
      <c r="E34" s="46"/>
      <c r="F34" s="46"/>
      <c r="G34" s="46"/>
      <c r="H34" s="46"/>
      <c r="I34" s="46"/>
      <c r="J34" s="48"/>
      <c r="K34" s="48"/>
      <c r="L34" s="49"/>
    </row>
    <row r="35" hidden="1">
      <c r="A35" s="42"/>
      <c r="B35" s="43"/>
      <c r="C35" s="44" t="s">
        <v>18</v>
      </c>
      <c r="D35" s="46"/>
      <c r="E35" s="46"/>
      <c r="F35" s="46"/>
      <c r="G35" s="46"/>
      <c r="H35" s="46"/>
      <c r="I35" s="46"/>
      <c r="J35" s="48"/>
      <c r="K35" s="48"/>
      <c r="L35" s="49"/>
    </row>
    <row r="36">
      <c r="A36" s="42"/>
      <c r="B36" s="43"/>
      <c r="C36" s="44" t="s">
        <v>21</v>
      </c>
      <c r="D36" s="46"/>
      <c r="E36" s="46"/>
      <c r="F36" s="46">
        <f t="shared" ref="F36:F45" si="7">E36-D36</f>
        <v>0</v>
      </c>
      <c r="G36" s="46"/>
      <c r="H36" s="46"/>
      <c r="I36" s="46"/>
      <c r="J36" s="48"/>
      <c r="K36" s="48"/>
      <c r="L36" s="49"/>
    </row>
    <row r="37">
      <c r="A37" s="42"/>
      <c r="B37" s="43"/>
      <c r="C37" s="44" t="s">
        <v>42</v>
      </c>
      <c r="D37" s="46"/>
      <c r="E37" s="46"/>
      <c r="F37" s="46">
        <f t="shared" si="7"/>
        <v>0</v>
      </c>
      <c r="G37" s="46"/>
      <c r="H37" s="46"/>
      <c r="I37" s="46"/>
      <c r="J37" s="48"/>
      <c r="K37" s="48"/>
      <c r="L37" s="49"/>
    </row>
    <row r="38">
      <c r="A38" s="42"/>
      <c r="B38" s="43"/>
      <c r="C38" s="44" t="s">
        <v>43</v>
      </c>
      <c r="D38" s="46"/>
      <c r="E38" s="46"/>
      <c r="F38" s="46">
        <f t="shared" si="7"/>
        <v>0</v>
      </c>
      <c r="G38" s="46"/>
      <c r="H38" s="46"/>
      <c r="I38" s="46"/>
      <c r="J38" s="48"/>
      <c r="K38" s="48"/>
      <c r="L38" s="49"/>
    </row>
    <row r="39">
      <c r="A39" s="42"/>
      <c r="B39" s="43"/>
      <c r="C39" s="44" t="s">
        <v>26</v>
      </c>
      <c r="D39" s="46"/>
      <c r="E39" s="46"/>
      <c r="F39" s="46">
        <f t="shared" si="7"/>
        <v>0</v>
      </c>
      <c r="G39" s="46"/>
      <c r="H39" s="46"/>
      <c r="I39" s="46"/>
      <c r="J39" s="48"/>
      <c r="K39" s="48"/>
      <c r="L39" s="49"/>
    </row>
    <row r="40">
      <c r="A40" s="42"/>
      <c r="B40" s="43"/>
      <c r="C40" s="44" t="s">
        <v>31</v>
      </c>
      <c r="D40" s="46"/>
      <c r="E40" s="46"/>
      <c r="F40" s="46">
        <f t="shared" si="7"/>
        <v>0</v>
      </c>
      <c r="G40" s="46"/>
      <c r="H40" s="46"/>
      <c r="I40" s="46"/>
      <c r="J40" s="48"/>
      <c r="K40" s="48"/>
      <c r="L40" s="49"/>
    </row>
    <row r="41">
      <c r="A41" s="42"/>
      <c r="B41" s="42"/>
      <c r="C41" s="44" t="s">
        <v>44</v>
      </c>
      <c r="D41" s="46"/>
      <c r="E41" s="46"/>
      <c r="F41" s="46">
        <f t="shared" si="7"/>
        <v>0</v>
      </c>
      <c r="G41" s="46"/>
      <c r="H41" s="46"/>
      <c r="I41" s="46"/>
      <c r="J41" s="48"/>
      <c r="K41" s="48"/>
      <c r="L41" s="49"/>
    </row>
    <row r="42">
      <c r="A42" s="42"/>
      <c r="B42" s="42"/>
      <c r="C42" s="44" t="s">
        <v>35</v>
      </c>
      <c r="D42" s="46"/>
      <c r="E42" s="46"/>
      <c r="F42" s="46">
        <f t="shared" si="7"/>
        <v>0</v>
      </c>
      <c r="G42" s="46"/>
      <c r="H42" s="46"/>
      <c r="I42" s="46"/>
      <c r="J42" s="48"/>
      <c r="K42" s="48"/>
      <c r="L42" s="49"/>
    </row>
    <row r="43">
      <c r="A43" s="42"/>
      <c r="B43" s="42"/>
      <c r="C43" s="44" t="s">
        <v>36</v>
      </c>
      <c r="D43" s="46"/>
      <c r="E43" s="46"/>
      <c r="F43" s="46">
        <f t="shared" si="7"/>
        <v>0</v>
      </c>
      <c r="G43" s="46"/>
      <c r="H43" s="46"/>
      <c r="I43" s="46"/>
      <c r="J43" s="48"/>
      <c r="K43" s="48"/>
      <c r="L43" s="49"/>
    </row>
    <row r="44">
      <c r="A44" s="42"/>
      <c r="B44" s="42"/>
      <c r="C44" s="44" t="s">
        <v>45</v>
      </c>
      <c r="D44" s="46"/>
      <c r="E44" s="46"/>
      <c r="F44" s="46">
        <f t="shared" si="7"/>
        <v>0</v>
      </c>
      <c r="G44" s="46"/>
      <c r="H44" s="46"/>
      <c r="I44" s="46"/>
      <c r="J44" s="48"/>
      <c r="K44" s="48"/>
      <c r="L44" s="49"/>
    </row>
    <row r="45">
      <c r="A45" s="42"/>
      <c r="B45" s="42"/>
      <c r="C45" s="44" t="s">
        <v>45</v>
      </c>
      <c r="D45" s="46"/>
      <c r="E45" s="46"/>
      <c r="F45" s="46">
        <f t="shared" si="7"/>
        <v>0</v>
      </c>
      <c r="G45" s="46"/>
      <c r="H45" s="46"/>
      <c r="I45" s="46"/>
      <c r="J45" s="48"/>
      <c r="K45" s="48"/>
      <c r="L45" s="49"/>
    </row>
    <row r="46">
      <c r="A46" s="53"/>
      <c r="B46" s="53"/>
      <c r="C46" s="54" t="s">
        <v>46</v>
      </c>
      <c r="D46" s="55">
        <f t="shared" ref="D46:F46" si="8">SUM(D36:D43)</f>
        <v>0</v>
      </c>
      <c r="E46" s="55">
        <f t="shared" si="8"/>
        <v>0</v>
      </c>
      <c r="F46" s="55">
        <f t="shared" si="8"/>
        <v>0</v>
      </c>
      <c r="G46" s="64"/>
      <c r="H46" s="55"/>
      <c r="I46" s="55"/>
      <c r="J46" s="55"/>
      <c r="K46" s="56"/>
      <c r="L46" s="53"/>
    </row>
    <row r="47" ht="16.5" customHeight="1">
      <c r="A47" s="65"/>
      <c r="B47" s="66"/>
      <c r="C47" s="67"/>
      <c r="D47" s="68"/>
      <c r="E47" s="69"/>
      <c r="F47" s="69"/>
      <c r="G47" s="69"/>
      <c r="H47" s="69"/>
      <c r="I47" s="69"/>
      <c r="J47" s="70"/>
      <c r="K47" s="70"/>
      <c r="L47" s="71"/>
    </row>
    <row r="48" ht="22.5" customHeight="1">
      <c r="A48" s="44">
        <v>3.0</v>
      </c>
      <c r="B48" s="44" t="s">
        <v>47</v>
      </c>
      <c r="C48" s="44"/>
      <c r="D48" s="46"/>
      <c r="E48" s="46"/>
      <c r="F48" s="46"/>
      <c r="G48" s="46"/>
      <c r="H48" s="46"/>
      <c r="I48" s="46"/>
      <c r="J48" s="48"/>
      <c r="K48" s="48"/>
      <c r="L48" s="49"/>
    </row>
    <row r="49">
      <c r="A49" s="42"/>
      <c r="B49" s="43"/>
      <c r="C49" s="44" t="s">
        <v>86</v>
      </c>
      <c r="D49" s="46"/>
      <c r="E49" s="46"/>
      <c r="F49" s="46"/>
      <c r="G49" s="46"/>
      <c r="H49" s="46"/>
      <c r="I49" s="46"/>
      <c r="J49" s="48"/>
      <c r="K49" s="48"/>
      <c r="L49" s="49"/>
    </row>
    <row r="50">
      <c r="A50" s="42"/>
      <c r="B50" s="43"/>
      <c r="C50" s="44" t="s">
        <v>36</v>
      </c>
      <c r="D50" s="46"/>
      <c r="E50" s="46"/>
      <c r="F50" s="46">
        <f t="shared" ref="F50:F52" si="9">E50-D50</f>
        <v>0</v>
      </c>
      <c r="G50" s="46"/>
      <c r="H50" s="46"/>
      <c r="I50" s="46"/>
      <c r="J50" s="48"/>
      <c r="K50" s="48"/>
      <c r="L50" s="49"/>
    </row>
    <row r="51">
      <c r="A51" s="42"/>
      <c r="B51" s="43"/>
      <c r="C51" s="44" t="s">
        <v>36</v>
      </c>
      <c r="D51" s="46"/>
      <c r="E51" s="46"/>
      <c r="F51" s="46">
        <f t="shared" si="9"/>
        <v>0</v>
      </c>
      <c r="G51" s="46"/>
      <c r="H51" s="46"/>
      <c r="I51" s="46"/>
      <c r="J51" s="48"/>
      <c r="K51" s="48"/>
      <c r="L51" s="49"/>
    </row>
    <row r="52">
      <c r="A52" s="42"/>
      <c r="B52" s="43"/>
      <c r="C52" s="44" t="s">
        <v>36</v>
      </c>
      <c r="D52" s="46"/>
      <c r="E52" s="46"/>
      <c r="F52" s="46">
        <f t="shared" si="9"/>
        <v>0</v>
      </c>
      <c r="G52" s="46"/>
      <c r="H52" s="46"/>
      <c r="I52" s="46"/>
      <c r="J52" s="48"/>
      <c r="K52" s="48"/>
      <c r="L52" s="49"/>
    </row>
    <row r="53">
      <c r="A53" s="53"/>
      <c r="B53" s="53"/>
      <c r="C53" s="54" t="s">
        <v>51</v>
      </c>
      <c r="D53" s="55">
        <f t="shared" ref="D53:F53" si="10">SUM(D50:D52)</f>
        <v>0</v>
      </c>
      <c r="E53" s="55">
        <f t="shared" si="10"/>
        <v>0</v>
      </c>
      <c r="F53" s="55">
        <f t="shared" si="10"/>
        <v>0</v>
      </c>
      <c r="G53" s="64"/>
      <c r="H53" s="55"/>
      <c r="I53" s="55"/>
      <c r="J53" s="55"/>
      <c r="K53" s="56"/>
      <c r="L53" s="53"/>
    </row>
    <row r="54">
      <c r="A54" s="72"/>
    </row>
    <row r="55" ht="23.25" customHeight="1">
      <c r="A55" s="73">
        <v>4.0</v>
      </c>
      <c r="B55" s="73" t="s">
        <v>36</v>
      </c>
      <c r="C55" s="73"/>
      <c r="D55" s="74"/>
      <c r="E55" s="74"/>
      <c r="F55" s="74"/>
      <c r="G55" s="75"/>
      <c r="H55" s="75"/>
      <c r="I55" s="75"/>
      <c r="J55" s="75"/>
      <c r="K55" s="75"/>
      <c r="L55" s="75"/>
    </row>
    <row r="56">
      <c r="A56" s="75"/>
      <c r="B56" s="76"/>
      <c r="C56" s="73" t="s">
        <v>52</v>
      </c>
      <c r="D56" s="74"/>
      <c r="E56" s="74"/>
      <c r="F56" s="74">
        <f t="shared" ref="F56:F63" si="11">E56-D56</f>
        <v>0</v>
      </c>
      <c r="G56" s="75"/>
      <c r="H56" s="75"/>
      <c r="I56" s="75"/>
      <c r="J56" s="75"/>
      <c r="K56" s="75"/>
      <c r="L56" s="75"/>
    </row>
    <row r="57">
      <c r="A57" s="75"/>
      <c r="B57" s="76"/>
      <c r="C57" s="73" t="s">
        <v>53</v>
      </c>
      <c r="D57" s="74"/>
      <c r="E57" s="74"/>
      <c r="F57" s="74">
        <f t="shared" si="11"/>
        <v>0</v>
      </c>
      <c r="G57" s="75"/>
      <c r="H57" s="75"/>
      <c r="I57" s="75"/>
      <c r="J57" s="75"/>
      <c r="K57" s="75"/>
      <c r="L57" s="75"/>
    </row>
    <row r="58">
      <c r="A58" s="75"/>
      <c r="B58" s="76"/>
      <c r="C58" s="73" t="s">
        <v>54</v>
      </c>
      <c r="D58" s="74"/>
      <c r="E58" s="74"/>
      <c r="F58" s="74">
        <f t="shared" si="11"/>
        <v>0</v>
      </c>
      <c r="G58" s="75"/>
      <c r="H58" s="75"/>
      <c r="I58" s="75"/>
      <c r="J58" s="75"/>
      <c r="K58" s="75"/>
      <c r="L58" s="75"/>
    </row>
    <row r="59">
      <c r="A59" s="75"/>
      <c r="B59" s="76"/>
      <c r="C59" s="73" t="s">
        <v>55</v>
      </c>
      <c r="D59" s="74"/>
      <c r="E59" s="74"/>
      <c r="F59" s="74">
        <f t="shared" si="11"/>
        <v>0</v>
      </c>
      <c r="G59" s="75"/>
      <c r="H59" s="75"/>
      <c r="I59" s="75"/>
      <c r="J59" s="75"/>
      <c r="K59" s="75"/>
      <c r="L59" s="75"/>
    </row>
    <row r="60">
      <c r="A60" s="75"/>
      <c r="B60" s="76"/>
      <c r="C60" s="73" t="s">
        <v>56</v>
      </c>
      <c r="D60" s="74"/>
      <c r="E60" s="74"/>
      <c r="F60" s="74">
        <f t="shared" si="11"/>
        <v>0</v>
      </c>
      <c r="G60" s="75"/>
      <c r="H60" s="75"/>
      <c r="I60" s="75"/>
      <c r="J60" s="75"/>
      <c r="K60" s="75"/>
      <c r="L60" s="75"/>
    </row>
    <row r="61">
      <c r="A61" s="75"/>
      <c r="B61" s="76"/>
      <c r="C61" s="73" t="s">
        <v>57</v>
      </c>
      <c r="D61" s="74"/>
      <c r="E61" s="74"/>
      <c r="F61" s="74">
        <f t="shared" si="11"/>
        <v>0</v>
      </c>
      <c r="G61" s="75"/>
      <c r="H61" s="75"/>
      <c r="I61" s="75"/>
      <c r="J61" s="75"/>
      <c r="K61" s="75"/>
      <c r="L61" s="75"/>
    </row>
    <row r="62">
      <c r="A62" s="75"/>
      <c r="B62" s="76"/>
      <c r="C62" s="73" t="s">
        <v>80</v>
      </c>
      <c r="D62" s="74"/>
      <c r="E62" s="74"/>
      <c r="F62" s="74">
        <f t="shared" si="11"/>
        <v>0</v>
      </c>
      <c r="G62" s="75"/>
      <c r="H62" s="75"/>
      <c r="I62" s="75"/>
      <c r="J62" s="75"/>
      <c r="K62" s="75"/>
      <c r="L62" s="75"/>
    </row>
    <row r="63">
      <c r="A63" s="75"/>
      <c r="B63" s="76"/>
      <c r="C63" s="73" t="s">
        <v>59</v>
      </c>
      <c r="D63" s="74"/>
      <c r="E63" s="74"/>
      <c r="F63" s="74">
        <f t="shared" si="11"/>
        <v>0</v>
      </c>
      <c r="G63" s="75"/>
      <c r="H63" s="75"/>
      <c r="I63" s="75"/>
      <c r="J63" s="75"/>
      <c r="K63" s="75"/>
      <c r="L63" s="75"/>
    </row>
    <row r="64">
      <c r="A64" s="80"/>
      <c r="B64" s="80"/>
      <c r="C64" s="81" t="s">
        <v>60</v>
      </c>
      <c r="D64" s="82">
        <f t="shared" ref="D64:F64" si="12">SUM(D57:D59)</f>
        <v>0</v>
      </c>
      <c r="E64" s="82">
        <f t="shared" si="12"/>
        <v>0</v>
      </c>
      <c r="F64" s="82">
        <f t="shared" si="12"/>
        <v>0</v>
      </c>
      <c r="G64" s="80"/>
      <c r="H64" s="80"/>
      <c r="I64" s="80"/>
      <c r="J64" s="80"/>
      <c r="K64" s="80"/>
      <c r="L64" s="80"/>
    </row>
    <row r="65">
      <c r="A65" s="72"/>
    </row>
    <row r="66">
      <c r="A66" s="72"/>
      <c r="B66" s="72"/>
      <c r="C66" s="83"/>
      <c r="D66" s="84" t="s">
        <v>61</v>
      </c>
      <c r="E66" s="84" t="s">
        <v>87</v>
      </c>
      <c r="F66" s="85" t="s">
        <v>63</v>
      </c>
      <c r="G66" s="86" t="s">
        <v>64</v>
      </c>
      <c r="H66" s="72"/>
      <c r="I66" s="72"/>
      <c r="J66" s="72"/>
      <c r="K66" s="72"/>
      <c r="L66" s="72"/>
    </row>
    <row r="67" ht="42.0" customHeight="1">
      <c r="A67" s="87"/>
      <c r="B67" s="88" t="s">
        <v>65</v>
      </c>
      <c r="C67" s="89"/>
      <c r="D67" s="117">
        <f>D64+D53+D46+D32</f>
        <v>313</v>
      </c>
      <c r="E67" s="117">
        <v>360.0</v>
      </c>
      <c r="F67" s="117">
        <f>E67-D67</f>
        <v>47</v>
      </c>
      <c r="G67" s="118">
        <f>F67/E67</f>
        <v>0.1305555556</v>
      </c>
      <c r="H67" s="92"/>
      <c r="I67" s="92"/>
      <c r="J67" s="92"/>
      <c r="K67" s="92"/>
      <c r="L67" s="87"/>
    </row>
  </sheetData>
  <mergeCells count="6">
    <mergeCell ref="B2:C2"/>
    <mergeCell ref="D2:K2"/>
    <mergeCell ref="C3:D3"/>
    <mergeCell ref="A54:L54"/>
    <mergeCell ref="A65:L65"/>
    <mergeCell ref="B67:C67"/>
  </mergeCells>
  <conditionalFormatting sqref="J7:K7 J33:K33 J47:K47 J67:K67">
    <cfRule type="expression" dxfId="4" priority="1">
      <formula>AND(OR($D7="In progress",$D7="Not started" ),OR($J7=today(), $J7=today()+1))</formula>
    </cfRule>
  </conditionalFormatting>
  <conditionalFormatting sqref="D7 D33 D47 D67:F67">
    <cfRule type="cellIs" dxfId="5" priority="2" operator="equal">
      <formula>"Not started"</formula>
    </cfRule>
  </conditionalFormatting>
  <conditionalFormatting sqref="D7 D33 D47 D67:F67">
    <cfRule type="cellIs" dxfId="6" priority="3" operator="equal">
      <formula>"In progress"</formula>
    </cfRule>
  </conditionalFormatting>
  <conditionalFormatting sqref="A7:L7 A33:L33 A47:L47 A67:L67">
    <cfRule type="expression" dxfId="7" priority="4">
      <formula>RegExMatch(($D7),"Done")</formula>
    </cfRule>
  </conditionalFormatting>
  <conditionalFormatting sqref="E7:I7 E33:I33 D47:J47 D67:J67">
    <cfRule type="timePeriod" dxfId="8" priority="5" timePeriod="today"/>
  </conditionalFormatting>
  <conditionalFormatting sqref="E7:I7 E33:I33 D47:J47 D67:J67">
    <cfRule type="expression" dxfId="4" priority="6">
      <formula>AND($E7&lt;TODAY(), OR($D7="In progress", $D7="Not started"))</formula>
    </cfRule>
  </conditionalFormatting>
  <conditionalFormatting sqref="A5:L67">
    <cfRule type="expression" dxfId="7" priority="7">
      <formula>RegExMatch((#REF!),"Done")</formula>
    </cfRule>
  </conditionalFormatting>
  <printOptions gridLines="1" horizontalCentered="1"/>
  <pageMargins bottom="0.75" footer="0.0" header="0.0" left="0.25" right="0.25" top="0.75"/>
  <pageSetup fitToWidth="0" cellComments="atEnd" orientation="portrait" pageOrder="overThenDown"/>
  <drawing r:id="rId1"/>
  <tableParts count="4">
    <tablePart r:id="rId6"/>
    <tablePart r:id="rId7"/>
    <tablePart r:id="rId8"/>
    <tablePart r:id="rId9"/>
  </tableParts>
</worksheet>
</file>