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SOV" sheetId="2" r:id="rId6"/>
    <sheet state="visible" name="CO1" sheetId="3" r:id="rId7"/>
    <sheet state="visible" name="CO2" sheetId="4" r:id="rId8"/>
    <sheet state="visible" name="CO3" sheetId="5" r:id="rId9"/>
    <sheet state="visible" name="Updated Budget" sheetId="6" r:id="rId10"/>
  </sheets>
  <definedNames/>
  <calcPr/>
</workbook>
</file>

<file path=xl/sharedStrings.xml><?xml version="1.0" encoding="utf-8"?>
<sst xmlns="http://schemas.openxmlformats.org/spreadsheetml/2006/main" count="384" uniqueCount="84">
  <si>
    <t>Job Cost Budget</t>
  </si>
  <si>
    <t>Project Name:</t>
  </si>
  <si>
    <t>LightEgde Data Center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</si>
  <si>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</si>
  <si>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</si>
  <si>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</si>
  <si>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</si>
  <si>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</si>
  <si>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</si>
  <si>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</si>
  <si>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</si>
  <si>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</si>
  <si>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</si>
  <si>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</si>
  <si>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</si>
  <si>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</si>
  <si>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</si>
  <si>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</si>
  <si>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</si>
  <si>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</si>
  <si>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</si>
  <si>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</si>
  <si>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</si>
  <si>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</si>
  <si>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</si>
  <si>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</t>
  </si>
  <si>
    <t>Doors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</si>
  <si>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</si>
  <si>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</si>
  <si>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</si>
  <si>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</si>
  <si>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</si>
  <si>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</si>
  <si>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</si>
  <si>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</si>
  <si>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Wire Mesh</t>
  </si>
  <si>
    <t>Caulking</t>
  </si>
  <si>
    <t>Vapor Barrier</t>
  </si>
  <si>
    <t>Allowance Hrs</t>
  </si>
  <si>
    <t>WO#</t>
  </si>
  <si>
    <t>Labor Sub Totals</t>
  </si>
  <si>
    <t>Material</t>
  </si>
  <si>
    <t>Rough Carp</t>
  </si>
  <si>
    <t>Finish Carp</t>
  </si>
  <si>
    <t>Ceiling</t>
  </si>
  <si>
    <t>Specialties</t>
  </si>
  <si>
    <t>Other</t>
  </si>
  <si>
    <t>WO #</t>
  </si>
  <si>
    <t>Material Sub Totals</t>
  </si>
  <si>
    <t>Subcontractors</t>
  </si>
  <si>
    <t>Acoustical Ceilings - Briarwood</t>
  </si>
  <si>
    <t>Taping - C4</t>
  </si>
  <si>
    <t>Subcontractor Totals</t>
  </si>
  <si>
    <t>Equipment Rental</t>
  </si>
  <si>
    <t>Engineering</t>
  </si>
  <si>
    <t>Mileage</t>
  </si>
  <si>
    <t>Tool Rental</t>
  </si>
  <si>
    <t>Bonding</t>
  </si>
  <si>
    <t>Allowance</t>
  </si>
  <si>
    <t>Contingency</t>
  </si>
  <si>
    <t>Dumpster</t>
  </si>
  <si>
    <t>Other Sub Totals</t>
  </si>
  <si>
    <t>Budget</t>
  </si>
  <si>
    <t>Actual</t>
  </si>
  <si>
    <t>Difference</t>
  </si>
  <si>
    <t>Overall Job Totals</t>
  </si>
  <si>
    <t>Jan</t>
  </si>
  <si>
    <t>Pre-Con</t>
  </si>
  <si>
    <t>D&amp;E Framing</t>
  </si>
  <si>
    <t>D&amp;E Drywall</t>
  </si>
  <si>
    <t>D&amp;E DFHW</t>
  </si>
  <si>
    <t>D&amp;E ACT</t>
  </si>
  <si>
    <t>DH4 Framing</t>
  </si>
  <si>
    <t>DH4 Security Mesh and Poly Vapor Barrier</t>
  </si>
  <si>
    <t>DH4 Drywall</t>
  </si>
  <si>
    <t>DH4 DFHW</t>
  </si>
  <si>
    <t>Equipment</t>
  </si>
  <si>
    <t>Temp Dust Partition</t>
  </si>
  <si>
    <t>Contract amount</t>
  </si>
  <si>
    <t>CO Budget Update</t>
  </si>
  <si>
    <t>Change Amount:</t>
  </si>
  <si>
    <t>CO #</t>
  </si>
  <si>
    <t>Overtime</t>
  </si>
  <si>
    <t>Acoustical Ceilings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</si>
</sst>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3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Font="1" applyNumberFormat="1"/>
    <xf borderId="0" fillId="0" fontId="17" numFmtId="167" xfId="0" applyFont="1" applyNumberFormat="1"/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14" fillId="0" fontId="18" numFmtId="0" xfId="0" applyBorder="1" applyFont="1"/>
    <xf borderId="14" fillId="0" fontId="21" numFmtId="0" xfId="0" applyAlignment="1" applyBorder="1" applyFont="1">
      <alignment horizontal="right" readingOrder="0"/>
    </xf>
    <xf borderId="14" fillId="0" fontId="4" numFmtId="0" xfId="0" applyBorder="1" applyFont="1"/>
    <xf borderId="14" fillId="0" fontId="20" numFmtId="4" xfId="0" applyAlignment="1" applyBorder="1" applyFont="1" applyNumberFormat="1">
      <alignment horizontal="right" readingOrder="0"/>
    </xf>
    <xf borderId="14" fillId="0" fontId="20" numFmtId="0" xfId="0" applyAlignment="1" applyBorder="1" applyFont="1">
      <alignment horizontal="right" readingOrder="0"/>
    </xf>
    <xf borderId="14" fillId="0" fontId="20" numFmtId="165" xfId="0" applyAlignment="1" applyBorder="1" applyFont="1" applyNumberFormat="1">
      <alignment horizontal="right" readingOrder="0"/>
    </xf>
    <xf borderId="14" fillId="0" fontId="20" numFmtId="10" xfId="0" applyAlignment="1" applyBorder="1" applyFont="1" applyNumberFormat="1">
      <alignment horizontal="right"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2" numFmtId="165" xfId="0" applyFont="1" applyNumberFormat="1"/>
    <xf borderId="0" fillId="0" fontId="22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3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5:L6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204.0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335450.0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46030.0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7500.0</v>
      </c>
      <c r="E9" s="46"/>
      <c r="F9" s="46">
        <f t="shared" ref="F9:F31" si="1">E9-D9</f>
        <v>-7500</v>
      </c>
      <c r="G9" s="46"/>
      <c r="H9" s="46"/>
      <c r="I9" s="46">
        <f t="shared" ref="I9:I22" si="2">D9/75</f>
        <v>100</v>
      </c>
      <c r="J9" s="47"/>
      <c r="K9" s="47"/>
      <c r="L9" s="48"/>
    </row>
    <row r="10">
      <c r="A10" s="42"/>
      <c r="B10" s="43"/>
      <c r="C10" s="44" t="s">
        <v>19</v>
      </c>
      <c r="D10" s="45">
        <v>9000.0</v>
      </c>
      <c r="E10" s="46"/>
      <c r="F10" s="46">
        <f t="shared" si="1"/>
        <v>-9000</v>
      </c>
      <c r="G10" s="46"/>
      <c r="H10" s="46"/>
      <c r="I10" s="46">
        <f t="shared" si="2"/>
        <v>120</v>
      </c>
      <c r="J10" s="47"/>
      <c r="K10" s="47"/>
      <c r="L10" s="48"/>
    </row>
    <row r="11">
      <c r="A11" s="42"/>
      <c r="B11" s="43"/>
      <c r="C11" s="44" t="s">
        <v>20</v>
      </c>
      <c r="D11" s="45">
        <v>2500.0</v>
      </c>
      <c r="E11" s="46"/>
      <c r="F11" s="46">
        <f t="shared" si="1"/>
        <v>-2500</v>
      </c>
      <c r="G11" s="46"/>
      <c r="H11" s="46"/>
      <c r="I11" s="46">
        <f t="shared" si="2"/>
        <v>33.33333333</v>
      </c>
      <c r="J11" s="47"/>
      <c r="K11" s="47"/>
      <c r="L11" s="48"/>
    </row>
    <row r="12">
      <c r="A12" s="42"/>
      <c r="B12" s="42"/>
      <c r="C12" s="44" t="s">
        <v>21</v>
      </c>
      <c r="D12" s="45">
        <v>1200.0</v>
      </c>
      <c r="E12" s="46"/>
      <c r="F12" s="46">
        <f t="shared" si="1"/>
        <v>-1200</v>
      </c>
      <c r="G12" s="46"/>
      <c r="H12" s="46"/>
      <c r="I12" s="46">
        <f t="shared" si="2"/>
        <v>16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5">
        <v>2831.0</v>
      </c>
      <c r="E14" s="46"/>
      <c r="F14" s="46">
        <f t="shared" si="1"/>
        <v>-2831</v>
      </c>
      <c r="G14" s="46"/>
      <c r="H14" s="46"/>
      <c r="I14" s="46">
        <f t="shared" si="2"/>
        <v>37.74666667</v>
      </c>
      <c r="J14" s="47"/>
      <c r="K14" s="47"/>
      <c r="L14" s="48"/>
    </row>
    <row r="15">
      <c r="A15" s="42"/>
      <c r="B15" s="42"/>
      <c r="C15" s="44" t="s">
        <v>24</v>
      </c>
      <c r="D15" s="45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5">
        <v>12600.0</v>
      </c>
      <c r="E17" s="46"/>
      <c r="F17" s="46">
        <f t="shared" si="1"/>
        <v>-12600</v>
      </c>
      <c r="G17" s="46"/>
      <c r="H17" s="46"/>
      <c r="I17" s="46">
        <f t="shared" si="2"/>
        <v>168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5">
        <v>53805.0</v>
      </c>
      <c r="E20" s="46"/>
      <c r="F20" s="46">
        <f t="shared" si="1"/>
        <v>-53805</v>
      </c>
      <c r="G20" s="46"/>
      <c r="H20" s="46"/>
      <c r="I20" s="46">
        <f t="shared" si="2"/>
        <v>717.4</v>
      </c>
      <c r="J20" s="47"/>
      <c r="K20" s="47"/>
      <c r="L20" s="48"/>
    </row>
    <row r="21">
      <c r="A21" s="42"/>
      <c r="B21" s="42"/>
      <c r="C21" s="44" t="s">
        <v>30</v>
      </c>
      <c r="D21" s="45">
        <v>5477.0</v>
      </c>
      <c r="E21" s="46"/>
      <c r="F21" s="46">
        <f t="shared" si="1"/>
        <v>-5477</v>
      </c>
      <c r="G21" s="46"/>
      <c r="H21" s="46"/>
      <c r="I21" s="46">
        <f t="shared" si="2"/>
        <v>73.02666667</v>
      </c>
      <c r="J21" s="47"/>
      <c r="K21" s="47"/>
      <c r="L21" s="48"/>
    </row>
    <row r="22">
      <c r="A22" s="42"/>
      <c r="B22" s="42"/>
      <c r="C22" s="44" t="s">
        <v>31</v>
      </c>
      <c r="D22" s="45">
        <f>34190+2100</f>
        <v>36290</v>
      </c>
      <c r="E22" s="46"/>
      <c r="F22" s="46">
        <f t="shared" si="1"/>
        <v>-36290</v>
      </c>
      <c r="G22" s="46"/>
      <c r="H22" s="46"/>
      <c r="I22" s="46">
        <f t="shared" si="2"/>
        <v>483.8666667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5">
        <v>900.0</v>
      </c>
      <c r="E24" s="46"/>
      <c r="F24" s="46">
        <f t="shared" si="1"/>
        <v>-900</v>
      </c>
      <c r="G24" s="46"/>
      <c r="H24" s="46"/>
      <c r="I24" s="46">
        <f t="shared" ref="I24:I28" si="3">D24/75</f>
        <v>12</v>
      </c>
      <c r="J24" s="47"/>
      <c r="K24" s="47"/>
      <c r="L24" s="48"/>
    </row>
    <row r="25">
      <c r="A25" s="42"/>
      <c r="B25" s="42"/>
      <c r="C25" s="44" t="s">
        <v>34</v>
      </c>
      <c r="D25" s="45">
        <v>600.0</v>
      </c>
      <c r="E25" s="46"/>
      <c r="F25" s="46">
        <f t="shared" si="1"/>
        <v>-600</v>
      </c>
      <c r="G25" s="46"/>
      <c r="H25" s="46"/>
      <c r="I25" s="46">
        <f t="shared" si="3"/>
        <v>8</v>
      </c>
      <c r="J25" s="47"/>
      <c r="K25" s="47"/>
      <c r="L25" s="48"/>
    </row>
    <row r="26">
      <c r="A26" s="42"/>
      <c r="B26" s="42"/>
      <c r="C26" s="49" t="s">
        <v>35</v>
      </c>
      <c r="D26" s="45">
        <v>12955.0</v>
      </c>
      <c r="E26" s="46"/>
      <c r="F26" s="46">
        <f t="shared" si="1"/>
        <v>-12955</v>
      </c>
      <c r="G26" s="46"/>
      <c r="H26" s="46"/>
      <c r="I26" s="46">
        <f t="shared" si="3"/>
        <v>172.7333333</v>
      </c>
      <c r="J26" s="47"/>
      <c r="K26" s="47"/>
      <c r="L26" s="48"/>
    </row>
    <row r="27">
      <c r="A27" s="42"/>
      <c r="B27" s="42"/>
      <c r="C27" s="49" t="s">
        <v>36</v>
      </c>
      <c r="D27" s="45">
        <v>11783.0</v>
      </c>
      <c r="E27" s="46"/>
      <c r="F27" s="46">
        <f t="shared" si="1"/>
        <v>-11783</v>
      </c>
      <c r="G27" s="46"/>
      <c r="H27" s="46"/>
      <c r="I27" s="46">
        <f t="shared" si="3"/>
        <v>157.1066667</v>
      </c>
      <c r="J27" s="47"/>
      <c r="K27" s="47"/>
      <c r="L27" s="42"/>
    </row>
    <row r="28">
      <c r="A28" s="42"/>
      <c r="B28" s="42"/>
      <c r="C28" s="49" t="s">
        <v>37</v>
      </c>
      <c r="D28" s="45">
        <v>4810.0</v>
      </c>
      <c r="E28" s="46"/>
      <c r="F28" s="46">
        <f t="shared" si="1"/>
        <v>-4810</v>
      </c>
      <c r="G28" s="46"/>
      <c r="H28" s="46"/>
      <c r="I28" s="46">
        <f t="shared" si="3"/>
        <v>64.13333333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162251</v>
      </c>
      <c r="E32" s="52">
        <f t="shared" si="5"/>
        <v>0</v>
      </c>
      <c r="F32" s="52">
        <f t="shared" si="5"/>
        <v>-162251</v>
      </c>
      <c r="G32" s="52"/>
      <c r="H32" s="52"/>
      <c r="I32" s="52">
        <f t="shared" ref="I32:J32" si="6">SUM(I9:I31)</f>
        <v>2163.346667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5">
        <v>75015.0</v>
      </c>
      <c r="E40" s="46"/>
      <c r="F40" s="46">
        <f t="shared" si="7"/>
        <v>-75015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45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48</v>
      </c>
      <c r="D46" s="52">
        <f t="shared" ref="D46:F46" si="8">SUM(D36:D43)</f>
        <v>75015</v>
      </c>
      <c r="E46" s="52">
        <f t="shared" si="8"/>
        <v>0</v>
      </c>
      <c r="F46" s="52">
        <f t="shared" si="8"/>
        <v>-75015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9" t="s">
        <v>50</v>
      </c>
      <c r="D49" s="45">
        <v>0.0</v>
      </c>
      <c r="E49" s="46"/>
      <c r="F49" s="46">
        <f t="shared" ref="F49:F52" si="9">E49-D49</f>
        <v>0</v>
      </c>
      <c r="G49" s="46"/>
      <c r="H49" s="46"/>
      <c r="I49" s="46"/>
      <c r="J49" s="47"/>
      <c r="K49" s="47"/>
      <c r="L49" s="48"/>
    </row>
    <row r="50">
      <c r="A50" s="42"/>
      <c r="B50" s="43"/>
      <c r="C50" s="49" t="s">
        <v>51</v>
      </c>
      <c r="D50" s="45">
        <v>31700.0</v>
      </c>
      <c r="E50" s="46"/>
      <c r="F50" s="46">
        <f t="shared" si="9"/>
        <v>-31700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52</v>
      </c>
      <c r="D53" s="52">
        <f>SUM(D49:D52)</f>
        <v>31700</v>
      </c>
      <c r="E53" s="52">
        <f t="shared" ref="E53:F53" si="10">SUM(E50:E52)</f>
        <v>0</v>
      </c>
      <c r="F53" s="52">
        <f t="shared" si="10"/>
        <v>-31700</v>
      </c>
      <c r="G53" s="61"/>
      <c r="H53" s="52"/>
      <c r="I53" s="52"/>
      <c r="J53" s="52"/>
      <c r="K53" s="53"/>
      <c r="L53" s="50"/>
    </row>
    <row r="54">
      <c r="A54" s="69"/>
    </row>
    <row r="55" ht="23.25" customHeight="1">
      <c r="A55" s="70">
        <v>4.0</v>
      </c>
      <c r="B55" s="70" t="s">
        <v>46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53</v>
      </c>
      <c r="D56" s="74">
        <v>5005.0</v>
      </c>
      <c r="E56" s="71"/>
      <c r="F56" s="71">
        <f t="shared" ref="F56:F63" si="11">E56-D56</f>
        <v>-5005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54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55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56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57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58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59</v>
      </c>
      <c r="D62" s="74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60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61</v>
      </c>
      <c r="D64" s="77">
        <f>SUM(D56:D63)</f>
        <v>5005</v>
      </c>
      <c r="E64" s="77">
        <f t="shared" ref="E64:F64" si="12">SUM(E57:E59)</f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62</v>
      </c>
      <c r="E66" s="79" t="s">
        <v>63</v>
      </c>
      <c r="F66" s="79" t="s">
        <v>64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65</v>
      </c>
      <c r="C67" s="82"/>
      <c r="D67" s="83">
        <f>D64+D53+D46+D32</f>
        <v>273971</v>
      </c>
      <c r="E67" s="83"/>
      <c r="F67" s="83"/>
      <c r="G67" s="84"/>
      <c r="H67" s="85">
        <f>C4-D67</f>
        <v>61479</v>
      </c>
      <c r="I67" s="86">
        <f>H67/C4</f>
        <v>0.1832732151</v>
      </c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5"/>
  </cols>
  <sheetData>
    <row r="2">
      <c r="C2" s="87" t="s">
        <v>66</v>
      </c>
    </row>
    <row r="3">
      <c r="A3" s="87" t="s">
        <v>67</v>
      </c>
      <c r="B3" s="87">
        <v>4000.0</v>
      </c>
      <c r="C3" s="87">
        <v>0.5</v>
      </c>
      <c r="D3" s="88">
        <f>C3*B3</f>
        <v>2000</v>
      </c>
    </row>
    <row r="4">
      <c r="A4" s="87" t="s">
        <v>68</v>
      </c>
      <c r="B4" s="87">
        <v>19000.0</v>
      </c>
    </row>
    <row r="5">
      <c r="A5" s="87" t="s">
        <v>69</v>
      </c>
      <c r="B5" s="87">
        <v>38500.0</v>
      </c>
    </row>
    <row r="6">
      <c r="A6" s="87" t="s">
        <v>70</v>
      </c>
      <c r="B6" s="87">
        <v>2615.0</v>
      </c>
    </row>
    <row r="7">
      <c r="A7" s="87" t="s">
        <v>71</v>
      </c>
      <c r="B7" s="87">
        <v>3200.0</v>
      </c>
    </row>
    <row r="8">
      <c r="A8" s="87" t="s">
        <v>72</v>
      </c>
      <c r="B8" s="88">
        <f>2600+55000</f>
        <v>57600</v>
      </c>
    </row>
    <row r="9">
      <c r="A9" s="87" t="s">
        <v>73</v>
      </c>
      <c r="B9" s="88">
        <f>11500+5500+3800+9150</f>
        <v>29950</v>
      </c>
    </row>
    <row r="10">
      <c r="A10" s="87" t="s">
        <v>74</v>
      </c>
      <c r="B10" s="87">
        <v>158265.0</v>
      </c>
    </row>
    <row r="11">
      <c r="A11" s="87" t="s">
        <v>75</v>
      </c>
      <c r="B11" s="87">
        <v>14515.0</v>
      </c>
    </row>
    <row r="12">
      <c r="A12" s="87" t="s">
        <v>76</v>
      </c>
      <c r="B12" s="88">
        <f>2145+2860</f>
        <v>5005</v>
      </c>
    </row>
    <row r="13">
      <c r="A13" s="87" t="s">
        <v>77</v>
      </c>
      <c r="B13" s="87">
        <v>2800.0</v>
      </c>
      <c r="C13" s="87">
        <v>1.0</v>
      </c>
      <c r="D13" s="88">
        <f>B13*C13</f>
        <v>2800</v>
      </c>
    </row>
    <row r="14">
      <c r="B14" s="89"/>
    </row>
    <row r="15">
      <c r="A15" s="87" t="s">
        <v>78</v>
      </c>
      <c r="B15" s="90">
        <v>335450.0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79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80</v>
      </c>
      <c r="C4" s="17"/>
      <c r="D4" s="13"/>
      <c r="E4" s="18" t="s">
        <v>81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45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45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48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83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52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69"/>
    </row>
    <row r="55" ht="23.25" customHeight="1">
      <c r="A55" s="70">
        <v>4.0</v>
      </c>
      <c r="B55" s="70" t="s">
        <v>46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53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54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55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56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57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58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59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60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61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62</v>
      </c>
      <c r="E66" s="79" t="s">
        <v>63</v>
      </c>
      <c r="F66" s="79" t="s">
        <v>64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65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79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80</v>
      </c>
      <c r="C4" s="17"/>
      <c r="D4" s="13"/>
      <c r="E4" s="18" t="s">
        <v>81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45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45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48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83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52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69"/>
    </row>
    <row r="55" ht="23.25" customHeight="1">
      <c r="A55" s="70">
        <v>4.0</v>
      </c>
      <c r="B55" s="70" t="s">
        <v>46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53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54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55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56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57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58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59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60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61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62</v>
      </c>
      <c r="E66" s="79" t="s">
        <v>63</v>
      </c>
      <c r="F66" s="79" t="s">
        <v>64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65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79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80</v>
      </c>
      <c r="C4" s="17"/>
      <c r="D4" s="13"/>
      <c r="E4" s="18" t="s">
        <v>81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45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45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48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83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52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69"/>
    </row>
    <row r="55" ht="23.25" customHeight="1">
      <c r="A55" s="70">
        <v>4.0</v>
      </c>
      <c r="B55" s="70" t="s">
        <v>46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53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54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55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56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57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58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59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60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61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62</v>
      </c>
      <c r="E66" s="79" t="s">
        <v>63</v>
      </c>
      <c r="F66" s="79" t="s">
        <v>64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65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79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80</v>
      </c>
      <c r="C4" s="17"/>
      <c r="D4" s="13"/>
      <c r="E4" s="18" t="s">
        <v>81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45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46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82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45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47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47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48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49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83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46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52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69"/>
    </row>
    <row r="55" ht="23.25" customHeight="1">
      <c r="A55" s="70">
        <v>4.0</v>
      </c>
      <c r="B55" s="70" t="s">
        <v>46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53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54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55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56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57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58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59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60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61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62</v>
      </c>
      <c r="E66" s="79" t="s">
        <v>63</v>
      </c>
      <c r="F66" s="79" t="s">
        <v>64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65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