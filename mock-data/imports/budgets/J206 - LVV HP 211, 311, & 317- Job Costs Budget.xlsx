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  <sheet state="visible" name="CO1" sheetId="2" r:id="rId6"/>
    <sheet state="visible" name="CO2" sheetId="3" r:id="rId7"/>
    <sheet state="visible" name="CO3" sheetId="4" r:id="rId8"/>
    <sheet state="visible" name="Updated Budget" sheetId="5" r:id="rId9"/>
  </sheets>
  <definedNames/>
  <calcPr/>
</workbook>
</file>

<file path=xl/sharedStrings.xml><?xml version="1.0" encoding="utf-8"?>
<sst xmlns="http://schemas.openxmlformats.org/spreadsheetml/2006/main" count="392" uniqueCount="97">
  <si>
    <t>Job Cost Budget</t>
  </si>
  <si>
    <t>Project Name:</t>
  </si>
  <si>
    <t>LVV-HP A211, 311, &amp; 317</t>
  </si>
  <si>
    <t xml:space="preserve">Job # </t>
  </si>
  <si>
    <t>Contract Amount:</t>
  </si>
  <si>
    <t>Thru CO #</t>
  </si>
  <si>
    <t>Last Update</t>
  </si>
  <si>
    <t>Section</t>
  </si>
  <si>
    <t>Cost Code</t>
  </si>
  <si>
    <t>$ Budgeted</t>
  </si>
  <si>
    <t>$ Actual</t>
  </si>
  <si>
    <t>Overrun</t>
  </si>
  <si>
    <t>%</t>
  </si>
  <si>
    <t>Change</t>
  </si>
  <si>
    <t>Hrs Budgeted</t>
  </si>
  <si>
    <t>Hrs Actual</t>
  </si>
  <si>
    <t>Hrs Remaining</t>
  </si>
  <si>
    <t>Labor</t>
  </si>
  <si>
    <t>Supervision</t>
  </si>
  <si>
    <t>Clean-up</t>
  </si>
  <si>
    <t>Delivery</t>
  </si>
  <si>
    <t>Temp Protections</t>
  </si>
  <si>
    <t>Demo</t>
  </si>
  <si>
    <t>Layout</t>
  </si>
  <si>
    <t>Rough Carpentry</t>
  </si>
  <si>
    <t>Finish Carpentry (Cabinets)</t>
  </si>
  <si>
    <t>Doors With Trim</t>
  </si>
  <si>
    <t>Exterior Framing</t>
  </si>
  <si>
    <t>Sheathing</t>
  </si>
  <si>
    <t>Interior Framing</t>
  </si>
  <si>
    <t>Insulation</t>
  </si>
  <si>
    <t>Drywall</t>
  </si>
  <si>
    <t>Taping</t>
  </si>
  <si>
    <t>Ceiling Grid</t>
  </si>
  <si>
    <t>Ceiling Tile</t>
  </si>
  <si>
    <t>Specialties</t>
  </si>
  <si>
    <t>Flooring</t>
  </si>
  <si>
    <t>Caulking</t>
  </si>
  <si>
    <t>Wire Shelving</t>
  </si>
  <si>
    <t>Onyx Tops and Showers</t>
  </si>
  <si>
    <t>Allowance Hrs</t>
  </si>
  <si>
    <t>Trim</t>
  </si>
  <si>
    <t>WO#</t>
  </si>
  <si>
    <t>Labor Sub Totals</t>
  </si>
  <si>
    <t>Material</t>
  </si>
  <si>
    <t>Rough Carp</t>
  </si>
  <si>
    <t>Finish Carp</t>
  </si>
  <si>
    <t>Doors</t>
  </si>
  <si>
    <t>Ceiling</t>
  </si>
  <si>
    <t>Other</t>
  </si>
  <si>
    <t>WO #</t>
  </si>
  <si>
    <t>Material Sub Totals</t>
  </si>
  <si>
    <t>Subcontractors</t>
  </si>
  <si>
    <t>Final Clean</t>
  </si>
  <si>
    <t>CKF Tops</t>
  </si>
  <si>
    <t>Shower Doors</t>
  </si>
  <si>
    <t>Taping C4</t>
  </si>
  <si>
    <t>Great Plains Tile</t>
  </si>
  <si>
    <t>FDC Flooring</t>
  </si>
  <si>
    <t>Switzer Painting</t>
  </si>
  <si>
    <t>Blinds</t>
  </si>
  <si>
    <t>Jayhawk Sprinkler</t>
  </si>
  <si>
    <t>Echo GPS</t>
  </si>
  <si>
    <t>JF Denney Plumbing</t>
  </si>
  <si>
    <t>McGlinn Heating and Cooling</t>
  </si>
  <si>
    <t>Keller Fire</t>
  </si>
  <si>
    <t>Tech Electric</t>
  </si>
  <si>
    <t>Subcontractor Totals</t>
  </si>
  <si>
    <t>Equipment Rental</t>
  </si>
  <si>
    <t>Permit</t>
  </si>
  <si>
    <t>Mileage</t>
  </si>
  <si>
    <t>Tool Rental</t>
  </si>
  <si>
    <t>Bonding</t>
  </si>
  <si>
    <t>Allowance</t>
  </si>
  <si>
    <t xml:space="preserve">Contingency </t>
  </si>
  <si>
    <t>Other Sub Totals</t>
  </si>
  <si>
    <t>Budget</t>
  </si>
  <si>
    <t>Contract Amount</t>
  </si>
  <si>
    <t>Estimated Profit</t>
  </si>
  <si>
    <t>Percent</t>
  </si>
  <si>
    <t>Overall Job Totals</t>
  </si>
  <si>
    <t>CO Budget Update</t>
  </si>
  <si>
    <t>TUKHS GME Clinic @ Olathe Med</t>
  </si>
  <si>
    <t>Change Amount:</t>
  </si>
  <si>
    <t>CO #</t>
  </si>
  <si>
    <t>Finish Carpentry</t>
  </si>
  <si>
    <t>Overtime</t>
  </si>
  <si>
    <t>Acoustical Ceilings</t>
  </si>
  <si>
    <t>Engineering</t>
  </si>
  <si>
    <t>Contingency</t>
  </si>
  <si>
    <t>Dumpster</t>
  </si>
  <si>
    <t>Actual</t>
  </si>
  <si>
    <t>Difference</t>
  </si>
  <si>
    <t>Budget Update</t>
  </si>
  <si>
    <t>Updated Contract :</t>
  </si>
  <si>
    <t>Untion Dues</t>
  </si>
  <si>
    <t>Total 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</si>
</sst>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"/>
    <numFmt numFmtId="166" formatCode="m/d"/>
    <numFmt numFmtId="167" formatCode="m/d/yyyy"/>
    <numFmt numFmtId="168" formatCode="m/d/yy"/>
  </numFmts>
  <fonts count="24">
    <font>
      <sz val="10.0"/>
      <color rgb="FF000000"/>
      <name val="Arial"/>
      <scheme val="minor"/>
    </font>
    <font>
      <sz val="22.0"/>
      <color rgb="FFFFFFFF"/>
      <name val="Amaranth"/>
    </font>
    <font>
      <sz val="10.0"/>
      <color rgb="FFFFFFFF"/>
      <name val="Arial"/>
    </font>
    <font>
      <b/>
      <sz val="27.0"/>
      <color rgb="FF000000"/>
      <name val="Economica"/>
    </font>
    <font/>
    <font>
      <sz val="10.0"/>
      <color rgb="FF666666"/>
      <name val="Open Sans"/>
    </font>
    <font>
      <sz val="10.0"/>
      <color rgb="FF9FC5E8"/>
      <name val="Arial"/>
    </font>
    <font>
      <sz val="20.0"/>
      <color rgb="FF000000"/>
      <name val="Economica"/>
    </font>
    <font>
      <b/>
      <sz val="20.0"/>
      <color rgb="FF000000"/>
      <name val="Economica"/>
    </font>
    <font>
      <sz val="20.0"/>
      <color rgb="FF666666"/>
      <name val="Economica"/>
    </font>
    <font>
      <b/>
      <sz val="20.0"/>
      <color rgb="FF000000"/>
      <name val="Spectral"/>
    </font>
    <font>
      <sz val="13.0"/>
      <color rgb="FF000000"/>
      <name val="Economica"/>
    </font>
    <font>
      <b/>
      <sz val="12.0"/>
      <color rgb="FF666666"/>
      <name val="Economica"/>
    </font>
    <font>
      <b/>
      <sz val="36.0"/>
      <color rgb="FF000000"/>
      <name val="Economica"/>
    </font>
    <font>
      <b/>
      <sz val="12.0"/>
      <color rgb="FF000000"/>
      <name val="Economica"/>
    </font>
    <font>
      <sz val="12.0"/>
      <color theme="1"/>
      <name val="Open Sans"/>
    </font>
    <font>
      <sz val="12.0"/>
      <color rgb="FF000000"/>
      <name val="Open Sans"/>
    </font>
    <font>
      <sz val="12.0"/>
      <color theme="1"/>
      <name val="Economica"/>
    </font>
    <font>
      <color theme="1"/>
      <name val="Open Sans"/>
    </font>
    <font>
      <b/>
      <sz val="14.0"/>
      <color theme="1"/>
      <name val="Economica"/>
    </font>
    <font>
      <color rgb="FF000000"/>
      <name val="Open Sans"/>
    </font>
    <font>
      <b/>
      <sz val="20.0"/>
      <color theme="1"/>
      <name val="Economica"/>
    </font>
    <font>
      <color theme="1"/>
      <name val="Arial"/>
    </font>
    <font>
      <b/>
      <sz val="12.0"/>
      <color theme="1"/>
      <name val="Economic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ck">
        <color rgb="FF000000"/>
      </top>
    </border>
    <border>
      <left style="thin">
        <color rgb="FFFFFFFF"/>
      </left>
      <top style="thick">
        <color rgb="FF000000"/>
      </top>
    </border>
    <border>
      <top style="thick">
        <color rgb="FF000000"/>
      </top>
    </border>
    <border>
      <right style="thin">
        <color rgb="FFFFFFFF"/>
      </right>
      <top style="thick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1" numFmtId="164" xfId="0" applyAlignment="1" applyBorder="1" applyFont="1" applyNumberFormat="1">
      <alignment readingOrder="0" shrinkToFit="0" vertical="top" wrapText="1"/>
    </xf>
    <xf borderId="2" fillId="2" fontId="3" numFmtId="0" xfId="0" applyAlignment="1" applyBorder="1" applyFont="1">
      <alignment readingOrder="0" shrinkToFit="0" vertical="top" wrapText="1"/>
    </xf>
    <xf borderId="3" fillId="0" fontId="4" numFmtId="0" xfId="0" applyBorder="1" applyFont="1"/>
    <xf borderId="2" fillId="2" fontId="5" numFmtId="0" xfId="0" applyAlignment="1" applyBorder="1" applyFont="1">
      <alignment horizontal="right" readingOrder="0" shrinkToFit="0" vertical="center" wrapText="1"/>
    </xf>
    <xf borderId="4" fillId="0" fontId="4" numFmtId="0" xfId="0" applyBorder="1" applyFont="1"/>
    <xf borderId="1" fillId="2" fontId="6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readingOrder="0" shrinkToFit="0" vertical="top" wrapText="1"/>
    </xf>
    <xf borderId="5" fillId="2" fontId="7" numFmtId="0" xfId="0" applyAlignment="1" applyBorder="1" applyFont="1">
      <alignment readingOrder="0" shrinkToFit="0" vertical="top" wrapText="1"/>
    </xf>
    <xf borderId="6" fillId="2" fontId="8" numFmtId="0" xfId="0" applyAlignment="1" applyBorder="1" applyFont="1">
      <alignment readingOrder="0" shrinkToFit="0" vertical="top" wrapText="1"/>
    </xf>
    <xf borderId="7" fillId="0" fontId="4" numFmtId="0" xfId="0" applyBorder="1" applyFont="1"/>
    <xf borderId="6" fillId="2" fontId="7" numFmtId="0" xfId="0" applyAlignment="1" applyBorder="1" applyFont="1">
      <alignment readingOrder="0" shrinkToFit="0" vertical="top" wrapText="1"/>
    </xf>
    <xf borderId="6" fillId="2" fontId="9" numFmtId="0" xfId="0" applyAlignment="1" applyBorder="1" applyFont="1">
      <alignment horizontal="right" readingOrder="0" shrinkToFit="0" vertical="center" wrapText="1"/>
    </xf>
    <xf borderId="5" fillId="2" fontId="5" numFmtId="0" xfId="0" applyAlignment="1" applyBorder="1" applyFont="1">
      <alignment horizontal="right" readingOrder="0" shrinkToFit="0" vertical="center" wrapText="1"/>
    </xf>
    <xf borderId="5" fillId="2" fontId="6" numFmtId="0" xfId="0" applyAlignment="1" applyBorder="1" applyFont="1">
      <alignment horizontal="left" readingOrder="0" shrinkToFit="0" vertical="top" wrapText="1"/>
    </xf>
    <xf borderId="5" fillId="2" fontId="10" numFmtId="165" xfId="0" applyAlignment="1" applyBorder="1" applyFont="1" applyNumberFormat="1">
      <alignment readingOrder="0" shrinkToFit="0" vertical="top" wrapText="1"/>
    </xf>
    <xf borderId="6" fillId="2" fontId="11" numFmtId="0" xfId="0" applyAlignment="1" applyBorder="1" applyFont="1">
      <alignment horizontal="left" readingOrder="0" shrinkToFit="0" vertical="center" wrapText="1"/>
    </xf>
    <xf borderId="5" fillId="2" fontId="12" numFmtId="0" xfId="0" applyAlignment="1" applyBorder="1" applyFont="1">
      <alignment horizontal="right" readingOrder="0" shrinkToFit="0" vertical="center" wrapText="1"/>
    </xf>
    <xf borderId="5" fillId="2" fontId="5" numFmtId="166" xfId="0" applyAlignment="1" applyBorder="1" applyFont="1" applyNumberFormat="1">
      <alignment horizontal="right" readingOrder="0" shrinkToFit="0" vertical="center" wrapText="1"/>
    </xf>
    <xf borderId="5" fillId="2" fontId="13" numFmtId="0" xfId="0" applyAlignment="1" applyBorder="1" applyFont="1">
      <alignment readingOrder="0" shrinkToFit="0" vertical="top" wrapText="1"/>
    </xf>
    <xf borderId="6" fillId="2" fontId="5" numFmtId="0" xfId="0" applyAlignment="1" applyBorder="1" applyFont="1">
      <alignment horizontal="right" readingOrder="0" shrinkToFit="0" vertical="center" wrapText="1"/>
    </xf>
    <xf borderId="0" fillId="2" fontId="5" numFmtId="0" xfId="0" applyAlignment="1" applyFont="1">
      <alignment horizontal="right" readingOrder="0" shrinkToFit="0" vertical="center" wrapText="1"/>
    </xf>
    <xf borderId="7" fillId="2" fontId="5" numFmtId="0" xfId="0" applyAlignment="1" applyBorder="1" applyFont="1">
      <alignment horizontal="right" readingOrder="0" shrinkToFit="0" vertical="center" wrapText="1"/>
    </xf>
    <xf borderId="8" fillId="2" fontId="14" numFmtId="0" xfId="0" applyAlignment="1" applyBorder="1" applyFont="1">
      <alignment readingOrder="0" shrinkToFit="0" vertical="center" wrapText="1"/>
    </xf>
    <xf borderId="8" fillId="2" fontId="14" numFmtId="0" xfId="0" applyAlignment="1" applyBorder="1" applyFont="1">
      <alignment horizontal="center" readingOrder="0" shrinkToFit="0" vertical="center" wrapText="1"/>
    </xf>
    <xf borderId="9" fillId="2" fontId="14" numFmtId="0" xfId="0" applyAlignment="1" applyBorder="1" applyFont="1">
      <alignment horizontal="center" readingOrder="0" shrinkToFit="0" vertical="center" wrapText="1"/>
    </xf>
    <xf borderId="10" fillId="2" fontId="14" numFmtId="0" xfId="0" applyAlignment="1" applyBorder="1" applyFont="1">
      <alignment horizontal="center" readingOrder="0" shrinkToFit="0" vertical="center" wrapText="1"/>
    </xf>
    <xf borderId="11" fillId="2" fontId="14" numFmtId="0" xfId="0" applyAlignment="1" applyBorder="1" applyFont="1">
      <alignment horizontal="center" readingOrder="0" shrinkToFit="0" vertical="center" wrapText="1"/>
    </xf>
    <xf borderId="8" fillId="2" fontId="14" numFmtId="164" xfId="0" applyAlignment="1" applyBorder="1" applyFont="1" applyNumberFormat="1">
      <alignment horizontal="right" readingOrder="0" shrinkToFit="0" vertical="center" wrapText="1"/>
    </xf>
    <xf borderId="12" fillId="0" fontId="15" numFmtId="0" xfId="0" applyBorder="1" applyFont="1"/>
    <xf borderId="12" fillId="0" fontId="15" numFmtId="0" xfId="0" applyAlignment="1" applyBorder="1" applyFont="1">
      <alignment readingOrder="0"/>
    </xf>
    <xf borderId="12" fillId="0" fontId="15" numFmtId="0" xfId="0" applyAlignment="1" applyBorder="1" applyFont="1">
      <alignment readingOrder="0" shrinkToFit="0" wrapText="1"/>
    </xf>
    <xf borderId="12" fillId="0" fontId="15" numFmtId="0" xfId="0" applyAlignment="1" applyBorder="1" applyFont="1">
      <alignment horizontal="left" readingOrder="0"/>
    </xf>
    <xf borderId="12" fillId="0" fontId="16" numFmtId="167" xfId="0" applyAlignment="1" applyBorder="1" applyFont="1" applyNumberFormat="1">
      <alignment horizontal="right" readingOrder="0"/>
    </xf>
    <xf borderId="13" fillId="0" fontId="16" numFmtId="167" xfId="0" applyAlignment="1" applyBorder="1" applyFont="1" applyNumberFormat="1">
      <alignment horizontal="right" readingOrder="0"/>
    </xf>
    <xf borderId="12" fillId="0" fontId="16" numFmtId="164" xfId="0" applyAlignment="1" applyBorder="1" applyFont="1" applyNumberFormat="1">
      <alignment horizontal="right" readingOrder="0"/>
    </xf>
    <xf borderId="0" fillId="3" fontId="17" numFmtId="0" xfId="0" applyFill="1" applyFont="1"/>
    <xf borderId="0" fillId="3" fontId="17" numFmtId="4" xfId="0" applyFont="1" applyNumberFormat="1"/>
    <xf borderId="0" fillId="3" fontId="17" numFmtId="3" xfId="0" applyFont="1" applyNumberFormat="1"/>
    <xf borderId="0" fillId="3" fontId="17" numFmtId="167" xfId="0" applyFont="1" applyNumberFormat="1"/>
    <xf borderId="0" fillId="0" fontId="17" numFmtId="0" xfId="0" applyFont="1"/>
    <xf borderId="0" fillId="0" fontId="17" numFmtId="168" xfId="0" applyFont="1" applyNumberFormat="1"/>
    <xf borderId="0" fillId="0" fontId="17" numFmtId="0" xfId="0" applyFont="1"/>
    <xf borderId="0" fillId="0" fontId="17" numFmtId="4" xfId="0" applyAlignment="1" applyFont="1" applyNumberFormat="1">
      <alignment readingOrder="0"/>
    </xf>
    <xf borderId="0" fillId="0" fontId="17" numFmtId="4" xfId="0" applyFont="1" applyNumberFormat="1"/>
    <xf borderId="0" fillId="0" fontId="17" numFmtId="3" xfId="0" applyAlignment="1" applyFont="1" applyNumberFormat="1">
      <alignment readingOrder="0"/>
    </xf>
    <xf borderId="0" fillId="0" fontId="17" numFmtId="3" xfId="0" applyFont="1" applyNumberFormat="1"/>
    <xf borderId="0" fillId="0" fontId="17" numFmtId="167" xfId="0" applyFont="1" applyNumberFormat="1"/>
    <xf borderId="0" fillId="0" fontId="17" numFmtId="0" xfId="0" applyAlignment="1" applyFont="1">
      <alignment readingOrder="0"/>
    </xf>
    <xf borderId="10" fillId="0" fontId="17" numFmtId="0" xfId="0" applyBorder="1" applyFont="1"/>
    <xf borderId="10" fillId="0" fontId="17" numFmtId="0" xfId="0" applyBorder="1" applyFont="1"/>
    <xf borderId="10" fillId="0" fontId="17" numFmtId="4" xfId="0" applyBorder="1" applyFont="1" applyNumberFormat="1"/>
    <xf borderId="10" fillId="0" fontId="17" numFmtId="164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10" fillId="0" fontId="17" numFmtId="10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0" fillId="2" fontId="17" numFmtId="0" xfId="0" applyFont="1"/>
    <xf borderId="0" fillId="2" fontId="17" numFmtId="0" xfId="0" applyFont="1"/>
    <xf borderId="0" fillId="2" fontId="17" numFmtId="4" xfId="0" applyFont="1" applyNumberFormat="1"/>
    <xf borderId="0" fillId="2" fontId="17" numFmtId="0" xfId="0" applyFont="1"/>
    <xf borderId="0" fillId="2" fontId="17" numFmtId="168" xfId="0" applyFont="1" applyNumberFormat="1"/>
    <xf borderId="0" fillId="2" fontId="17" numFmtId="4" xfId="0" applyAlignment="1" applyFont="1" applyNumberFormat="1">
      <alignment readingOrder="0"/>
    </xf>
    <xf borderId="0" fillId="2" fontId="17" numFmtId="0" xfId="0" applyAlignment="1" applyFont="1">
      <alignment readingOrder="0"/>
    </xf>
    <xf borderId="14" fillId="2" fontId="17" numFmtId="4" xfId="0" applyBorder="1" applyFont="1" applyNumberFormat="1"/>
    <xf borderId="10" fillId="2" fontId="17" numFmtId="0" xfId="0" applyBorder="1" applyFont="1"/>
    <xf borderId="10" fillId="2" fontId="17" numFmtId="0" xfId="0" applyBorder="1" applyFont="1"/>
    <xf borderId="10" fillId="2" fontId="17" numFmtId="4" xfId="0" applyBorder="1" applyFont="1" applyNumberFormat="1"/>
    <xf borderId="0" fillId="2" fontId="17" numFmtId="0" xfId="0" applyFont="1"/>
    <xf borderId="0" fillId="2" fontId="17" numFmtId="4" xfId="0" applyFont="1" applyNumberFormat="1"/>
    <xf borderId="0" fillId="2" fontId="17" numFmtId="4" xfId="0" applyAlignment="1" applyFont="1" applyNumberFormat="1">
      <alignment readingOrder="0"/>
    </xf>
    <xf borderId="0" fillId="2" fontId="17" numFmtId="0" xfId="0" applyAlignment="1" applyFont="1">
      <alignment readingOrder="0"/>
    </xf>
    <xf borderId="15" fillId="0" fontId="18" numFmtId="0" xfId="0" applyBorder="1" applyFont="1"/>
    <xf borderId="15" fillId="0" fontId="21" numFmtId="0" xfId="0" applyAlignment="1" applyBorder="1" applyFont="1">
      <alignment horizontal="right" readingOrder="0"/>
    </xf>
    <xf borderId="15" fillId="0" fontId="4" numFmtId="0" xfId="0" applyBorder="1" applyFont="1"/>
    <xf borderId="15" fillId="0" fontId="16" numFmtId="4" xfId="0" applyAlignment="1" applyBorder="1" applyFont="1" applyNumberFormat="1">
      <alignment horizontal="right" readingOrder="0"/>
    </xf>
    <xf borderId="15" fillId="0" fontId="16" numFmtId="10" xfId="0" applyAlignment="1" applyBorder="1" applyFont="1" applyNumberFormat="1">
      <alignment horizontal="right" readingOrder="0"/>
    </xf>
    <xf borderId="15" fillId="0" fontId="20" numFmtId="0" xfId="0" applyAlignment="1" applyBorder="1" applyFont="1">
      <alignment horizontal="right" readingOrder="0"/>
    </xf>
    <xf borderId="15" fillId="0" fontId="20" numFmtId="4" xfId="0" applyAlignment="1" applyBorder="1" applyFont="1" applyNumberFormat="1">
      <alignment horizontal="right" readingOrder="0"/>
    </xf>
    <xf borderId="15" fillId="0" fontId="20" numFmtId="10" xfId="0" applyAlignment="1" applyBorder="1" applyFont="1" applyNumberFormat="1">
      <alignment horizontal="right" readingOrder="0"/>
    </xf>
    <xf borderId="1" fillId="2" fontId="2" numFmtId="10" xfId="0" applyAlignment="1" applyBorder="1" applyFont="1" applyNumberFormat="1">
      <alignment horizontal="left" readingOrder="0" shrinkToFit="0" vertical="top" wrapText="1"/>
    </xf>
    <xf borderId="5" fillId="2" fontId="5" numFmtId="10" xfId="0" applyAlignment="1" applyBorder="1" applyFont="1" applyNumberFormat="1">
      <alignment horizontal="right" readingOrder="0" shrinkToFit="0" vertical="center" wrapText="1"/>
    </xf>
    <xf borderId="5" fillId="2" fontId="5" numFmtId="168" xfId="0" applyAlignment="1" applyBorder="1" applyFont="1" applyNumberFormat="1">
      <alignment horizontal="right" readingOrder="0" shrinkToFit="0" vertical="center" wrapText="1"/>
    </xf>
    <xf borderId="0" fillId="2" fontId="5" numFmtId="10" xfId="0" applyAlignment="1" applyFont="1" applyNumberFormat="1">
      <alignment horizontal="right" readingOrder="0" shrinkToFit="0" vertical="center" wrapText="1"/>
    </xf>
    <xf borderId="10" fillId="2" fontId="14" numFmtId="10" xfId="0" applyAlignment="1" applyBorder="1" applyFont="1" applyNumberFormat="1">
      <alignment horizontal="center" readingOrder="0" shrinkToFit="0" vertical="center" wrapText="1"/>
    </xf>
    <xf borderId="13" fillId="0" fontId="16" numFmtId="10" xfId="0" applyAlignment="1" applyBorder="1" applyFont="1" applyNumberFormat="1">
      <alignment horizontal="right" readingOrder="0"/>
    </xf>
    <xf borderId="0" fillId="3" fontId="17" numFmtId="10" xfId="0" applyFont="1" applyNumberFormat="1"/>
    <xf borderId="0" fillId="0" fontId="17" numFmtId="10" xfId="0" applyFont="1" applyNumberFormat="1"/>
    <xf borderId="0" fillId="2" fontId="17" numFmtId="3" xfId="0" applyAlignment="1" applyFont="1" applyNumberFormat="1">
      <alignment horizontal="right" vertical="bottom"/>
    </xf>
    <xf borderId="0" fillId="4" fontId="17" numFmtId="3" xfId="0" applyAlignment="1" applyFill="1" applyFont="1" applyNumberFormat="1">
      <alignment horizontal="right" vertical="bottom"/>
    </xf>
    <xf borderId="0" fillId="4" fontId="22" numFmtId="3" xfId="0" applyAlignment="1" applyFont="1" applyNumberFormat="1">
      <alignment vertical="bottom"/>
    </xf>
    <xf borderId="0" fillId="2" fontId="22" numFmtId="3" xfId="0" applyAlignment="1" applyFont="1" applyNumberFormat="1">
      <alignment vertical="bottom"/>
    </xf>
    <xf borderId="10" fillId="0" fontId="23" numFmtId="4" xfId="0" applyBorder="1" applyFont="1" applyNumberFormat="1"/>
    <xf borderId="13" fillId="0" fontId="20" numFmtId="10" xfId="0" applyAlignment="1" applyBorder="1" applyFont="1" applyNumberFormat="1">
      <alignment horizontal="right" readingOrder="0"/>
    </xf>
    <xf borderId="13" fillId="0" fontId="20" numFmtId="10" xfId="0" applyAlignment="1" applyBorder="1" applyFont="1" applyNumberFormat="1">
      <alignment horizontal="right" readingOrder="0"/>
    </xf>
    <xf borderId="0" fillId="2" fontId="17" numFmtId="10" xfId="0" applyFont="1" applyNumberFormat="1"/>
    <xf borderId="10" fillId="2" fontId="17" numFmtId="10" xfId="0" applyBorder="1" applyFont="1" applyNumberFormat="1"/>
    <xf borderId="0" fillId="2" fontId="17" numFmtId="10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20">
    <tableStyle count="3" pivot="0" name="Original-style">
      <tableStyleElement dxfId="1" type="headerRow"/>
      <tableStyleElement dxfId="2" type="firstRowStripe"/>
      <tableStyleElement dxfId="3" type="secondRowStripe"/>
    </tableStyle>
    <tableStyle count="3" pivot="0" name="Original-style 2">
      <tableStyleElement dxfId="1" type="headerRow"/>
      <tableStyleElement dxfId="2" type="firstRowStripe"/>
      <tableStyleElement dxfId="3" type="secondRowStripe"/>
    </tableStyle>
    <tableStyle count="3" pivot="0" name="Original-style 3">
      <tableStyleElement dxfId="1" type="headerRow"/>
      <tableStyleElement dxfId="2" type="firstRowStripe"/>
      <tableStyleElement dxfId="3" type="secondRowStripe"/>
    </tableStyle>
    <tableStyle count="3" pivot="0" name="Original-style 4">
      <tableStyleElement dxfId="1" type="headerRow"/>
      <tableStyleElement dxfId="2" type="firstRowStripe"/>
      <tableStyleElement dxfId="3" type="secondRowStripe"/>
    </tableStyle>
    <tableStyle count="3" pivot="0" name="CO1-style">
      <tableStyleElement dxfId="1" type="headerRow"/>
      <tableStyleElement dxfId="2" type="firstRowStripe"/>
      <tableStyleElement dxfId="3" type="secondRowStripe"/>
    </tableStyle>
    <tableStyle count="3" pivot="0" name="CO1-style 2">
      <tableStyleElement dxfId="1" type="headerRow"/>
      <tableStyleElement dxfId="2" type="firstRowStripe"/>
      <tableStyleElement dxfId="3" type="secondRowStripe"/>
    </tableStyle>
    <tableStyle count="3" pivot="0" name="CO1-style 3">
      <tableStyleElement dxfId="1" type="headerRow"/>
      <tableStyleElement dxfId="2" type="firstRowStripe"/>
      <tableStyleElement dxfId="3" type="secondRowStripe"/>
    </tableStyle>
    <tableStyle count="3" pivot="0" name="CO1-style 4">
      <tableStyleElement dxfId="1" type="headerRow"/>
      <tableStyleElement dxfId="2" type="firstRowStripe"/>
      <tableStyleElement dxfId="3" type="secondRowStripe"/>
    </tableStyle>
    <tableStyle count="3" pivot="0" name="CO2-style">
      <tableStyleElement dxfId="1" type="headerRow"/>
      <tableStyleElement dxfId="2" type="firstRowStripe"/>
      <tableStyleElement dxfId="3" type="secondRowStripe"/>
    </tableStyle>
    <tableStyle count="3" pivot="0" name="CO2-style 2">
      <tableStyleElement dxfId="1" type="headerRow"/>
      <tableStyleElement dxfId="2" type="firstRowStripe"/>
      <tableStyleElement dxfId="3" type="secondRowStripe"/>
    </tableStyle>
    <tableStyle count="3" pivot="0" name="CO2-style 3">
      <tableStyleElement dxfId="1" type="headerRow"/>
      <tableStyleElement dxfId="2" type="firstRowStripe"/>
      <tableStyleElement dxfId="3" type="secondRowStripe"/>
    </tableStyle>
    <tableStyle count="3" pivot="0" name="CO2-style 4">
      <tableStyleElement dxfId="1" type="headerRow"/>
      <tableStyleElement dxfId="2" type="firstRowStripe"/>
      <tableStyleElement dxfId="3" type="secondRowStripe"/>
    </tableStyle>
    <tableStyle count="3" pivot="0" name="CO3-style">
      <tableStyleElement dxfId="1" type="headerRow"/>
      <tableStyleElement dxfId="2" type="firstRowStripe"/>
      <tableStyleElement dxfId="3" type="secondRowStripe"/>
    </tableStyle>
    <tableStyle count="3" pivot="0" name="CO3-style 2">
      <tableStyleElement dxfId="1" type="headerRow"/>
      <tableStyleElement dxfId="2" type="firstRowStripe"/>
      <tableStyleElement dxfId="3" type="secondRowStripe"/>
    </tableStyle>
    <tableStyle count="3" pivot="0" name="CO3-style 3">
      <tableStyleElement dxfId="1" type="headerRow"/>
      <tableStyleElement dxfId="2" type="firstRowStripe"/>
      <tableStyleElement dxfId="3" type="secondRowStripe"/>
    </tableStyle>
    <tableStyle count="3" pivot="0" name="CO3-style 4">
      <tableStyleElement dxfId="1" type="headerRow"/>
      <tableStyleElement dxfId="2" type="firstRowStripe"/>
      <tableStyleElement dxfId="3" type="secondRowStripe"/>
    </tableStyle>
    <tableStyle count="3" pivot="0" name="Updated Budget-style">
      <tableStyleElement dxfId="1" type="headerRow"/>
      <tableStyleElement dxfId="2" type="firstRowStripe"/>
      <tableStyleElement dxfId="3" type="secondRowStripe"/>
    </tableStyle>
    <tableStyle count="3" pivot="0" name="Updated Budget-style 2">
      <tableStyleElement dxfId="1" type="headerRow"/>
      <tableStyleElement dxfId="2" type="firstRowStripe"/>
      <tableStyleElement dxfId="3" type="secondRowStripe"/>
    </tableStyle>
    <tableStyle count="3" pivot="0" name="Updated Budget-style 3">
      <tableStyleElement dxfId="1" type="headerRow"/>
      <tableStyleElement dxfId="2" type="firstRowStripe"/>
      <tableStyleElement dxfId="3" type="secondRowStripe"/>
    </tableStyle>
    <tableStyle count="3" pivot="0" name="Updated Budget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L35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7:L49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51:L66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68:L77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6:L32" displayName="Table_5" name="Table_5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34:L46" displayName="Table_6" name="Table_6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8:L53" displayName="Table_7" name="Table_7" id="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55:L64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6:L32" displayName="Table_9" name="Table_9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34:L46" displayName="Table_10" name="Table_10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48:L53" displayName="Table_11" name="Table_11" id="1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55:L64" displayName="Table_12" name="Table_12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6:L32" displayName="Table_13" name="Table_13" id="1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34:L46" displayName="Table_14" name="Table_14" id="1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48:L53" displayName="Table_15" name="Table_15" id="1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55:L64" displayName="Table_16" name="Table_16" id="1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6:L32" displayName="Table_17" name="Table_17" id="1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34:L46" displayName="Table_18" name="Table_18" id="1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48:L53" displayName="Table_19" name="Table_19" id="1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55:L64" displayName="Table_20" name="Table_20" id="2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6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Relationship Id="rId8" Type="http://schemas.openxmlformats.org/officeDocument/2006/relationships/table" Target="../tables/table1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20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3.13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0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206.0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4</v>
      </c>
      <c r="C4" s="17">
        <v>665000.0</v>
      </c>
      <c r="D4" s="13"/>
      <c r="E4" s="18" t="s">
        <v>5</v>
      </c>
      <c r="F4" s="19">
        <v>0.0</v>
      </c>
      <c r="G4" s="15"/>
      <c r="H4" s="15"/>
      <c r="I4" s="15" t="s">
        <v>6</v>
      </c>
      <c r="J4" s="20">
        <v>46077.0</v>
      </c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9000.0</v>
      </c>
      <c r="E9" s="46"/>
      <c r="F9" s="46">
        <f t="shared" ref="F9:F28" si="1">E9-D9</f>
        <v>-9000</v>
      </c>
      <c r="G9" s="46"/>
      <c r="H9" s="46"/>
      <c r="I9" s="46">
        <f t="shared" ref="I9:I22" si="2">D9/75</f>
        <v>120</v>
      </c>
      <c r="J9" s="47"/>
      <c r="K9" s="48"/>
      <c r="L9" s="49"/>
    </row>
    <row r="10">
      <c r="A10" s="42"/>
      <c r="B10" s="43"/>
      <c r="C10" s="44" t="s">
        <v>19</v>
      </c>
      <c r="D10" s="45">
        <v>9000.0</v>
      </c>
      <c r="E10" s="46"/>
      <c r="F10" s="46">
        <f t="shared" si="1"/>
        <v>-9000</v>
      </c>
      <c r="G10" s="46"/>
      <c r="H10" s="46"/>
      <c r="I10" s="46">
        <f t="shared" si="2"/>
        <v>120</v>
      </c>
      <c r="J10" s="47"/>
      <c r="K10" s="48"/>
      <c r="L10" s="49"/>
    </row>
    <row r="11">
      <c r="A11" s="42"/>
      <c r="B11" s="43"/>
      <c r="C11" s="44" t="s">
        <v>20</v>
      </c>
      <c r="D11" s="45">
        <v>1000.0</v>
      </c>
      <c r="E11" s="46"/>
      <c r="F11" s="46">
        <f t="shared" si="1"/>
        <v>-1000</v>
      </c>
      <c r="G11" s="46"/>
      <c r="H11" s="46"/>
      <c r="I11" s="46">
        <f t="shared" si="2"/>
        <v>13.33333333</v>
      </c>
      <c r="J11" s="47"/>
      <c r="K11" s="48"/>
      <c r="L11" s="49"/>
    </row>
    <row r="12">
      <c r="A12" s="42"/>
      <c r="B12" s="42"/>
      <c r="C12" s="44" t="s">
        <v>21</v>
      </c>
      <c r="D12" s="45">
        <v>1500.0</v>
      </c>
      <c r="E12" s="46"/>
      <c r="F12" s="46">
        <f t="shared" si="1"/>
        <v>-1500</v>
      </c>
      <c r="G12" s="46"/>
      <c r="H12" s="46"/>
      <c r="I12" s="46">
        <f t="shared" si="2"/>
        <v>20</v>
      </c>
      <c r="J12" s="47"/>
      <c r="K12" s="48"/>
      <c r="L12" s="49"/>
    </row>
    <row r="13">
      <c r="A13" s="42"/>
      <c r="B13" s="42"/>
      <c r="C13" s="44" t="s">
        <v>22</v>
      </c>
      <c r="D13" s="45">
        <v>1493.0</v>
      </c>
      <c r="E13" s="45"/>
      <c r="F13" s="46">
        <f t="shared" si="1"/>
        <v>-1493</v>
      </c>
      <c r="G13" s="46"/>
      <c r="H13" s="46"/>
      <c r="I13" s="46">
        <f t="shared" si="2"/>
        <v>19.90666667</v>
      </c>
      <c r="J13" s="47"/>
      <c r="K13" s="48"/>
      <c r="L13" s="49"/>
    </row>
    <row r="14">
      <c r="A14" s="42"/>
      <c r="B14" s="42"/>
      <c r="C14" s="44" t="s">
        <v>23</v>
      </c>
      <c r="D14" s="45">
        <v>1500.0</v>
      </c>
      <c r="E14" s="46"/>
      <c r="F14" s="46">
        <f t="shared" si="1"/>
        <v>-1500</v>
      </c>
      <c r="G14" s="46"/>
      <c r="H14" s="46"/>
      <c r="I14" s="46">
        <f t="shared" si="2"/>
        <v>20</v>
      </c>
      <c r="J14" s="48"/>
      <c r="K14" s="48"/>
      <c r="L14" s="49"/>
    </row>
    <row r="15">
      <c r="A15" s="42"/>
      <c r="B15" s="42"/>
      <c r="C15" s="44" t="s">
        <v>24</v>
      </c>
      <c r="D15" s="45">
        <v>5856.0</v>
      </c>
      <c r="E15" s="46"/>
      <c r="F15" s="46">
        <f t="shared" si="1"/>
        <v>-5856</v>
      </c>
      <c r="G15" s="46"/>
      <c r="H15" s="46"/>
      <c r="I15" s="46">
        <f t="shared" si="2"/>
        <v>78.08</v>
      </c>
      <c r="J15" s="47"/>
      <c r="K15" s="48"/>
      <c r="L15" s="49"/>
    </row>
    <row r="16">
      <c r="A16" s="42"/>
      <c r="B16" s="42"/>
      <c r="C16" s="50" t="s">
        <v>25</v>
      </c>
      <c r="D16" s="45">
        <v>6225.0</v>
      </c>
      <c r="E16" s="46"/>
      <c r="F16" s="46">
        <f t="shared" si="1"/>
        <v>-6225</v>
      </c>
      <c r="G16" s="46"/>
      <c r="H16" s="46"/>
      <c r="I16" s="46">
        <f t="shared" si="2"/>
        <v>83</v>
      </c>
      <c r="J16" s="47"/>
      <c r="K16" s="48"/>
      <c r="L16" s="49"/>
    </row>
    <row r="17">
      <c r="A17" s="42"/>
      <c r="B17" s="42"/>
      <c r="C17" s="50" t="s">
        <v>26</v>
      </c>
      <c r="D17" s="45">
        <v>6600.0</v>
      </c>
      <c r="E17" s="46"/>
      <c r="F17" s="46">
        <f t="shared" si="1"/>
        <v>-6600</v>
      </c>
      <c r="G17" s="46"/>
      <c r="H17" s="46"/>
      <c r="I17" s="46">
        <f t="shared" si="2"/>
        <v>88</v>
      </c>
      <c r="J17" s="47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5">
        <v>25412.0</v>
      </c>
      <c r="E20" s="46"/>
      <c r="F20" s="46">
        <f t="shared" si="1"/>
        <v>-25412</v>
      </c>
      <c r="G20" s="46"/>
      <c r="H20" s="46"/>
      <c r="I20" s="46">
        <f t="shared" si="2"/>
        <v>338.8266667</v>
      </c>
      <c r="J20" s="47"/>
      <c r="K20" s="48"/>
      <c r="L20" s="49"/>
    </row>
    <row r="21">
      <c r="A21" s="42"/>
      <c r="B21" s="42"/>
      <c r="C21" s="44" t="s">
        <v>30</v>
      </c>
      <c r="D21" s="45">
        <f>10941+127</f>
        <v>11068</v>
      </c>
      <c r="E21" s="46"/>
      <c r="F21" s="46">
        <f t="shared" si="1"/>
        <v>-11068</v>
      </c>
      <c r="G21" s="46"/>
      <c r="H21" s="46"/>
      <c r="I21" s="46">
        <f t="shared" si="2"/>
        <v>147.5733333</v>
      </c>
      <c r="J21" s="47"/>
      <c r="K21" s="48"/>
      <c r="L21" s="49"/>
    </row>
    <row r="22">
      <c r="A22" s="42"/>
      <c r="B22" s="42"/>
      <c r="C22" s="44" t="s">
        <v>31</v>
      </c>
      <c r="D22" s="45">
        <f>380+267+18900</f>
        <v>19547</v>
      </c>
      <c r="E22" s="46"/>
      <c r="F22" s="46">
        <f t="shared" si="1"/>
        <v>-19547</v>
      </c>
      <c r="G22" s="46"/>
      <c r="H22" s="46"/>
      <c r="I22" s="46">
        <f t="shared" si="2"/>
        <v>260.6266667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5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5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5">
        <v>2150.0</v>
      </c>
      <c r="E26" s="46"/>
      <c r="F26" s="46">
        <f t="shared" si="1"/>
        <v>-2150</v>
      </c>
      <c r="G26" s="46"/>
      <c r="H26" s="46"/>
      <c r="I26" s="46">
        <f t="shared" si="3"/>
        <v>28.66666667</v>
      </c>
      <c r="J26" s="48"/>
      <c r="K26" s="48"/>
      <c r="L26" s="49"/>
    </row>
    <row r="27">
      <c r="A27" s="42"/>
      <c r="B27" s="42"/>
      <c r="C27" s="50" t="s">
        <v>36</v>
      </c>
      <c r="D27" s="45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50" t="s">
        <v>37</v>
      </c>
      <c r="D28" s="45">
        <v>2946.0</v>
      </c>
      <c r="E28" s="46"/>
      <c r="F28" s="46">
        <f t="shared" si="1"/>
        <v>-2946</v>
      </c>
      <c r="G28" s="46"/>
      <c r="H28" s="46"/>
      <c r="I28" s="46">
        <f t="shared" si="3"/>
        <v>39.28</v>
      </c>
      <c r="J28" s="48"/>
      <c r="K28" s="48"/>
      <c r="L28" s="42"/>
    </row>
    <row r="29">
      <c r="A29" s="42"/>
      <c r="B29" s="42"/>
      <c r="C29" s="50" t="s">
        <v>38</v>
      </c>
      <c r="D29" s="45">
        <v>2374.0</v>
      </c>
      <c r="E29" s="46"/>
      <c r="F29" s="46"/>
      <c r="G29" s="46"/>
      <c r="H29" s="46"/>
      <c r="I29" s="46"/>
      <c r="J29" s="48"/>
      <c r="K29" s="48"/>
      <c r="L29" s="42"/>
    </row>
    <row r="30">
      <c r="A30" s="42"/>
      <c r="B30" s="42"/>
      <c r="C30" s="50" t="s">
        <v>39</v>
      </c>
      <c r="D30" s="45">
        <v>3500.0</v>
      </c>
      <c r="E30" s="46"/>
      <c r="F30" s="46"/>
      <c r="G30" s="46"/>
      <c r="H30" s="46"/>
      <c r="I30" s="46"/>
      <c r="J30" s="48"/>
      <c r="K30" s="48"/>
      <c r="L30" s="42"/>
    </row>
    <row r="31">
      <c r="A31" s="42"/>
      <c r="B31" s="42"/>
      <c r="C31" s="44" t="s">
        <v>40</v>
      </c>
      <c r="D31" s="45">
        <v>0.0</v>
      </c>
      <c r="E31" s="46"/>
      <c r="F31" s="46">
        <f>E31-D31</f>
        <v>0</v>
      </c>
      <c r="G31" s="46"/>
      <c r="H31" s="46"/>
      <c r="I31" s="46"/>
      <c r="J31" s="48"/>
      <c r="K31" s="48"/>
      <c r="L31" s="42"/>
    </row>
    <row r="32">
      <c r="A32" s="42"/>
      <c r="B32" s="42"/>
      <c r="C32" s="50" t="s">
        <v>41</v>
      </c>
      <c r="D32" s="45">
        <v>8978.0</v>
      </c>
      <c r="E32" s="46"/>
      <c r="F32" s="46"/>
      <c r="G32" s="46"/>
      <c r="H32" s="46"/>
      <c r="I32" s="46"/>
      <c r="J32" s="48"/>
      <c r="K32" s="48"/>
      <c r="L32" s="42"/>
    </row>
    <row r="33">
      <c r="A33" s="42"/>
      <c r="B33" s="42"/>
      <c r="C33" s="44" t="s">
        <v>42</v>
      </c>
      <c r="D33" s="46">
        <v>0.0</v>
      </c>
      <c r="E33" s="46"/>
      <c r="F33" s="46">
        <f t="shared" ref="F33:F34" si="4">E33-D33</f>
        <v>0</v>
      </c>
      <c r="G33" s="46"/>
      <c r="H33" s="46"/>
      <c r="I33" s="46">
        <f t="shared" ref="I33:I34" si="5">D33/75</f>
        <v>0</v>
      </c>
      <c r="J33" s="47"/>
      <c r="K33" s="48"/>
      <c r="L33" s="42"/>
    </row>
    <row r="34">
      <c r="A34" s="42"/>
      <c r="B34" s="42"/>
      <c r="C34" s="44" t="s">
        <v>42</v>
      </c>
      <c r="D34" s="46">
        <v>0.0</v>
      </c>
      <c r="E34" s="46"/>
      <c r="F34" s="46">
        <f t="shared" si="4"/>
        <v>0</v>
      </c>
      <c r="G34" s="46"/>
      <c r="H34" s="46"/>
      <c r="I34" s="46">
        <f t="shared" si="5"/>
        <v>0</v>
      </c>
      <c r="J34" s="48"/>
      <c r="K34" s="48"/>
      <c r="L34" s="42"/>
    </row>
    <row r="35">
      <c r="A35" s="51"/>
      <c r="B35" s="51"/>
      <c r="C35" s="52" t="s">
        <v>43</v>
      </c>
      <c r="D35" s="53">
        <f t="shared" ref="D35:F35" si="6">SUM(D9:D34)</f>
        <v>118149</v>
      </c>
      <c r="E35" s="53">
        <f t="shared" si="6"/>
        <v>0</v>
      </c>
      <c r="F35" s="53">
        <f t="shared" si="6"/>
        <v>-103297</v>
      </c>
      <c r="G35" s="53"/>
      <c r="H35" s="53"/>
      <c r="I35" s="53">
        <f t="shared" ref="I35:J35" si="7">SUM(I9:I34)</f>
        <v>1377.293333</v>
      </c>
      <c r="J35" s="53">
        <f t="shared" si="7"/>
        <v>0</v>
      </c>
      <c r="K35" s="54"/>
      <c r="L35" s="51"/>
    </row>
    <row r="36" ht="20.25" customHeight="1">
      <c r="A36" s="55"/>
      <c r="B36" s="56"/>
      <c r="C36" s="57"/>
      <c r="D36" s="58"/>
      <c r="E36" s="59"/>
      <c r="F36" s="59"/>
      <c r="G36" s="59"/>
      <c r="H36" s="59"/>
      <c r="I36" s="59"/>
      <c r="J36" s="60"/>
      <c r="K36" s="60"/>
      <c r="L36" s="61"/>
    </row>
    <row r="37" ht="27.0" customHeight="1">
      <c r="A37" s="44">
        <v>2.0</v>
      </c>
      <c r="B37" s="44" t="s">
        <v>44</v>
      </c>
      <c r="C37" s="44"/>
      <c r="D37" s="46"/>
      <c r="E37" s="46"/>
      <c r="F37" s="46"/>
      <c r="G37" s="46"/>
      <c r="H37" s="46"/>
      <c r="I37" s="46"/>
      <c r="J37" s="48"/>
      <c r="K37" s="48"/>
      <c r="L37" s="49"/>
    </row>
    <row r="38" hidden="1">
      <c r="A38" s="42"/>
      <c r="B38" s="43"/>
      <c r="C38" s="44" t="s">
        <v>18</v>
      </c>
      <c r="D38" s="46"/>
      <c r="E38" s="46"/>
      <c r="F38" s="46"/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21</v>
      </c>
      <c r="D39" s="46"/>
      <c r="E39" s="46"/>
      <c r="F39" s="46">
        <f t="shared" ref="F39:F48" si="8">E39-D39</f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45</v>
      </c>
      <c r="D40" s="46"/>
      <c r="E40" s="46"/>
      <c r="F40" s="46">
        <f t="shared" si="8"/>
        <v>0</v>
      </c>
      <c r="G40" s="46"/>
      <c r="H40" s="46"/>
      <c r="I40" s="46"/>
      <c r="J40" s="48"/>
      <c r="K40" s="48"/>
      <c r="L40" s="49"/>
    </row>
    <row r="41">
      <c r="A41" s="42"/>
      <c r="B41" s="43"/>
      <c r="C41" s="44" t="s">
        <v>46</v>
      </c>
      <c r="D41" s="46"/>
      <c r="E41" s="46"/>
      <c r="F41" s="46">
        <f t="shared" si="8"/>
        <v>0</v>
      </c>
      <c r="G41" s="46"/>
      <c r="H41" s="46"/>
      <c r="I41" s="46"/>
      <c r="J41" s="48"/>
      <c r="K41" s="48"/>
      <c r="L41" s="49"/>
    </row>
    <row r="42">
      <c r="A42" s="42"/>
      <c r="B42" s="43"/>
      <c r="C42" s="44" t="s">
        <v>47</v>
      </c>
      <c r="D42" s="46"/>
      <c r="E42" s="46"/>
      <c r="F42" s="46">
        <f t="shared" si="8"/>
        <v>0</v>
      </c>
      <c r="G42" s="46"/>
      <c r="H42" s="46"/>
      <c r="I42" s="46"/>
      <c r="J42" s="48"/>
      <c r="K42" s="48"/>
      <c r="L42" s="49"/>
    </row>
    <row r="43">
      <c r="A43" s="42"/>
      <c r="B43" s="43"/>
      <c r="C43" s="44" t="s">
        <v>31</v>
      </c>
      <c r="D43" s="45">
        <v>99630.0</v>
      </c>
      <c r="E43" s="46"/>
      <c r="F43" s="46">
        <f t="shared" si="8"/>
        <v>-99630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48</v>
      </c>
      <c r="D44" s="46"/>
      <c r="E44" s="46"/>
      <c r="F44" s="46">
        <f t="shared" si="8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35</v>
      </c>
      <c r="D45" s="46"/>
      <c r="E45" s="46"/>
      <c r="F45" s="46">
        <f t="shared" si="8"/>
        <v>0</v>
      </c>
      <c r="G45" s="46"/>
      <c r="H45" s="46"/>
      <c r="I45" s="46"/>
      <c r="J45" s="48"/>
      <c r="K45" s="48"/>
      <c r="L45" s="49"/>
    </row>
    <row r="46">
      <c r="A46" s="42"/>
      <c r="B46" s="42"/>
      <c r="C46" s="44" t="s">
        <v>49</v>
      </c>
      <c r="D46" s="46"/>
      <c r="E46" s="46"/>
      <c r="F46" s="46">
        <f t="shared" si="8"/>
        <v>0</v>
      </c>
      <c r="G46" s="46"/>
      <c r="H46" s="46"/>
      <c r="I46" s="46"/>
      <c r="J46" s="48"/>
      <c r="K46" s="48"/>
      <c r="L46" s="49"/>
    </row>
    <row r="47">
      <c r="A47" s="42"/>
      <c r="B47" s="42"/>
      <c r="C47" s="44" t="s">
        <v>50</v>
      </c>
      <c r="D47" s="46"/>
      <c r="E47" s="46"/>
      <c r="F47" s="46">
        <f t="shared" si="8"/>
        <v>0</v>
      </c>
      <c r="G47" s="46"/>
      <c r="H47" s="46"/>
      <c r="I47" s="46"/>
      <c r="J47" s="48"/>
      <c r="K47" s="48"/>
      <c r="L47" s="49"/>
    </row>
    <row r="48">
      <c r="A48" s="42"/>
      <c r="B48" s="42"/>
      <c r="C48" s="44" t="s">
        <v>50</v>
      </c>
      <c r="D48" s="46"/>
      <c r="E48" s="46"/>
      <c r="F48" s="46">
        <f t="shared" si="8"/>
        <v>0</v>
      </c>
      <c r="G48" s="46"/>
      <c r="H48" s="46"/>
      <c r="I48" s="46"/>
      <c r="J48" s="48"/>
      <c r="K48" s="48"/>
      <c r="L48" s="49"/>
    </row>
    <row r="49">
      <c r="A49" s="51"/>
      <c r="B49" s="51"/>
      <c r="C49" s="52" t="s">
        <v>51</v>
      </c>
      <c r="D49" s="53">
        <f t="shared" ref="D49:F49" si="9">SUM(D39:D46)</f>
        <v>99630</v>
      </c>
      <c r="E49" s="53">
        <f t="shared" si="9"/>
        <v>0</v>
      </c>
      <c r="F49" s="53">
        <f t="shared" si="9"/>
        <v>-99630</v>
      </c>
      <c r="G49" s="62"/>
      <c r="H49" s="53"/>
      <c r="I49" s="53"/>
      <c r="J49" s="53"/>
      <c r="K49" s="54"/>
      <c r="L49" s="51"/>
    </row>
    <row r="50" ht="16.5" customHeight="1">
      <c r="A50" s="63"/>
      <c r="B50" s="64"/>
      <c r="C50" s="65"/>
      <c r="D50" s="66"/>
      <c r="E50" s="67"/>
      <c r="F50" s="67"/>
      <c r="G50" s="67"/>
      <c r="H50" s="67"/>
      <c r="I50" s="67"/>
      <c r="J50" s="68"/>
      <c r="K50" s="68"/>
      <c r="L50" s="69"/>
    </row>
    <row r="51" ht="22.5" customHeight="1">
      <c r="A51" s="44">
        <v>3.0</v>
      </c>
      <c r="B51" s="44" t="s">
        <v>52</v>
      </c>
      <c r="C51" s="44"/>
      <c r="D51" s="46"/>
      <c r="E51" s="46"/>
      <c r="F51" s="46"/>
      <c r="G51" s="46"/>
      <c r="H51" s="46"/>
      <c r="I51" s="46"/>
      <c r="J51" s="48"/>
      <c r="K51" s="48"/>
      <c r="L51" s="49"/>
    </row>
    <row r="52">
      <c r="A52" s="42"/>
      <c r="B52" s="43"/>
      <c r="C52" s="50" t="s">
        <v>53</v>
      </c>
      <c r="D52" s="45">
        <v>3500.0</v>
      </c>
      <c r="E52" s="46"/>
      <c r="F52" s="46">
        <f t="shared" ref="F52:F53" si="10">E52-D52</f>
        <v>-3500</v>
      </c>
      <c r="G52" s="46"/>
      <c r="H52" s="46"/>
      <c r="I52" s="46"/>
      <c r="J52" s="48"/>
      <c r="K52" s="48"/>
      <c r="L52" s="49"/>
    </row>
    <row r="53">
      <c r="A53" s="42"/>
      <c r="B53" s="43"/>
      <c r="C53" s="50" t="s">
        <v>54</v>
      </c>
      <c r="D53" s="45">
        <v>15342.73</v>
      </c>
      <c r="E53" s="46"/>
      <c r="F53" s="46">
        <f t="shared" si="10"/>
        <v>-15342.73</v>
      </c>
      <c r="G53" s="46"/>
      <c r="H53" s="46"/>
      <c r="I53" s="46"/>
      <c r="J53" s="48"/>
      <c r="K53" s="48"/>
      <c r="L53" s="49"/>
    </row>
    <row r="54">
      <c r="A54" s="42"/>
      <c r="B54" s="43"/>
      <c r="C54" s="50" t="s">
        <v>55</v>
      </c>
      <c r="D54" s="45">
        <v>5000.0</v>
      </c>
      <c r="E54" s="46"/>
      <c r="F54" s="46"/>
      <c r="G54" s="46"/>
      <c r="H54" s="46"/>
      <c r="I54" s="46"/>
      <c r="J54" s="48"/>
      <c r="K54" s="48"/>
      <c r="L54" s="49"/>
    </row>
    <row r="55">
      <c r="A55" s="42"/>
      <c r="B55" s="43"/>
      <c r="C55" s="50" t="s">
        <v>56</v>
      </c>
      <c r="D55" s="45">
        <f>900+12751+1348</f>
        <v>14999</v>
      </c>
      <c r="E55" s="46"/>
      <c r="F55" s="46"/>
      <c r="G55" s="46"/>
      <c r="H55" s="46"/>
      <c r="I55" s="46"/>
      <c r="J55" s="48"/>
      <c r="K55" s="48"/>
      <c r="L55" s="49"/>
    </row>
    <row r="56">
      <c r="A56" s="42"/>
      <c r="B56" s="43"/>
      <c r="C56" s="50" t="s">
        <v>57</v>
      </c>
      <c r="D56" s="45">
        <v>5800.0</v>
      </c>
      <c r="E56" s="46"/>
      <c r="F56" s="46"/>
      <c r="G56" s="46"/>
      <c r="H56" s="46"/>
      <c r="I56" s="46"/>
      <c r="J56" s="48"/>
      <c r="K56" s="48"/>
      <c r="L56" s="49"/>
    </row>
    <row r="57">
      <c r="A57" s="42"/>
      <c r="B57" s="43"/>
      <c r="C57" s="50" t="s">
        <v>58</v>
      </c>
      <c r="D57" s="45">
        <v>22914.0</v>
      </c>
      <c r="E57" s="46"/>
      <c r="F57" s="46"/>
      <c r="G57" s="46"/>
      <c r="H57" s="46"/>
      <c r="I57" s="46"/>
      <c r="J57" s="48"/>
      <c r="K57" s="48"/>
      <c r="L57" s="49"/>
    </row>
    <row r="58">
      <c r="A58" s="42"/>
      <c r="B58" s="43"/>
      <c r="C58" s="50" t="s">
        <v>59</v>
      </c>
      <c r="D58" s="45">
        <v>27980.0</v>
      </c>
      <c r="E58" s="46"/>
      <c r="F58" s="46"/>
      <c r="G58" s="46"/>
      <c r="H58" s="46"/>
      <c r="I58" s="46"/>
      <c r="J58" s="48"/>
      <c r="K58" s="48"/>
      <c r="L58" s="49"/>
    </row>
    <row r="59">
      <c r="A59" s="42"/>
      <c r="B59" s="43"/>
      <c r="C59" s="50" t="s">
        <v>60</v>
      </c>
      <c r="D59" s="45">
        <v>8117.06</v>
      </c>
      <c r="E59" s="46"/>
      <c r="F59" s="46">
        <f>E59-D59</f>
        <v>-8117.06</v>
      </c>
      <c r="G59" s="46"/>
      <c r="H59" s="46"/>
      <c r="I59" s="46"/>
      <c r="J59" s="48"/>
      <c r="K59" s="48"/>
      <c r="L59" s="49"/>
    </row>
    <row r="60">
      <c r="A60" s="42"/>
      <c r="B60" s="43"/>
      <c r="C60" s="50" t="s">
        <v>61</v>
      </c>
      <c r="D60" s="45">
        <v>26175.0</v>
      </c>
      <c r="E60" s="46"/>
      <c r="F60" s="46"/>
      <c r="G60" s="46"/>
      <c r="H60" s="46"/>
      <c r="I60" s="46"/>
      <c r="J60" s="48"/>
      <c r="K60" s="48"/>
      <c r="L60" s="49"/>
    </row>
    <row r="61">
      <c r="A61" s="42"/>
      <c r="B61" s="43"/>
      <c r="C61" s="50" t="s">
        <v>62</v>
      </c>
      <c r="D61" s="45">
        <v>1500.0</v>
      </c>
      <c r="E61" s="46"/>
      <c r="F61" s="46"/>
      <c r="G61" s="46"/>
      <c r="H61" s="46"/>
      <c r="I61" s="46"/>
      <c r="J61" s="48"/>
      <c r="K61" s="48"/>
      <c r="L61" s="49"/>
    </row>
    <row r="62">
      <c r="A62" s="42"/>
      <c r="B62" s="43"/>
      <c r="C62" s="50" t="s">
        <v>63</v>
      </c>
      <c r="D62" s="45">
        <v>65430.0</v>
      </c>
      <c r="E62" s="46"/>
      <c r="F62" s="46"/>
      <c r="G62" s="46"/>
      <c r="H62" s="46"/>
      <c r="I62" s="46"/>
      <c r="J62" s="48"/>
      <c r="K62" s="48"/>
      <c r="L62" s="49"/>
    </row>
    <row r="63">
      <c r="A63" s="42"/>
      <c r="B63" s="43"/>
      <c r="C63" s="50" t="s">
        <v>64</v>
      </c>
      <c r="D63" s="45">
        <v>8500.0</v>
      </c>
      <c r="E63" s="46"/>
      <c r="F63" s="46"/>
      <c r="G63" s="46"/>
      <c r="H63" s="46"/>
      <c r="I63" s="46"/>
      <c r="J63" s="48"/>
      <c r="K63" s="48"/>
      <c r="L63" s="49"/>
    </row>
    <row r="64">
      <c r="A64" s="42"/>
      <c r="B64" s="43"/>
      <c r="C64" s="50" t="s">
        <v>65</v>
      </c>
      <c r="D64" s="45">
        <v>15950.3</v>
      </c>
      <c r="E64" s="46"/>
      <c r="F64" s="46"/>
      <c r="G64" s="46"/>
      <c r="H64" s="46"/>
      <c r="I64" s="46"/>
      <c r="J64" s="48"/>
      <c r="K64" s="48"/>
      <c r="L64" s="49"/>
    </row>
    <row r="65">
      <c r="A65" s="42"/>
      <c r="B65" s="43"/>
      <c r="C65" s="50" t="s">
        <v>66</v>
      </c>
      <c r="D65" s="45">
        <v>112000.0</v>
      </c>
      <c r="E65" s="46"/>
      <c r="F65" s="46">
        <f>E65-D65</f>
        <v>-112000</v>
      </c>
      <c r="G65" s="46"/>
      <c r="H65" s="46"/>
      <c r="I65" s="46"/>
      <c r="J65" s="48"/>
      <c r="K65" s="48"/>
      <c r="L65" s="49"/>
    </row>
    <row r="66">
      <c r="A66" s="51"/>
      <c r="B66" s="51"/>
      <c r="C66" s="52" t="s">
        <v>67</v>
      </c>
      <c r="D66" s="53">
        <f>SUM(D52:D65)</f>
        <v>333208.09</v>
      </c>
      <c r="E66" s="53">
        <f t="shared" ref="E66:F66" si="11">SUM(E53:E65)</f>
        <v>0</v>
      </c>
      <c r="F66" s="53">
        <f t="shared" si="11"/>
        <v>-135459.79</v>
      </c>
      <c r="G66" s="62"/>
      <c r="H66" s="53"/>
      <c r="I66" s="53"/>
      <c r="J66" s="53"/>
      <c r="K66" s="54"/>
      <c r="L66" s="51"/>
    </row>
    <row r="67">
      <c r="A67" s="70"/>
    </row>
    <row r="68" ht="23.25" customHeight="1">
      <c r="A68" s="71">
        <v>4.0</v>
      </c>
      <c r="B68" s="71" t="s">
        <v>49</v>
      </c>
      <c r="C68" s="71"/>
      <c r="D68" s="72"/>
      <c r="E68" s="72"/>
      <c r="F68" s="72"/>
      <c r="G68" s="73"/>
      <c r="H68" s="73"/>
      <c r="I68" s="73"/>
      <c r="J68" s="73"/>
      <c r="K68" s="73"/>
      <c r="L68" s="73"/>
    </row>
    <row r="69">
      <c r="A69" s="73"/>
      <c r="B69" s="74"/>
      <c r="C69" s="71" t="s">
        <v>68</v>
      </c>
      <c r="D69" s="75">
        <v>3025.0</v>
      </c>
      <c r="E69" s="72"/>
      <c r="F69" s="72">
        <f t="shared" ref="F69:F77" si="12">E69-D69</f>
        <v>-3025</v>
      </c>
      <c r="G69" s="73"/>
      <c r="H69" s="73"/>
      <c r="I69" s="73"/>
      <c r="J69" s="73"/>
      <c r="K69" s="73"/>
      <c r="L69" s="73"/>
    </row>
    <row r="70">
      <c r="A70" s="73"/>
      <c r="B70" s="74"/>
      <c r="C70" s="76" t="s">
        <v>69</v>
      </c>
      <c r="D70" s="75">
        <v>3200.0</v>
      </c>
      <c r="E70" s="72"/>
      <c r="F70" s="72">
        <f t="shared" si="12"/>
        <v>-3200</v>
      </c>
      <c r="G70" s="73"/>
      <c r="H70" s="73"/>
      <c r="I70" s="73"/>
      <c r="J70" s="73"/>
      <c r="K70" s="73"/>
      <c r="L70" s="73"/>
    </row>
    <row r="71">
      <c r="A71" s="73"/>
      <c r="B71" s="74"/>
      <c r="C71" s="71" t="s">
        <v>70</v>
      </c>
      <c r="D71" s="72"/>
      <c r="E71" s="72"/>
      <c r="F71" s="72">
        <f t="shared" si="12"/>
        <v>0</v>
      </c>
      <c r="G71" s="73"/>
      <c r="H71" s="73"/>
      <c r="I71" s="73"/>
      <c r="J71" s="73"/>
      <c r="K71" s="73"/>
      <c r="L71" s="73"/>
    </row>
    <row r="72">
      <c r="A72" s="73"/>
      <c r="B72" s="74"/>
      <c r="C72" s="71" t="s">
        <v>71</v>
      </c>
      <c r="D72" s="72"/>
      <c r="E72" s="72"/>
      <c r="F72" s="72">
        <f t="shared" si="12"/>
        <v>0</v>
      </c>
      <c r="G72" s="73"/>
      <c r="H72" s="73"/>
      <c r="I72" s="73"/>
      <c r="J72" s="73"/>
      <c r="K72" s="73"/>
      <c r="L72" s="73"/>
    </row>
    <row r="73">
      <c r="A73" s="73"/>
      <c r="B73" s="74"/>
      <c r="C73" s="71" t="s">
        <v>72</v>
      </c>
      <c r="D73" s="75">
        <v>0.0</v>
      </c>
      <c r="E73" s="72"/>
      <c r="F73" s="72">
        <f t="shared" si="12"/>
        <v>0</v>
      </c>
      <c r="G73" s="73"/>
      <c r="H73" s="73"/>
      <c r="I73" s="73"/>
      <c r="J73" s="73"/>
      <c r="K73" s="73"/>
      <c r="L73" s="73"/>
    </row>
    <row r="74">
      <c r="A74" s="73"/>
      <c r="B74" s="74"/>
      <c r="C74" s="71" t="s">
        <v>73</v>
      </c>
      <c r="D74" s="75">
        <v>15000.0</v>
      </c>
      <c r="E74" s="72"/>
      <c r="F74" s="72">
        <f t="shared" si="12"/>
        <v>-15000</v>
      </c>
      <c r="G74" s="73"/>
      <c r="H74" s="73"/>
      <c r="I74" s="73"/>
      <c r="J74" s="73"/>
      <c r="K74" s="73"/>
      <c r="L74" s="73"/>
    </row>
    <row r="75">
      <c r="A75" s="73"/>
      <c r="B75" s="74"/>
      <c r="C75" s="76" t="s">
        <v>74</v>
      </c>
      <c r="D75" s="75">
        <v>5000.0</v>
      </c>
      <c r="E75" s="72"/>
      <c r="F75" s="72">
        <f t="shared" si="12"/>
        <v>-5000</v>
      </c>
      <c r="G75" s="73"/>
      <c r="H75" s="73"/>
      <c r="I75" s="73"/>
      <c r="J75" s="73"/>
      <c r="K75" s="73"/>
      <c r="L75" s="73"/>
    </row>
    <row r="76">
      <c r="A76" s="73"/>
      <c r="B76" s="74"/>
      <c r="C76" s="71"/>
      <c r="D76" s="72"/>
      <c r="E76" s="72"/>
      <c r="F76" s="77">
        <f t="shared" si="12"/>
        <v>0</v>
      </c>
      <c r="G76" s="73"/>
      <c r="H76" s="73"/>
      <c r="I76" s="73"/>
      <c r="J76" s="73"/>
      <c r="K76" s="73"/>
      <c r="L76" s="73"/>
    </row>
    <row r="77">
      <c r="A77" s="78"/>
      <c r="B77" s="78"/>
      <c r="C77" s="79" t="s">
        <v>75</v>
      </c>
      <c r="D77" s="80">
        <f>SUM(D69:D76)</f>
        <v>26225</v>
      </c>
      <c r="E77" s="80">
        <f>SUM(E70:E72)</f>
        <v>0</v>
      </c>
      <c r="F77" s="72">
        <f t="shared" si="12"/>
        <v>-26225</v>
      </c>
      <c r="G77" s="78"/>
      <c r="H77" s="78"/>
      <c r="I77" s="78"/>
      <c r="J77" s="78"/>
      <c r="K77" s="78"/>
      <c r="L77" s="78"/>
    </row>
    <row r="78">
      <c r="A78" s="70"/>
    </row>
    <row r="79">
      <c r="A79" s="70"/>
      <c r="B79" s="70"/>
      <c r="C79" s="81"/>
      <c r="D79" s="82" t="s">
        <v>76</v>
      </c>
      <c r="E79" s="83" t="s">
        <v>77</v>
      </c>
      <c r="F79" s="83" t="s">
        <v>78</v>
      </c>
      <c r="G79" s="84" t="s">
        <v>79</v>
      </c>
      <c r="H79" s="70"/>
      <c r="I79" s="70"/>
      <c r="J79" s="70"/>
      <c r="K79" s="70"/>
      <c r="L79" s="70"/>
    </row>
    <row r="80" ht="42.0" customHeight="1">
      <c r="A80" s="85"/>
      <c r="B80" s="86" t="s">
        <v>80</v>
      </c>
      <c r="C80" s="87"/>
      <c r="D80" s="88">
        <f>D77+D66+D49+D35</f>
        <v>577212.09</v>
      </c>
      <c r="E80" s="88">
        <f>C4</f>
        <v>665000</v>
      </c>
      <c r="F80" s="88">
        <f>E80-D80</f>
        <v>87787.91</v>
      </c>
      <c r="G80" s="89">
        <f>F80/E80</f>
        <v>0.1320118947</v>
      </c>
      <c r="H80" s="90"/>
      <c r="I80" s="90"/>
      <c r="J80" s="90"/>
      <c r="K80" s="90"/>
      <c r="L80" s="85"/>
    </row>
  </sheetData>
  <mergeCells count="6">
    <mergeCell ref="B2:C2"/>
    <mergeCell ref="D2:K2"/>
    <mergeCell ref="C3:D3"/>
    <mergeCell ref="A67:L67"/>
    <mergeCell ref="A78:L78"/>
    <mergeCell ref="B80:C80"/>
  </mergeCells>
  <conditionalFormatting sqref="J7:K7 J36:K36 J50:K50 J80:K80">
    <cfRule type="expression" dxfId="4" priority="1">
      <formula>AND(OR($D7="In progress",$D7="Not started" ),OR($J7=today(), $J7=today()+1))</formula>
    </cfRule>
  </conditionalFormatting>
  <conditionalFormatting sqref="D7 D36 D50 D80:F80">
    <cfRule type="cellIs" dxfId="5" priority="2" operator="equal">
      <formula>"Not started"</formula>
    </cfRule>
  </conditionalFormatting>
  <conditionalFormatting sqref="D7 D36 D50 D80:F80">
    <cfRule type="cellIs" dxfId="6" priority="3" operator="equal">
      <formula>"In progress"</formula>
    </cfRule>
  </conditionalFormatting>
  <conditionalFormatting sqref="A7:L7 A36:L36 A50:L50 A80:L80">
    <cfRule type="expression" dxfId="7" priority="4">
      <formula>RegExMatch(($D7),"Done")</formula>
    </cfRule>
  </conditionalFormatting>
  <conditionalFormatting sqref="E7:I7 E36:I36 D50:J50 D80:J80">
    <cfRule type="timePeriod" dxfId="8" priority="5" timePeriod="today"/>
  </conditionalFormatting>
  <conditionalFormatting sqref="E7:I7 E36:I36 D50:J50 D80:J80">
    <cfRule type="expression" dxfId="4" priority="6">
      <formula>AND($E7&lt;TODAY(), OR($D7="In progress", $D7="Not started"))</formula>
    </cfRule>
  </conditionalFormatting>
  <printOptions gridLines="1" horizontalCentered="1"/>
  <pageMargins bottom="0.75" footer="0.0" header="0.0" left="0.25" right="0.25" top="0.75"/>
  <pageSetup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81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82</v>
      </c>
      <c r="D3" s="12"/>
      <c r="E3" s="13" t="s">
        <v>3</v>
      </c>
      <c r="F3" s="14">
        <v>162.0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83</v>
      </c>
      <c r="C4" s="17">
        <v>15430.0</v>
      </c>
      <c r="D4" s="13"/>
      <c r="E4" s="18" t="s">
        <v>84</v>
      </c>
      <c r="F4" s="19">
        <v>1.0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>
      <c r="A16" s="42"/>
      <c r="B16" s="42"/>
      <c r="C16" s="44" t="s">
        <v>85</v>
      </c>
      <c r="D16" s="45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8"/>
      <c r="K16" s="48"/>
      <c r="L16" s="49"/>
    </row>
    <row r="17">
      <c r="A17" s="42"/>
      <c r="B17" s="42"/>
      <c r="C17" s="44" t="s">
        <v>47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5">
        <v>660.0</v>
      </c>
      <c r="E26" s="46"/>
      <c r="F26" s="46">
        <f t="shared" si="1"/>
        <v>-660</v>
      </c>
      <c r="G26" s="46"/>
      <c r="H26" s="46"/>
      <c r="I26" s="46">
        <f t="shared" si="3"/>
        <v>8.8</v>
      </c>
      <c r="J26" s="48"/>
      <c r="K26" s="48"/>
      <c r="L26" s="49"/>
    </row>
    <row r="27">
      <c r="A27" s="42"/>
      <c r="B27" s="42"/>
      <c r="C27" s="44" t="s">
        <v>49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86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40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42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8"/>
      <c r="K30" s="48"/>
      <c r="L30" s="42"/>
    </row>
    <row r="31">
      <c r="A31" s="42"/>
      <c r="B31" s="42"/>
      <c r="C31" s="44" t="s">
        <v>42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1"/>
      <c r="B32" s="51"/>
      <c r="C32" s="52" t="s">
        <v>43</v>
      </c>
      <c r="D32" s="53">
        <f t="shared" ref="D32:F32" si="5">SUM(D9:D31)</f>
        <v>660</v>
      </c>
      <c r="E32" s="53">
        <f t="shared" si="5"/>
        <v>0</v>
      </c>
      <c r="F32" s="53">
        <f t="shared" si="5"/>
        <v>-660</v>
      </c>
      <c r="G32" s="53"/>
      <c r="H32" s="53"/>
      <c r="I32" s="53">
        <f t="shared" ref="I32:J32" si="6">SUM(I9:I31)</f>
        <v>8.8</v>
      </c>
      <c r="J32" s="53">
        <f t="shared" si="6"/>
        <v>0</v>
      </c>
      <c r="K32" s="54"/>
      <c r="L32" s="51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44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45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46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47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48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5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49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50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50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1"/>
      <c r="B46" s="51"/>
      <c r="C46" s="52" t="s">
        <v>51</v>
      </c>
      <c r="D46" s="53">
        <f t="shared" ref="D46:F46" si="8">SUM(D36:D43)</f>
        <v>0</v>
      </c>
      <c r="E46" s="53">
        <f t="shared" si="8"/>
        <v>0</v>
      </c>
      <c r="F46" s="53">
        <f t="shared" si="8"/>
        <v>0</v>
      </c>
      <c r="G46" s="62"/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67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52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87</v>
      </c>
      <c r="D49" s="45">
        <v>9250.0</v>
      </c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50" t="s">
        <v>32</v>
      </c>
      <c r="D50" s="45">
        <v>1721.0</v>
      </c>
      <c r="E50" s="46"/>
      <c r="F50" s="46">
        <f t="shared" ref="F50:F52" si="9">E50-D50</f>
        <v>-1721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49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49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1"/>
      <c r="B53" s="51"/>
      <c r="C53" s="52" t="s">
        <v>67</v>
      </c>
      <c r="D53" s="53">
        <f>SUM(D49:D52)</f>
        <v>10971</v>
      </c>
      <c r="E53" s="53">
        <f t="shared" ref="E53:F53" si="10">SUM(E50:E52)</f>
        <v>0</v>
      </c>
      <c r="F53" s="53">
        <f t="shared" si="10"/>
        <v>-1721</v>
      </c>
      <c r="G53" s="62"/>
      <c r="H53" s="53"/>
      <c r="I53" s="53"/>
      <c r="J53" s="53"/>
      <c r="K53" s="54"/>
      <c r="L53" s="51"/>
    </row>
    <row r="54">
      <c r="A54" s="70"/>
    </row>
    <row r="55" ht="23.25" customHeight="1">
      <c r="A55" s="71">
        <v>4.0</v>
      </c>
      <c r="B55" s="71" t="s">
        <v>49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68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88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70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71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72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73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89</v>
      </c>
      <c r="D62" s="75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90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8"/>
      <c r="B64" s="78"/>
      <c r="C64" s="79" t="s">
        <v>75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78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76</v>
      </c>
      <c r="E66" s="82" t="s">
        <v>91</v>
      </c>
      <c r="F66" s="82" t="s">
        <v>92</v>
      </c>
      <c r="G66" s="84" t="s">
        <v>79</v>
      </c>
      <c r="H66" s="70"/>
      <c r="I66" s="70"/>
      <c r="J66" s="70"/>
      <c r="K66" s="70"/>
      <c r="L66" s="70"/>
    </row>
    <row r="67" ht="42.0" customHeight="1">
      <c r="A67" s="85"/>
      <c r="B67" s="86" t="s">
        <v>80</v>
      </c>
      <c r="C67" s="87"/>
      <c r="D67" s="91">
        <f>D64+D53+D46+D32</f>
        <v>11631</v>
      </c>
      <c r="E67" s="91">
        <v>15430.0</v>
      </c>
      <c r="F67" s="91">
        <f>E67-D67</f>
        <v>3799</v>
      </c>
      <c r="G67" s="92">
        <f>F67/E67</f>
        <v>0.2462086844</v>
      </c>
      <c r="H67" s="90"/>
      <c r="I67" s="90"/>
      <c r="J67" s="90"/>
      <c r="K67" s="90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81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82</v>
      </c>
      <c r="D3" s="12"/>
      <c r="E3" s="13" t="s">
        <v>3</v>
      </c>
      <c r="F3" s="14">
        <v>161.0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83</v>
      </c>
      <c r="C4" s="17">
        <v>930.0</v>
      </c>
      <c r="D4" s="13"/>
      <c r="E4" s="18" t="s">
        <v>84</v>
      </c>
      <c r="F4" s="19">
        <v>2.0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>
      <c r="A16" s="42"/>
      <c r="B16" s="42"/>
      <c r="C16" s="44" t="s">
        <v>85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8"/>
      <c r="K16" s="48"/>
      <c r="L16" s="49"/>
    </row>
    <row r="17">
      <c r="A17" s="42"/>
      <c r="B17" s="42"/>
      <c r="C17" s="44" t="s">
        <v>47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8"/>
      <c r="K26" s="48"/>
      <c r="L26" s="49"/>
    </row>
    <row r="27">
      <c r="A27" s="42"/>
      <c r="B27" s="42"/>
      <c r="C27" s="44" t="s">
        <v>49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86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40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42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8"/>
      <c r="K30" s="48"/>
      <c r="L30" s="42"/>
    </row>
    <row r="31">
      <c r="A31" s="42"/>
      <c r="B31" s="42"/>
      <c r="C31" s="44" t="s">
        <v>42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1"/>
      <c r="B32" s="51"/>
      <c r="C32" s="52" t="s">
        <v>43</v>
      </c>
      <c r="D32" s="53">
        <f t="shared" ref="D32:F32" si="5">SUM(D9:D31)</f>
        <v>0</v>
      </c>
      <c r="E32" s="53">
        <f t="shared" si="5"/>
        <v>0</v>
      </c>
      <c r="F32" s="53">
        <f t="shared" si="5"/>
        <v>0</v>
      </c>
      <c r="G32" s="53"/>
      <c r="H32" s="53"/>
      <c r="I32" s="53">
        <f t="shared" ref="I32:J32" si="6">SUM(I9:I31)</f>
        <v>0</v>
      </c>
      <c r="J32" s="53">
        <f t="shared" si="6"/>
        <v>0</v>
      </c>
      <c r="K32" s="54"/>
      <c r="L32" s="51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44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45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46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47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48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49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50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50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1"/>
      <c r="B46" s="51"/>
      <c r="C46" s="52" t="s">
        <v>51</v>
      </c>
      <c r="D46" s="53">
        <f t="shared" ref="D46:F46" si="8">SUM(D36:D43)</f>
        <v>0</v>
      </c>
      <c r="E46" s="53">
        <f t="shared" si="8"/>
        <v>0</v>
      </c>
      <c r="F46" s="53">
        <f t="shared" si="8"/>
        <v>0</v>
      </c>
      <c r="G46" s="62"/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67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52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87</v>
      </c>
      <c r="D49" s="46"/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44" t="s">
        <v>49</v>
      </c>
      <c r="D50" s="46"/>
      <c r="E50" s="46"/>
      <c r="F50" s="46">
        <f t="shared" ref="F50:F52" si="9">E50-D50</f>
        <v>0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49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49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1"/>
      <c r="B53" s="51"/>
      <c r="C53" s="52" t="s">
        <v>67</v>
      </c>
      <c r="D53" s="53">
        <f t="shared" ref="D53:F53" si="10">SUM(D50:D52)</f>
        <v>0</v>
      </c>
      <c r="E53" s="53">
        <f t="shared" si="10"/>
        <v>0</v>
      </c>
      <c r="F53" s="53">
        <f t="shared" si="10"/>
        <v>0</v>
      </c>
      <c r="G53" s="62"/>
      <c r="H53" s="53"/>
      <c r="I53" s="53"/>
      <c r="J53" s="53"/>
      <c r="K53" s="54"/>
      <c r="L53" s="51"/>
    </row>
    <row r="54">
      <c r="A54" s="70"/>
    </row>
    <row r="55" ht="23.25" customHeight="1">
      <c r="A55" s="71">
        <v>4.0</v>
      </c>
      <c r="B55" s="71" t="s">
        <v>49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68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88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70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71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72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73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89</v>
      </c>
      <c r="D62" s="72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90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8"/>
      <c r="B64" s="78"/>
      <c r="C64" s="79" t="s">
        <v>75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78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76</v>
      </c>
      <c r="E66" s="82" t="s">
        <v>91</v>
      </c>
      <c r="F66" s="83" t="s">
        <v>78</v>
      </c>
      <c r="G66" s="84" t="s">
        <v>79</v>
      </c>
      <c r="H66" s="70"/>
      <c r="I66" s="70"/>
      <c r="J66" s="70"/>
      <c r="K66" s="70"/>
      <c r="L66" s="70"/>
    </row>
    <row r="67" ht="42.0" customHeight="1">
      <c r="A67" s="85"/>
      <c r="B67" s="86" t="s">
        <v>80</v>
      </c>
      <c r="C67" s="87"/>
      <c r="D67" s="91">
        <f>D64+D53+D46+D32</f>
        <v>0</v>
      </c>
      <c r="E67" s="91">
        <v>930.0</v>
      </c>
      <c r="F67" s="91">
        <f>E67-D67</f>
        <v>930</v>
      </c>
      <c r="G67" s="92">
        <f>F67/E67</f>
        <v>1</v>
      </c>
      <c r="H67" s="90"/>
      <c r="I67" s="90"/>
      <c r="J67" s="90"/>
      <c r="K67" s="90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81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82</v>
      </c>
      <c r="D3" s="12"/>
      <c r="E3" s="13" t="s">
        <v>3</v>
      </c>
      <c r="F3" s="14">
        <v>162.0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83</v>
      </c>
      <c r="C4" s="17">
        <v>360.0</v>
      </c>
      <c r="D4" s="13"/>
      <c r="E4" s="18" t="s">
        <v>84</v>
      </c>
      <c r="F4" s="19">
        <v>3.0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>
      <c r="A16" s="42"/>
      <c r="B16" s="42"/>
      <c r="C16" s="44" t="s">
        <v>85</v>
      </c>
      <c r="D16" s="45">
        <v>313.0</v>
      </c>
      <c r="E16" s="46"/>
      <c r="F16" s="46">
        <f t="shared" si="1"/>
        <v>-313</v>
      </c>
      <c r="G16" s="46"/>
      <c r="H16" s="46"/>
      <c r="I16" s="46">
        <f t="shared" si="2"/>
        <v>4.173333333</v>
      </c>
      <c r="J16" s="48"/>
      <c r="K16" s="48"/>
      <c r="L16" s="49"/>
    </row>
    <row r="17">
      <c r="A17" s="42"/>
      <c r="B17" s="42"/>
      <c r="C17" s="44" t="s">
        <v>47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8"/>
      <c r="K26" s="48"/>
      <c r="L26" s="49"/>
    </row>
    <row r="27">
      <c r="A27" s="42"/>
      <c r="B27" s="42"/>
      <c r="C27" s="44" t="s">
        <v>49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86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40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42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8"/>
      <c r="K30" s="48"/>
      <c r="L30" s="42"/>
    </row>
    <row r="31">
      <c r="A31" s="42"/>
      <c r="B31" s="42"/>
      <c r="C31" s="44" t="s">
        <v>42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1"/>
      <c r="B32" s="51"/>
      <c r="C32" s="52" t="s">
        <v>43</v>
      </c>
      <c r="D32" s="53">
        <f t="shared" ref="D32:F32" si="5">SUM(D9:D31)</f>
        <v>313</v>
      </c>
      <c r="E32" s="53">
        <f t="shared" si="5"/>
        <v>0</v>
      </c>
      <c r="F32" s="53">
        <f t="shared" si="5"/>
        <v>-313</v>
      </c>
      <c r="G32" s="53"/>
      <c r="H32" s="53"/>
      <c r="I32" s="53">
        <f t="shared" ref="I32:J32" si="6">SUM(I9:I31)</f>
        <v>4.173333333</v>
      </c>
      <c r="J32" s="53">
        <f t="shared" si="6"/>
        <v>0</v>
      </c>
      <c r="K32" s="54"/>
      <c r="L32" s="51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44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45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46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47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48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49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50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50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1"/>
      <c r="B46" s="51"/>
      <c r="C46" s="52" t="s">
        <v>51</v>
      </c>
      <c r="D46" s="53">
        <f t="shared" ref="D46:F46" si="8">SUM(D36:D43)</f>
        <v>0</v>
      </c>
      <c r="E46" s="53">
        <f t="shared" si="8"/>
        <v>0</v>
      </c>
      <c r="F46" s="53">
        <f t="shared" si="8"/>
        <v>0</v>
      </c>
      <c r="G46" s="62"/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67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52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87</v>
      </c>
      <c r="D49" s="46"/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44" t="s">
        <v>49</v>
      </c>
      <c r="D50" s="46"/>
      <c r="E50" s="46"/>
      <c r="F50" s="46">
        <f t="shared" ref="F50:F52" si="9">E50-D50</f>
        <v>0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49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49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1"/>
      <c r="B53" s="51"/>
      <c r="C53" s="52" t="s">
        <v>67</v>
      </c>
      <c r="D53" s="53">
        <f t="shared" ref="D53:F53" si="10">SUM(D50:D52)</f>
        <v>0</v>
      </c>
      <c r="E53" s="53">
        <f t="shared" si="10"/>
        <v>0</v>
      </c>
      <c r="F53" s="53">
        <f t="shared" si="10"/>
        <v>0</v>
      </c>
      <c r="G53" s="62"/>
      <c r="H53" s="53"/>
      <c r="I53" s="53"/>
      <c r="J53" s="53"/>
      <c r="K53" s="54"/>
      <c r="L53" s="51"/>
    </row>
    <row r="54">
      <c r="A54" s="70"/>
    </row>
    <row r="55" ht="23.25" customHeight="1">
      <c r="A55" s="71">
        <v>4.0</v>
      </c>
      <c r="B55" s="71" t="s">
        <v>49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68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88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70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71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72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73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89</v>
      </c>
      <c r="D62" s="72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90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8"/>
      <c r="B64" s="78"/>
      <c r="C64" s="79" t="s">
        <v>75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78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76</v>
      </c>
      <c r="E66" s="82" t="s">
        <v>91</v>
      </c>
      <c r="F66" s="83" t="s">
        <v>78</v>
      </c>
      <c r="G66" s="84" t="s">
        <v>79</v>
      </c>
      <c r="H66" s="70"/>
      <c r="I66" s="70"/>
      <c r="J66" s="70"/>
      <c r="K66" s="70"/>
      <c r="L66" s="70"/>
    </row>
    <row r="67" ht="42.0" customHeight="1">
      <c r="A67" s="85"/>
      <c r="B67" s="86" t="s">
        <v>80</v>
      </c>
      <c r="C67" s="87"/>
      <c r="D67" s="91">
        <f>D64+D53+D46+D32</f>
        <v>313</v>
      </c>
      <c r="E67" s="91">
        <v>360.0</v>
      </c>
      <c r="F67" s="91">
        <f>E67-D67</f>
        <v>47</v>
      </c>
      <c r="G67" s="92">
        <f>F67/E67</f>
        <v>0.1305555556</v>
      </c>
      <c r="H67" s="90"/>
      <c r="I67" s="90"/>
      <c r="J67" s="90"/>
      <c r="K67" s="90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93"/>
      <c r="H1" s="2"/>
      <c r="I1" s="2"/>
      <c r="J1" s="3"/>
      <c r="K1" s="3"/>
      <c r="L1" s="2"/>
    </row>
    <row r="2" ht="44.25" customHeight="1">
      <c r="A2" s="1"/>
      <c r="B2" s="4" t="s">
        <v>93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82</v>
      </c>
      <c r="D3" s="12"/>
      <c r="E3" s="13" t="s">
        <v>3</v>
      </c>
      <c r="F3" s="14">
        <v>162.0</v>
      </c>
      <c r="G3" s="94"/>
      <c r="H3" s="15"/>
      <c r="I3" s="15"/>
      <c r="J3" s="15"/>
      <c r="K3" s="15"/>
      <c r="L3" s="16"/>
    </row>
    <row r="4" ht="27.0" customHeight="1">
      <c r="A4" s="9"/>
      <c r="B4" s="10" t="s">
        <v>94</v>
      </c>
      <c r="C4" s="17">
        <v>183740.0</v>
      </c>
      <c r="D4" s="13"/>
      <c r="E4" s="18" t="s">
        <v>84</v>
      </c>
      <c r="F4" s="19">
        <v>3.0</v>
      </c>
      <c r="G4" s="94"/>
      <c r="H4" s="15"/>
      <c r="I4" s="95">
        <v>45812.0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96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97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98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9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2000.0</v>
      </c>
      <c r="E9" s="46"/>
      <c r="F9" s="46">
        <f t="shared" ref="F9:F31" si="1">E9-D9</f>
        <v>-2000</v>
      </c>
      <c r="G9" s="100"/>
      <c r="H9" s="46"/>
      <c r="I9" s="46">
        <f t="shared" ref="I9:I22" si="2">D9/75</f>
        <v>26.66666667</v>
      </c>
      <c r="J9" s="101">
        <v>91.0</v>
      </c>
      <c r="K9" s="48"/>
      <c r="L9" s="49"/>
    </row>
    <row r="10">
      <c r="A10" s="42"/>
      <c r="B10" s="43"/>
      <c r="C10" s="44" t="s">
        <v>19</v>
      </c>
      <c r="D10" s="45">
        <v>2500.0</v>
      </c>
      <c r="E10" s="46"/>
      <c r="F10" s="46">
        <f t="shared" si="1"/>
        <v>-2500</v>
      </c>
      <c r="G10" s="100"/>
      <c r="H10" s="46"/>
      <c r="I10" s="46">
        <f t="shared" si="2"/>
        <v>33.33333333</v>
      </c>
      <c r="J10" s="102">
        <v>125.0</v>
      </c>
      <c r="K10" s="48"/>
      <c r="L10" s="49"/>
    </row>
    <row r="11">
      <c r="A11" s="42"/>
      <c r="B11" s="43"/>
      <c r="C11" s="44" t="s">
        <v>20</v>
      </c>
      <c r="D11" s="45">
        <v>1000.0</v>
      </c>
      <c r="E11" s="46"/>
      <c r="F11" s="46">
        <f t="shared" si="1"/>
        <v>-1000</v>
      </c>
      <c r="G11" s="100"/>
      <c r="H11" s="46"/>
      <c r="I11" s="46">
        <f t="shared" si="2"/>
        <v>13.33333333</v>
      </c>
      <c r="J11" s="101">
        <v>13.0</v>
      </c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100"/>
      <c r="H12" s="46"/>
      <c r="I12" s="46">
        <f t="shared" si="2"/>
        <v>0</v>
      </c>
      <c r="J12" s="103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100"/>
      <c r="H13" s="46"/>
      <c r="I13" s="46">
        <f t="shared" si="2"/>
        <v>0</v>
      </c>
      <c r="J13" s="101">
        <v>16.0</v>
      </c>
      <c r="K13" s="48"/>
      <c r="L13" s="49"/>
    </row>
    <row r="14">
      <c r="A14" s="42"/>
      <c r="B14" s="42"/>
      <c r="C14" s="44" t="s">
        <v>23</v>
      </c>
      <c r="D14" s="45">
        <v>1170.0</v>
      </c>
      <c r="E14" s="46"/>
      <c r="F14" s="46">
        <f t="shared" si="1"/>
        <v>-1170</v>
      </c>
      <c r="G14" s="100"/>
      <c r="H14" s="46"/>
      <c r="I14" s="46">
        <f t="shared" si="2"/>
        <v>15.6</v>
      </c>
      <c r="J14" s="103"/>
      <c r="K14" s="48"/>
      <c r="L14" s="49"/>
    </row>
    <row r="15">
      <c r="A15" s="42"/>
      <c r="B15" s="42"/>
      <c r="C15" s="44" t="s">
        <v>24</v>
      </c>
      <c r="D15" s="45">
        <v>3451.0</v>
      </c>
      <c r="E15" s="46"/>
      <c r="F15" s="46">
        <f t="shared" si="1"/>
        <v>-3451</v>
      </c>
      <c r="G15" s="100"/>
      <c r="H15" s="46"/>
      <c r="I15" s="46">
        <f t="shared" si="2"/>
        <v>46.01333333</v>
      </c>
      <c r="J15" s="101">
        <v>48.0</v>
      </c>
      <c r="K15" s="48"/>
      <c r="L15" s="49"/>
    </row>
    <row r="16">
      <c r="A16" s="42"/>
      <c r="B16" s="42"/>
      <c r="C16" s="44" t="s">
        <v>85</v>
      </c>
      <c r="D16" s="45">
        <f>12075+313</f>
        <v>12388</v>
      </c>
      <c r="E16" s="46"/>
      <c r="F16" s="46">
        <f t="shared" si="1"/>
        <v>-12388</v>
      </c>
      <c r="G16" s="100"/>
      <c r="H16" s="46"/>
      <c r="I16" s="46">
        <f t="shared" si="2"/>
        <v>165.1733333</v>
      </c>
      <c r="J16" s="102">
        <v>309.0</v>
      </c>
      <c r="K16" s="48"/>
      <c r="L16" s="49"/>
    </row>
    <row r="17">
      <c r="A17" s="42"/>
      <c r="B17" s="42"/>
      <c r="C17" s="44" t="s">
        <v>47</v>
      </c>
      <c r="D17" s="45">
        <v>4200.0</v>
      </c>
      <c r="E17" s="46"/>
      <c r="F17" s="46">
        <f t="shared" si="1"/>
        <v>-4200</v>
      </c>
      <c r="G17" s="100"/>
      <c r="H17" s="46"/>
      <c r="I17" s="46">
        <f t="shared" si="2"/>
        <v>56</v>
      </c>
      <c r="J17" s="101">
        <v>34.5</v>
      </c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100"/>
      <c r="H18" s="46"/>
      <c r="I18" s="46">
        <f t="shared" si="2"/>
        <v>0</v>
      </c>
      <c r="J18" s="103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100"/>
      <c r="H19" s="46"/>
      <c r="I19" s="46">
        <f t="shared" si="2"/>
        <v>0</v>
      </c>
      <c r="J19" s="104"/>
      <c r="K19" s="48"/>
      <c r="L19" s="49"/>
    </row>
    <row r="20">
      <c r="A20" s="42"/>
      <c r="B20" s="42"/>
      <c r="C20" s="44" t="s">
        <v>29</v>
      </c>
      <c r="D20" s="45">
        <v>7493.0</v>
      </c>
      <c r="E20" s="46"/>
      <c r="F20" s="46">
        <f t="shared" si="1"/>
        <v>-7493</v>
      </c>
      <c r="G20" s="100"/>
      <c r="H20" s="46"/>
      <c r="I20" s="46">
        <f t="shared" si="2"/>
        <v>99.90666667</v>
      </c>
      <c r="J20" s="102">
        <v>38.0</v>
      </c>
      <c r="K20" s="48"/>
      <c r="L20" s="49"/>
    </row>
    <row r="21">
      <c r="A21" s="42"/>
      <c r="B21" s="42"/>
      <c r="C21" s="44" t="s">
        <v>30</v>
      </c>
      <c r="D21" s="45">
        <v>974.0</v>
      </c>
      <c r="E21" s="46"/>
      <c r="F21" s="46">
        <f t="shared" si="1"/>
        <v>-974</v>
      </c>
      <c r="G21" s="100"/>
      <c r="H21" s="46"/>
      <c r="I21" s="46">
        <f t="shared" si="2"/>
        <v>12.98666667</v>
      </c>
      <c r="J21" s="101">
        <v>104.0</v>
      </c>
      <c r="K21" s="48"/>
      <c r="L21" s="49"/>
    </row>
    <row r="22">
      <c r="A22" s="42"/>
      <c r="B22" s="42"/>
      <c r="C22" s="44" t="s">
        <v>31</v>
      </c>
      <c r="D22" s="46">
        <f>1197+17013</f>
        <v>18210</v>
      </c>
      <c r="E22" s="46"/>
      <c r="F22" s="46">
        <f t="shared" si="1"/>
        <v>-18210</v>
      </c>
      <c r="G22" s="100"/>
      <c r="H22" s="46"/>
      <c r="I22" s="46">
        <f t="shared" si="2"/>
        <v>242.8</v>
      </c>
      <c r="J22" s="103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100"/>
      <c r="H23" s="46"/>
      <c r="I23" s="46">
        <f>D23/65</f>
        <v>0</v>
      </c>
      <c r="J23" s="104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100"/>
      <c r="H24" s="46"/>
      <c r="I24" s="46">
        <f t="shared" ref="I24:I28" si="3">D24/75</f>
        <v>0</v>
      </c>
      <c r="J24" s="103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100"/>
      <c r="H25" s="46"/>
      <c r="I25" s="46">
        <f t="shared" si="3"/>
        <v>0</v>
      </c>
      <c r="J25" s="104"/>
      <c r="K25" s="48"/>
      <c r="L25" s="49"/>
    </row>
    <row r="26">
      <c r="A26" s="42"/>
      <c r="B26" s="42"/>
      <c r="C26" s="44" t="s">
        <v>35</v>
      </c>
      <c r="D26" s="46">
        <f>2150+300+660</f>
        <v>3110</v>
      </c>
      <c r="E26" s="46"/>
      <c r="F26" s="46">
        <f t="shared" si="1"/>
        <v>-3110</v>
      </c>
      <c r="G26" s="100"/>
      <c r="H26" s="46"/>
      <c r="I26" s="46">
        <f t="shared" si="3"/>
        <v>41.46666667</v>
      </c>
      <c r="J26" s="103"/>
      <c r="K26" s="48"/>
      <c r="L26" s="49"/>
    </row>
    <row r="27">
      <c r="A27" s="42"/>
      <c r="B27" s="42"/>
      <c r="C27" s="50" t="s">
        <v>95</v>
      </c>
      <c r="D27" s="46">
        <v>0.0</v>
      </c>
      <c r="E27" s="45">
        <v>9320.83</v>
      </c>
      <c r="F27" s="46">
        <f t="shared" si="1"/>
        <v>9320.83</v>
      </c>
      <c r="G27" s="100"/>
      <c r="H27" s="46"/>
      <c r="I27" s="46">
        <f t="shared" si="3"/>
        <v>0</v>
      </c>
      <c r="J27" s="104"/>
      <c r="K27" s="48"/>
      <c r="L27" s="42"/>
    </row>
    <row r="28">
      <c r="A28" s="42"/>
      <c r="B28" s="42"/>
      <c r="C28" s="44" t="s">
        <v>86</v>
      </c>
      <c r="D28" s="46">
        <v>0.0</v>
      </c>
      <c r="E28" s="45">
        <v>28605.71</v>
      </c>
      <c r="F28" s="46">
        <f t="shared" si="1"/>
        <v>28605.71</v>
      </c>
      <c r="G28" s="100"/>
      <c r="H28" s="46"/>
      <c r="I28" s="46">
        <f t="shared" si="3"/>
        <v>0</v>
      </c>
      <c r="J28" s="103"/>
      <c r="K28" s="48"/>
      <c r="L28" s="42"/>
    </row>
    <row r="29">
      <c r="A29" s="42"/>
      <c r="B29" s="42"/>
      <c r="C29" s="44" t="s">
        <v>40</v>
      </c>
      <c r="D29" s="46">
        <v>0.0</v>
      </c>
      <c r="E29" s="46"/>
      <c r="F29" s="46">
        <f t="shared" si="1"/>
        <v>0</v>
      </c>
      <c r="G29" s="100"/>
      <c r="H29" s="46"/>
      <c r="I29" s="46"/>
      <c r="J29" s="104"/>
      <c r="K29" s="48"/>
      <c r="L29" s="42"/>
    </row>
    <row r="30">
      <c r="A30" s="42"/>
      <c r="B30" s="42"/>
      <c r="C30" s="44" t="s">
        <v>42</v>
      </c>
      <c r="D30" s="46">
        <v>0.0</v>
      </c>
      <c r="E30" s="46"/>
      <c r="F30" s="46">
        <f t="shared" si="1"/>
        <v>0</v>
      </c>
      <c r="G30" s="100"/>
      <c r="H30" s="46"/>
      <c r="I30" s="46">
        <f t="shared" ref="I30:I31" si="4">D30/75</f>
        <v>0</v>
      </c>
      <c r="J30" s="102">
        <v>4.0</v>
      </c>
      <c r="K30" s="48"/>
      <c r="L30" s="42"/>
    </row>
    <row r="31">
      <c r="A31" s="42"/>
      <c r="B31" s="42"/>
      <c r="C31" s="44" t="s">
        <v>42</v>
      </c>
      <c r="D31" s="46">
        <v>0.0</v>
      </c>
      <c r="E31" s="46"/>
      <c r="F31" s="46">
        <f t="shared" si="1"/>
        <v>0</v>
      </c>
      <c r="G31" s="100"/>
      <c r="H31" s="46"/>
      <c r="I31" s="46">
        <f t="shared" si="4"/>
        <v>0</v>
      </c>
      <c r="J31" s="104"/>
      <c r="K31" s="48"/>
      <c r="L31" s="42"/>
    </row>
    <row r="32">
      <c r="A32" s="51"/>
      <c r="B32" s="51"/>
      <c r="C32" s="52" t="s">
        <v>43</v>
      </c>
      <c r="D32" s="53">
        <f t="shared" ref="D32:F32" si="5">SUM(D9:D31)</f>
        <v>56496</v>
      </c>
      <c r="E32" s="105">
        <f t="shared" si="5"/>
        <v>37926.54</v>
      </c>
      <c r="F32" s="53">
        <f t="shared" si="5"/>
        <v>-18569.46</v>
      </c>
      <c r="G32" s="62">
        <f>E32/D32</f>
        <v>0.6713137213</v>
      </c>
      <c r="H32" s="53"/>
      <c r="I32" s="53">
        <f t="shared" ref="I32:J32" si="6">SUM(I9:I31)</f>
        <v>753.28</v>
      </c>
      <c r="J32" s="53">
        <f t="shared" si="6"/>
        <v>782.5</v>
      </c>
      <c r="K32" s="53">
        <f>I32-J32</f>
        <v>-29.22</v>
      </c>
      <c r="L32" s="51"/>
    </row>
    <row r="33" ht="20.25" customHeight="1">
      <c r="A33" s="55"/>
      <c r="B33" s="56"/>
      <c r="C33" s="57"/>
      <c r="D33" s="58"/>
      <c r="E33" s="59"/>
      <c r="F33" s="59"/>
      <c r="G33" s="106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44</v>
      </c>
      <c r="C34" s="44"/>
      <c r="D34" s="46"/>
      <c r="E34" s="46"/>
      <c r="F34" s="46"/>
      <c r="G34" s="100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100"/>
      <c r="H35" s="46"/>
      <c r="I35" s="46"/>
      <c r="J35" s="48"/>
      <c r="K35" s="48"/>
      <c r="L35" s="49"/>
    </row>
    <row r="36" hidden="1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100"/>
      <c r="H36" s="46"/>
      <c r="I36" s="46"/>
      <c r="J36" s="48"/>
      <c r="K36" s="48"/>
      <c r="L36" s="49"/>
    </row>
    <row r="37" hidden="1">
      <c r="A37" s="42"/>
      <c r="B37" s="43"/>
      <c r="C37" s="44" t="s">
        <v>45</v>
      </c>
      <c r="D37" s="46"/>
      <c r="E37" s="46"/>
      <c r="F37" s="46">
        <f t="shared" si="7"/>
        <v>0</v>
      </c>
      <c r="G37" s="100"/>
      <c r="H37" s="46"/>
      <c r="I37" s="46"/>
      <c r="J37" s="48"/>
      <c r="K37" s="48"/>
      <c r="L37" s="49"/>
    </row>
    <row r="38" hidden="1">
      <c r="A38" s="42"/>
      <c r="B38" s="43"/>
      <c r="C38" s="44" t="s">
        <v>46</v>
      </c>
      <c r="D38" s="46"/>
      <c r="E38" s="46"/>
      <c r="F38" s="46">
        <f t="shared" si="7"/>
        <v>0</v>
      </c>
      <c r="G38" s="100"/>
      <c r="H38" s="46"/>
      <c r="I38" s="46"/>
      <c r="J38" s="48"/>
      <c r="K38" s="48"/>
      <c r="L38" s="49"/>
    </row>
    <row r="39" hidden="1">
      <c r="A39" s="42"/>
      <c r="B39" s="43"/>
      <c r="C39" s="44" t="s">
        <v>47</v>
      </c>
      <c r="D39" s="46"/>
      <c r="E39" s="46"/>
      <c r="F39" s="46">
        <f t="shared" si="7"/>
        <v>0</v>
      </c>
      <c r="G39" s="100"/>
      <c r="H39" s="46"/>
      <c r="I39" s="46"/>
      <c r="J39" s="48"/>
      <c r="K39" s="48"/>
      <c r="L39" s="49"/>
    </row>
    <row r="40" hidden="1">
      <c r="A40" s="42"/>
      <c r="B40" s="43"/>
      <c r="C40" s="44" t="s">
        <v>31</v>
      </c>
      <c r="D40" s="45">
        <v>21290.0</v>
      </c>
      <c r="E40" s="46"/>
      <c r="F40" s="46">
        <f t="shared" si="7"/>
        <v>-21290</v>
      </c>
      <c r="G40" s="100"/>
      <c r="H40" s="46"/>
      <c r="I40" s="46"/>
      <c r="J40" s="48"/>
      <c r="K40" s="48"/>
      <c r="L40" s="49"/>
    </row>
    <row r="41" hidden="1">
      <c r="A41" s="42"/>
      <c r="B41" s="42"/>
      <c r="C41" s="44" t="s">
        <v>48</v>
      </c>
      <c r="D41" s="46"/>
      <c r="E41" s="46"/>
      <c r="F41" s="46">
        <f t="shared" si="7"/>
        <v>0</v>
      </c>
      <c r="G41" s="100"/>
      <c r="H41" s="46"/>
      <c r="I41" s="46"/>
      <c r="J41" s="48"/>
      <c r="K41" s="48"/>
      <c r="L41" s="49"/>
    </row>
    <row r="42" hidden="1">
      <c r="A42" s="42"/>
      <c r="B42" s="42"/>
      <c r="C42" s="44" t="s">
        <v>35</v>
      </c>
      <c r="D42" s="46"/>
      <c r="E42" s="46"/>
      <c r="F42" s="46">
        <f t="shared" si="7"/>
        <v>0</v>
      </c>
      <c r="G42" s="100"/>
      <c r="H42" s="46"/>
      <c r="I42" s="46"/>
      <c r="J42" s="48"/>
      <c r="K42" s="48"/>
      <c r="L42" s="49"/>
    </row>
    <row r="43" hidden="1">
      <c r="A43" s="42"/>
      <c r="B43" s="42"/>
      <c r="C43" s="44" t="s">
        <v>49</v>
      </c>
      <c r="D43" s="46"/>
      <c r="E43" s="45">
        <v>12623.32</v>
      </c>
      <c r="F43" s="46">
        <f t="shared" si="7"/>
        <v>12623.32</v>
      </c>
      <c r="G43" s="100"/>
      <c r="H43" s="46"/>
      <c r="I43" s="46"/>
      <c r="J43" s="48"/>
      <c r="K43" s="48"/>
      <c r="L43" s="49"/>
    </row>
    <row r="44" hidden="1">
      <c r="A44" s="42"/>
      <c r="B44" s="42"/>
      <c r="C44" s="44" t="s">
        <v>50</v>
      </c>
      <c r="D44" s="46"/>
      <c r="E44" s="46"/>
      <c r="F44" s="46">
        <f t="shared" si="7"/>
        <v>0</v>
      </c>
      <c r="G44" s="100"/>
      <c r="H44" s="46"/>
      <c r="I44" s="46"/>
      <c r="J44" s="48"/>
      <c r="K44" s="48"/>
      <c r="L44" s="49"/>
    </row>
    <row r="45" hidden="1">
      <c r="A45" s="42"/>
      <c r="B45" s="42"/>
      <c r="C45" s="44" t="s">
        <v>50</v>
      </c>
      <c r="D45" s="46"/>
      <c r="E45" s="46"/>
      <c r="F45" s="46">
        <f t="shared" si="7"/>
        <v>0</v>
      </c>
      <c r="G45" s="100"/>
      <c r="H45" s="46"/>
      <c r="I45" s="46"/>
      <c r="J45" s="48"/>
      <c r="K45" s="48"/>
      <c r="L45" s="49"/>
    </row>
    <row r="46">
      <c r="A46" s="51"/>
      <c r="B46" s="51"/>
      <c r="C46" s="52" t="s">
        <v>51</v>
      </c>
      <c r="D46" s="53">
        <f t="shared" ref="D46:F46" si="8">SUM(D36:D43)</f>
        <v>21290</v>
      </c>
      <c r="E46" s="105">
        <f t="shared" si="8"/>
        <v>12623.32</v>
      </c>
      <c r="F46" s="53">
        <f t="shared" si="8"/>
        <v>-8666.68</v>
      </c>
      <c r="G46" s="62">
        <f>E46/D46</f>
        <v>0.5929224988</v>
      </c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107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52</v>
      </c>
      <c r="C48" s="44"/>
      <c r="D48" s="46"/>
      <c r="E48" s="46"/>
      <c r="F48" s="46"/>
      <c r="G48" s="100"/>
      <c r="H48" s="46"/>
      <c r="I48" s="46"/>
      <c r="J48" s="48"/>
      <c r="K48" s="48"/>
      <c r="L48" s="49"/>
    </row>
    <row r="49" hidden="1">
      <c r="A49" s="42"/>
      <c r="B49" s="43"/>
      <c r="C49" s="44" t="s">
        <v>87</v>
      </c>
      <c r="D49" s="45">
        <f>9250+53969</f>
        <v>63219</v>
      </c>
      <c r="E49" s="45"/>
      <c r="F49" s="46"/>
      <c r="G49" s="100"/>
      <c r="H49" s="46"/>
      <c r="I49" s="46"/>
      <c r="J49" s="48"/>
      <c r="K49" s="48"/>
      <c r="L49" s="49"/>
    </row>
    <row r="50" hidden="1">
      <c r="A50" s="42"/>
      <c r="B50" s="43"/>
      <c r="C50" s="50" t="s">
        <v>32</v>
      </c>
      <c r="D50" s="45">
        <f>1721+12780</f>
        <v>14501</v>
      </c>
      <c r="E50" s="45">
        <v>70696.1</v>
      </c>
      <c r="F50" s="46">
        <f t="shared" ref="F50:F52" si="9">E50-D50</f>
        <v>56195.1</v>
      </c>
      <c r="G50" s="100"/>
      <c r="H50" s="46"/>
      <c r="I50" s="46"/>
      <c r="J50" s="48"/>
      <c r="K50" s="48"/>
      <c r="L50" s="49"/>
    </row>
    <row r="51" hidden="1">
      <c r="A51" s="42"/>
      <c r="B51" s="43"/>
      <c r="C51" s="44" t="s">
        <v>49</v>
      </c>
      <c r="D51" s="46"/>
      <c r="E51" s="46"/>
      <c r="F51" s="46">
        <f t="shared" si="9"/>
        <v>0</v>
      </c>
      <c r="G51" s="100"/>
      <c r="H51" s="46"/>
      <c r="I51" s="46"/>
      <c r="J51" s="48"/>
      <c r="K51" s="48"/>
      <c r="L51" s="49"/>
    </row>
    <row r="52" hidden="1">
      <c r="A52" s="42"/>
      <c r="B52" s="43"/>
      <c r="C52" s="44" t="s">
        <v>49</v>
      </c>
      <c r="D52" s="46"/>
      <c r="E52" s="46"/>
      <c r="F52" s="46">
        <f t="shared" si="9"/>
        <v>0</v>
      </c>
      <c r="G52" s="100"/>
      <c r="H52" s="46"/>
      <c r="I52" s="46"/>
      <c r="J52" s="48"/>
      <c r="K52" s="48"/>
      <c r="L52" s="49"/>
    </row>
    <row r="53">
      <c r="A53" s="51"/>
      <c r="B53" s="51"/>
      <c r="C53" s="52" t="s">
        <v>67</v>
      </c>
      <c r="D53" s="53">
        <f>SUM(D49:D52)</f>
        <v>77720</v>
      </c>
      <c r="E53" s="105">
        <f t="shared" ref="E53:F53" si="10">SUM(E50:E52)</f>
        <v>70696.1</v>
      </c>
      <c r="F53" s="53">
        <f t="shared" si="10"/>
        <v>56195.1</v>
      </c>
      <c r="G53" s="62">
        <f>E53/D53</f>
        <v>0.909625579</v>
      </c>
      <c r="H53" s="53"/>
      <c r="I53" s="53"/>
      <c r="J53" s="53"/>
      <c r="K53" s="54"/>
      <c r="L53" s="51"/>
    </row>
    <row r="54">
      <c r="A54" s="70"/>
    </row>
    <row r="55" ht="23.25" customHeight="1">
      <c r="A55" s="71">
        <v>4.0</v>
      </c>
      <c r="B55" s="71" t="s">
        <v>49</v>
      </c>
      <c r="C55" s="71"/>
      <c r="D55" s="72"/>
      <c r="E55" s="72"/>
      <c r="F55" s="72"/>
      <c r="G55" s="108"/>
      <c r="H55" s="73"/>
      <c r="I55" s="73"/>
      <c r="J55" s="73"/>
      <c r="K55" s="73"/>
      <c r="L55" s="73"/>
    </row>
    <row r="56" hidden="1">
      <c r="A56" s="73"/>
      <c r="B56" s="74"/>
      <c r="C56" s="71" t="s">
        <v>68</v>
      </c>
      <c r="D56" s="72"/>
      <c r="E56" s="72"/>
      <c r="F56" s="72">
        <f t="shared" ref="F56:F63" si="11">E56-D56</f>
        <v>0</v>
      </c>
      <c r="G56" s="108"/>
      <c r="H56" s="73"/>
      <c r="I56" s="73"/>
      <c r="J56" s="73"/>
      <c r="K56" s="73"/>
      <c r="L56" s="73"/>
    </row>
    <row r="57" hidden="1">
      <c r="A57" s="73"/>
      <c r="B57" s="74"/>
      <c r="C57" s="71" t="s">
        <v>88</v>
      </c>
      <c r="D57" s="72"/>
      <c r="E57" s="72"/>
      <c r="F57" s="72">
        <f t="shared" si="11"/>
        <v>0</v>
      </c>
      <c r="G57" s="108"/>
      <c r="H57" s="73"/>
      <c r="I57" s="73"/>
      <c r="J57" s="73"/>
      <c r="K57" s="73"/>
      <c r="L57" s="73"/>
    </row>
    <row r="58" hidden="1">
      <c r="A58" s="73"/>
      <c r="B58" s="74"/>
      <c r="C58" s="71" t="s">
        <v>70</v>
      </c>
      <c r="D58" s="72"/>
      <c r="E58" s="72"/>
      <c r="F58" s="72">
        <f t="shared" si="11"/>
        <v>0</v>
      </c>
      <c r="G58" s="108"/>
      <c r="H58" s="73"/>
      <c r="I58" s="73"/>
      <c r="J58" s="73"/>
      <c r="K58" s="73"/>
      <c r="L58" s="73"/>
    </row>
    <row r="59" hidden="1">
      <c r="A59" s="73"/>
      <c r="B59" s="74"/>
      <c r="C59" s="71" t="s">
        <v>71</v>
      </c>
      <c r="D59" s="72"/>
      <c r="E59" s="72"/>
      <c r="F59" s="72">
        <f t="shared" si="11"/>
        <v>0</v>
      </c>
      <c r="G59" s="108"/>
      <c r="H59" s="73"/>
      <c r="I59" s="73"/>
      <c r="J59" s="73"/>
      <c r="K59" s="73"/>
      <c r="L59" s="73"/>
    </row>
    <row r="60" hidden="1">
      <c r="A60" s="73"/>
      <c r="B60" s="74"/>
      <c r="C60" s="71" t="s">
        <v>72</v>
      </c>
      <c r="D60" s="72"/>
      <c r="E60" s="72"/>
      <c r="F60" s="72">
        <f t="shared" si="11"/>
        <v>0</v>
      </c>
      <c r="G60" s="108"/>
      <c r="H60" s="73"/>
      <c r="I60" s="73"/>
      <c r="J60" s="73"/>
      <c r="K60" s="73"/>
      <c r="L60" s="73"/>
    </row>
    <row r="61" hidden="1">
      <c r="A61" s="73"/>
      <c r="B61" s="74"/>
      <c r="C61" s="71" t="s">
        <v>73</v>
      </c>
      <c r="D61" s="72"/>
      <c r="E61" s="72"/>
      <c r="F61" s="72">
        <f t="shared" si="11"/>
        <v>0</v>
      </c>
      <c r="G61" s="108"/>
      <c r="H61" s="73"/>
      <c r="I61" s="73"/>
      <c r="J61" s="73"/>
      <c r="K61" s="73"/>
      <c r="L61" s="73"/>
    </row>
    <row r="62" hidden="1">
      <c r="A62" s="73"/>
      <c r="B62" s="74"/>
      <c r="C62" s="71" t="s">
        <v>89</v>
      </c>
      <c r="D62" s="72"/>
      <c r="E62" s="72"/>
      <c r="F62" s="72">
        <f t="shared" si="11"/>
        <v>0</v>
      </c>
      <c r="G62" s="108"/>
      <c r="H62" s="73"/>
      <c r="I62" s="73"/>
      <c r="J62" s="73"/>
      <c r="K62" s="73"/>
      <c r="L62" s="73"/>
    </row>
    <row r="63" hidden="1">
      <c r="A63" s="73"/>
      <c r="B63" s="74"/>
      <c r="C63" s="71" t="s">
        <v>90</v>
      </c>
      <c r="D63" s="72"/>
      <c r="E63" s="72"/>
      <c r="F63" s="72">
        <f t="shared" si="11"/>
        <v>0</v>
      </c>
      <c r="G63" s="108"/>
      <c r="H63" s="73"/>
      <c r="I63" s="73"/>
      <c r="J63" s="73"/>
      <c r="K63" s="73"/>
      <c r="L63" s="73"/>
    </row>
    <row r="64">
      <c r="A64" s="78"/>
      <c r="B64" s="78"/>
      <c r="C64" s="79" t="s">
        <v>75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109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76</v>
      </c>
      <c r="E66" s="83" t="s">
        <v>77</v>
      </c>
      <c r="F66" s="83" t="s">
        <v>78</v>
      </c>
      <c r="G66" s="110" t="s">
        <v>79</v>
      </c>
      <c r="H66" s="84" t="s">
        <v>96</v>
      </c>
      <c r="I66" s="70"/>
      <c r="J66" s="70"/>
      <c r="K66" s="70"/>
      <c r="L66" s="70"/>
    </row>
    <row r="67" ht="42.0" customHeight="1">
      <c r="A67" s="85"/>
      <c r="B67" s="86" t="s">
        <v>80</v>
      </c>
      <c r="C67" s="87"/>
      <c r="D67" s="91">
        <f>D64+D53+D46+D32</f>
        <v>155506</v>
      </c>
      <c r="E67" s="91">
        <f>C4</f>
        <v>183740</v>
      </c>
      <c r="F67" s="91">
        <f>E67-D67</f>
        <v>28234</v>
      </c>
      <c r="G67" s="92">
        <f>F67/E67</f>
        <v>0.1536627844</v>
      </c>
      <c r="H67" s="91">
        <f>SUM(E32, E46,E53,E64)</f>
        <v>121245.96</v>
      </c>
      <c r="I67" s="92">
        <f>H67/D67</f>
        <v>0.7796867002</v>
      </c>
      <c r="J67" s="90"/>
      <c r="K67" s="90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C67 D5:D8 E5:L67 D32:D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4">
    <tablePart r:id="rId6"/>
    <tablePart r:id="rId7"/>
    <tablePart r:id="rId8"/>
    <tablePart r:id="rId9"/>
  </tableParts>
</worksheet>
</file>